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45353</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45353</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45353</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45353</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45353</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45353</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45353</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45353</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45353</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45353</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45353</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45353</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45353</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45353</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45353</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45353</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45353</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45353</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45353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45353</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45353</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45353</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45353</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45353</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45353</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45353</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45353</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45353</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45353</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45353</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45353</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45353</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45353</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45353</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45353</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45353</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45353</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45353</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45353</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45353</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45353</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45353</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45353</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45353</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45353</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45353</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45353</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45353</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45353</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45353</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45353</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45353</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45353</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45353</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45353</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45353</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45353</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45353</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45353</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45353</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45353</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45353</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45353</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45353</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45353</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45353</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45353</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45353</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45353</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45353</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45353</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45353</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45353</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45353</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45353</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45353</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45353</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45353</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45353</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45353</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45353</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45353</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45353</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45353</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45353</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45353</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45353</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45353</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45353</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45353</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45353</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45353</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45353</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45353</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45353</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45353</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45353</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45353</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45353</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45353</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45353</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45353</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45353</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45353</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45353</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45353</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45353</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45353</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45353</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45353</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45353</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45353</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45353</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45353</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45353</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45353</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45353</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45353</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45353</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45353</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45353</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45353</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45353</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45353</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45353</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45353</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45353</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45353</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45353</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45353</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45353</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45353</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45353</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45353</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45353</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45353</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45353</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45353</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45353</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45353</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45353</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45353</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45353</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45353</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45353</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45353</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45353</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45353</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45353</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45353</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45353</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45353</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45353</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45353</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45353</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45353</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63921-2023</t>
        </is>
      </c>
      <c r="B160" s="1" t="n">
        <v>45278</v>
      </c>
      <c r="C160" s="1" t="n">
        <v>45353</v>
      </c>
      <c r="D160" t="inlineStr">
        <is>
          <t>VÄRMLANDS LÄN</t>
        </is>
      </c>
      <c r="E160" t="inlineStr">
        <is>
          <t>ÅRJÄNG</t>
        </is>
      </c>
      <c r="G160" t="n">
        <v>6.2</v>
      </c>
      <c r="H160" t="n">
        <v>2</v>
      </c>
      <c r="I160" t="n">
        <v>1</v>
      </c>
      <c r="J160" t="n">
        <v>2</v>
      </c>
      <c r="K160" t="n">
        <v>0</v>
      </c>
      <c r="L160" t="n">
        <v>0</v>
      </c>
      <c r="M160" t="n">
        <v>0</v>
      </c>
      <c r="N160" t="n">
        <v>0</v>
      </c>
      <c r="O160" t="n">
        <v>2</v>
      </c>
      <c r="P160" t="n">
        <v>0</v>
      </c>
      <c r="Q160" t="n">
        <v>3</v>
      </c>
      <c r="R160" s="2" t="inlineStr">
        <is>
          <t>Spillkråka
Talltita
Vedticka</t>
        </is>
      </c>
      <c r="S160">
        <f>HYPERLINK("https://klasma.github.io/Logging_1765/artfynd/A 63921-2023 artfynd.xlsx", "A 63921-2023")</f>
        <v/>
      </c>
      <c r="T160">
        <f>HYPERLINK("https://klasma.github.io/Logging_1765/kartor/A 63921-2023 karta.png", "A 63921-2023")</f>
        <v/>
      </c>
      <c r="V160">
        <f>HYPERLINK("https://klasma.github.io/Logging_1765/klagomål/A 63921-2023 FSC-klagomål.docx", "A 63921-2023")</f>
        <v/>
      </c>
      <c r="W160">
        <f>HYPERLINK("https://klasma.github.io/Logging_1765/klagomålsmail/A 63921-2023 FSC-klagomål mail.docx", "A 63921-2023")</f>
        <v/>
      </c>
      <c r="X160">
        <f>HYPERLINK("https://klasma.github.io/Logging_1765/tillsyn/A 63921-2023 tillsynsbegäran.docx", "A 63921-2023")</f>
        <v/>
      </c>
      <c r="Y160">
        <f>HYPERLINK("https://klasma.github.io/Logging_1765/tillsynsmail/A 63921-2023 tillsynsbegäran mail.docx", "A 63921-2023")</f>
        <v/>
      </c>
      <c r="Z160">
        <f>HYPERLINK("https://klasma.github.io/Logging_1765/fåglar/A 63921-2023 prioriterade fågelarter.docx", "A 63921-2023")</f>
        <v/>
      </c>
    </row>
    <row r="161" ht="15" customHeight="1">
      <c r="A161" t="inlineStr">
        <is>
          <t>A 1111-2024</t>
        </is>
      </c>
      <c r="B161" s="1" t="n">
        <v>45302</v>
      </c>
      <c r="C161" s="1" t="n">
        <v>45353</v>
      </c>
      <c r="D161" t="inlineStr">
        <is>
          <t>VÄRMLANDS LÄN</t>
        </is>
      </c>
      <c r="E161" t="inlineStr">
        <is>
          <t>ARVIKA</t>
        </is>
      </c>
      <c r="F161" t="inlineStr">
        <is>
          <t>Kyrkan</t>
        </is>
      </c>
      <c r="G161" t="n">
        <v>2.4</v>
      </c>
      <c r="H161" t="n">
        <v>0</v>
      </c>
      <c r="I161" t="n">
        <v>1</v>
      </c>
      <c r="J161" t="n">
        <v>2</v>
      </c>
      <c r="K161" t="n">
        <v>0</v>
      </c>
      <c r="L161" t="n">
        <v>0</v>
      </c>
      <c r="M161" t="n">
        <v>0</v>
      </c>
      <c r="N161" t="n">
        <v>0</v>
      </c>
      <c r="O161" t="n">
        <v>2</v>
      </c>
      <c r="P161" t="n">
        <v>0</v>
      </c>
      <c r="Q161" t="n">
        <v>3</v>
      </c>
      <c r="R161" s="2" t="inlineStr">
        <is>
          <t>Kandelabersvamp
Stjärntagging
Vedticka</t>
        </is>
      </c>
      <c r="S161">
        <f>HYPERLINK("https://klasma.github.io/Logging_1784/artfynd/A 1111-2024 artfynd.xlsx", "A 1111-2024")</f>
        <v/>
      </c>
      <c r="T161">
        <f>HYPERLINK("https://klasma.github.io/Logging_1784/kartor/A 1111-2024 karta.png", "A 1111-2024")</f>
        <v/>
      </c>
      <c r="V161">
        <f>HYPERLINK("https://klasma.github.io/Logging_1784/klagomål/A 1111-2024 FSC-klagomål.docx", "A 1111-2024")</f>
        <v/>
      </c>
      <c r="W161">
        <f>HYPERLINK("https://klasma.github.io/Logging_1784/klagomålsmail/A 1111-2024 FSC-klagomål mail.docx", "A 1111-2024")</f>
        <v/>
      </c>
      <c r="X161">
        <f>HYPERLINK("https://klasma.github.io/Logging_1784/tillsyn/A 1111-2024 tillsynsbegäran.docx", "A 1111-2024")</f>
        <v/>
      </c>
      <c r="Y161">
        <f>HYPERLINK("https://klasma.github.io/Logging_1784/tillsynsmail/A 1111-2024 tillsynsbegäran mail.docx", "A 1111-2024")</f>
        <v/>
      </c>
    </row>
    <row r="162" ht="15" customHeight="1">
      <c r="A162" t="inlineStr">
        <is>
          <t>A 3099-2024</t>
        </is>
      </c>
      <c r="B162" s="1" t="n">
        <v>45316</v>
      </c>
      <c r="C162" s="1" t="n">
        <v>45353</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3713-2024</t>
        </is>
      </c>
      <c r="B163" s="1" t="n">
        <v>45321</v>
      </c>
      <c r="C163" s="1" t="n">
        <v>45353</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5680-2024</t>
        </is>
      </c>
      <c r="B164" s="1" t="n">
        <v>45334</v>
      </c>
      <c r="C164" s="1" t="n">
        <v>45353</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36762-2018</t>
        </is>
      </c>
      <c r="B165" s="1" t="n">
        <v>43332</v>
      </c>
      <c r="C165" s="1" t="n">
        <v>45353</v>
      </c>
      <c r="D165" t="inlineStr">
        <is>
          <t>VÄRMLANDS LÄN</t>
        </is>
      </c>
      <c r="E165" t="inlineStr">
        <is>
          <t>ARVIKA</t>
        </is>
      </c>
      <c r="G165" t="n">
        <v>3</v>
      </c>
      <c r="H165" t="n">
        <v>1</v>
      </c>
      <c r="I165" t="n">
        <v>1</v>
      </c>
      <c r="J165" t="n">
        <v>0</v>
      </c>
      <c r="K165" t="n">
        <v>1</v>
      </c>
      <c r="L165" t="n">
        <v>0</v>
      </c>
      <c r="M165" t="n">
        <v>0</v>
      </c>
      <c r="N165" t="n">
        <v>0</v>
      </c>
      <c r="O165" t="n">
        <v>1</v>
      </c>
      <c r="P165" t="n">
        <v>1</v>
      </c>
      <c r="Q165" t="n">
        <v>2</v>
      </c>
      <c r="R165" s="2" t="inlineStr">
        <is>
          <t>Knärot
Tibast</t>
        </is>
      </c>
      <c r="S165">
        <f>HYPERLINK("https://klasma.github.io/Logging_1784/artfynd/A 36762-2018 artfynd.xlsx", "A 36762-2018")</f>
        <v/>
      </c>
      <c r="T165">
        <f>HYPERLINK("https://klasma.github.io/Logging_1784/kartor/A 36762-2018 karta.png", "A 36762-2018")</f>
        <v/>
      </c>
      <c r="U165">
        <f>HYPERLINK("https://klasma.github.io/Logging_1784/knärot/A 36762-2018 karta knärot.png", "A 36762-2018")</f>
        <v/>
      </c>
      <c r="V165">
        <f>HYPERLINK("https://klasma.github.io/Logging_1784/klagomål/A 36762-2018 FSC-klagomål.docx", "A 36762-2018")</f>
        <v/>
      </c>
      <c r="W165">
        <f>HYPERLINK("https://klasma.github.io/Logging_1784/klagomålsmail/A 36762-2018 FSC-klagomål mail.docx", "A 36762-2018")</f>
        <v/>
      </c>
      <c r="X165">
        <f>HYPERLINK("https://klasma.github.io/Logging_1784/tillsyn/A 36762-2018 tillsynsbegäran.docx", "A 36762-2018")</f>
        <v/>
      </c>
      <c r="Y165">
        <f>HYPERLINK("https://klasma.github.io/Logging_1784/tillsynsmail/A 36762-2018 tillsynsbegäran mail.docx", "A 36762-2018")</f>
        <v/>
      </c>
    </row>
    <row r="166" ht="15" customHeight="1">
      <c r="A166" t="inlineStr">
        <is>
          <t>A 45025-2018</t>
        </is>
      </c>
      <c r="B166" s="1" t="n">
        <v>43360</v>
      </c>
      <c r="C166" s="1" t="n">
        <v>45353</v>
      </c>
      <c r="D166" t="inlineStr">
        <is>
          <t>VÄRMLANDS LÄN</t>
        </is>
      </c>
      <c r="E166" t="inlineStr">
        <is>
          <t>SÄFFLE</t>
        </is>
      </c>
      <c r="G166" t="n">
        <v>4.5</v>
      </c>
      <c r="H166" t="n">
        <v>0</v>
      </c>
      <c r="I166" t="n">
        <v>2</v>
      </c>
      <c r="J166" t="n">
        <v>0</v>
      </c>
      <c r="K166" t="n">
        <v>0</v>
      </c>
      <c r="L166" t="n">
        <v>0</v>
      </c>
      <c r="M166" t="n">
        <v>0</v>
      </c>
      <c r="N166" t="n">
        <v>0</v>
      </c>
      <c r="O166" t="n">
        <v>0</v>
      </c>
      <c r="P166" t="n">
        <v>0</v>
      </c>
      <c r="Q166" t="n">
        <v>2</v>
      </c>
      <c r="R166" s="2" t="inlineStr">
        <is>
          <t>Diskvaxskivling
Kryddspindling</t>
        </is>
      </c>
      <c r="S166">
        <f>HYPERLINK("https://klasma.github.io/Logging_1785/artfynd/A 45025-2018 artfynd.xlsx", "A 45025-2018")</f>
        <v/>
      </c>
      <c r="T166">
        <f>HYPERLINK("https://klasma.github.io/Logging_1785/kartor/A 45025-2018 karta.png", "A 45025-2018")</f>
        <v/>
      </c>
      <c r="V166">
        <f>HYPERLINK("https://klasma.github.io/Logging_1785/klagomål/A 45025-2018 FSC-klagomål.docx", "A 45025-2018")</f>
        <v/>
      </c>
      <c r="W166">
        <f>HYPERLINK("https://klasma.github.io/Logging_1785/klagomålsmail/A 45025-2018 FSC-klagomål mail.docx", "A 45025-2018")</f>
        <v/>
      </c>
      <c r="X166">
        <f>HYPERLINK("https://klasma.github.io/Logging_1785/tillsyn/A 45025-2018 tillsynsbegäran.docx", "A 45025-2018")</f>
        <v/>
      </c>
      <c r="Y166">
        <f>HYPERLINK("https://klasma.github.io/Logging_1785/tillsynsmail/A 45025-2018 tillsynsbegäran mail.docx", "A 45025-2018")</f>
        <v/>
      </c>
    </row>
    <row r="167" ht="15" customHeight="1">
      <c r="A167" t="inlineStr">
        <is>
          <t>A 54558-2018</t>
        </is>
      </c>
      <c r="B167" s="1" t="n">
        <v>43385</v>
      </c>
      <c r="C167" s="1" t="n">
        <v>45353</v>
      </c>
      <c r="D167" t="inlineStr">
        <is>
          <t>VÄRMLANDS LÄN</t>
        </is>
      </c>
      <c r="E167" t="inlineStr">
        <is>
          <t>TORSBY</t>
        </is>
      </c>
      <c r="G167" t="n">
        <v>4.8</v>
      </c>
      <c r="H167" t="n">
        <v>1</v>
      </c>
      <c r="I167" t="n">
        <v>0</v>
      </c>
      <c r="J167" t="n">
        <v>2</v>
      </c>
      <c r="K167" t="n">
        <v>0</v>
      </c>
      <c r="L167" t="n">
        <v>0</v>
      </c>
      <c r="M167" t="n">
        <v>0</v>
      </c>
      <c r="N167" t="n">
        <v>0</v>
      </c>
      <c r="O167" t="n">
        <v>2</v>
      </c>
      <c r="P167" t="n">
        <v>0</v>
      </c>
      <c r="Q167" t="n">
        <v>2</v>
      </c>
      <c r="R167" s="2" t="inlineStr">
        <is>
          <t>Lunglav
Tretåig hackspett</t>
        </is>
      </c>
      <c r="S167">
        <f>HYPERLINK("https://klasma.github.io/Logging_1737/artfynd/A 54558-2018 artfynd.xlsx", "A 54558-2018")</f>
        <v/>
      </c>
      <c r="T167">
        <f>HYPERLINK("https://klasma.github.io/Logging_1737/kartor/A 54558-2018 karta.png", "A 54558-2018")</f>
        <v/>
      </c>
      <c r="V167">
        <f>HYPERLINK("https://klasma.github.io/Logging_1737/klagomål/A 54558-2018 FSC-klagomål.docx", "A 54558-2018")</f>
        <v/>
      </c>
      <c r="W167">
        <f>HYPERLINK("https://klasma.github.io/Logging_1737/klagomålsmail/A 54558-2018 FSC-klagomål mail.docx", "A 54558-2018")</f>
        <v/>
      </c>
      <c r="X167">
        <f>HYPERLINK("https://klasma.github.io/Logging_1737/tillsyn/A 54558-2018 tillsynsbegäran.docx", "A 54558-2018")</f>
        <v/>
      </c>
      <c r="Y167">
        <f>HYPERLINK("https://klasma.github.io/Logging_1737/tillsynsmail/A 54558-2018 tillsynsbegäran mail.docx", "A 54558-2018")</f>
        <v/>
      </c>
      <c r="Z167">
        <f>HYPERLINK("https://klasma.github.io/Logging_1737/fåglar/A 54558-2018 prioriterade fågelarter.docx", "A 54558-2018")</f>
        <v/>
      </c>
    </row>
    <row r="168" ht="15" customHeight="1">
      <c r="A168" t="inlineStr">
        <is>
          <t>A 57535-2018</t>
        </is>
      </c>
      <c r="B168" s="1" t="n">
        <v>43397</v>
      </c>
      <c r="C168" s="1" t="n">
        <v>45353</v>
      </c>
      <c r="D168" t="inlineStr">
        <is>
          <t>VÄRMLANDS LÄN</t>
        </is>
      </c>
      <c r="E168" t="inlineStr">
        <is>
          <t>ARVIKA</t>
        </is>
      </c>
      <c r="G168" t="n">
        <v>8.5</v>
      </c>
      <c r="H168" t="n">
        <v>0</v>
      </c>
      <c r="I168" t="n">
        <v>0</v>
      </c>
      <c r="J168" t="n">
        <v>2</v>
      </c>
      <c r="K168" t="n">
        <v>0</v>
      </c>
      <c r="L168" t="n">
        <v>0</v>
      </c>
      <c r="M168" t="n">
        <v>0</v>
      </c>
      <c r="N168" t="n">
        <v>0</v>
      </c>
      <c r="O168" t="n">
        <v>2</v>
      </c>
      <c r="P168" t="n">
        <v>0</v>
      </c>
      <c r="Q168" t="n">
        <v>2</v>
      </c>
      <c r="R168" s="2" t="inlineStr">
        <is>
          <t>Brunklöver
Svedjenäva</t>
        </is>
      </c>
      <c r="S168">
        <f>HYPERLINK("https://klasma.github.io/Logging_1784/artfynd/A 57535-2018 artfynd.xlsx", "A 57535-2018")</f>
        <v/>
      </c>
      <c r="T168">
        <f>HYPERLINK("https://klasma.github.io/Logging_1784/kartor/A 57535-2018 karta.png", "A 57535-2018")</f>
        <v/>
      </c>
      <c r="V168">
        <f>HYPERLINK("https://klasma.github.io/Logging_1784/klagomål/A 57535-2018 FSC-klagomål.docx", "A 57535-2018")</f>
        <v/>
      </c>
      <c r="W168">
        <f>HYPERLINK("https://klasma.github.io/Logging_1784/klagomålsmail/A 57535-2018 FSC-klagomål mail.docx", "A 57535-2018")</f>
        <v/>
      </c>
      <c r="X168">
        <f>HYPERLINK("https://klasma.github.io/Logging_1784/tillsyn/A 57535-2018 tillsynsbegäran.docx", "A 57535-2018")</f>
        <v/>
      </c>
      <c r="Y168">
        <f>HYPERLINK("https://klasma.github.io/Logging_1784/tillsynsmail/A 57535-2018 tillsynsbegäran mail.docx", "A 57535-2018")</f>
        <v/>
      </c>
    </row>
    <row r="169" ht="15" customHeight="1">
      <c r="A169" t="inlineStr">
        <is>
          <t>A 59351-2018</t>
        </is>
      </c>
      <c r="B169" s="1" t="n">
        <v>43418</v>
      </c>
      <c r="C169" s="1" t="n">
        <v>45353</v>
      </c>
      <c r="D169" t="inlineStr">
        <is>
          <t>VÄRMLANDS LÄN</t>
        </is>
      </c>
      <c r="E169" t="inlineStr">
        <is>
          <t>EDA</t>
        </is>
      </c>
      <c r="G169" t="n">
        <v>0.6</v>
      </c>
      <c r="H169" t="n">
        <v>1</v>
      </c>
      <c r="I169" t="n">
        <v>0</v>
      </c>
      <c r="J169" t="n">
        <v>2</v>
      </c>
      <c r="K169" t="n">
        <v>0</v>
      </c>
      <c r="L169" t="n">
        <v>0</v>
      </c>
      <c r="M169" t="n">
        <v>0</v>
      </c>
      <c r="N169" t="n">
        <v>0</v>
      </c>
      <c r="O169" t="n">
        <v>2</v>
      </c>
      <c r="P169" t="n">
        <v>0</v>
      </c>
      <c r="Q169" t="n">
        <v>2</v>
      </c>
      <c r="R169" s="2" t="inlineStr">
        <is>
          <t>Tretåig hackspett
Ullticka</t>
        </is>
      </c>
      <c r="S169">
        <f>HYPERLINK("https://klasma.github.io/Logging_1730/artfynd/A 59351-2018 artfynd.xlsx", "A 59351-2018")</f>
        <v/>
      </c>
      <c r="T169">
        <f>HYPERLINK("https://klasma.github.io/Logging_1730/kartor/A 59351-2018 karta.png", "A 59351-2018")</f>
        <v/>
      </c>
      <c r="U169">
        <f>HYPERLINK("https://klasma.github.io/Logging_1730/knärot/A 59351-2018 karta knärot.png", "A 59351-2018")</f>
        <v/>
      </c>
      <c r="V169">
        <f>HYPERLINK("https://klasma.github.io/Logging_1730/klagomål/A 59351-2018 FSC-klagomål.docx", "A 59351-2018")</f>
        <v/>
      </c>
      <c r="W169">
        <f>HYPERLINK("https://klasma.github.io/Logging_1730/klagomålsmail/A 59351-2018 FSC-klagomål mail.docx", "A 59351-2018")</f>
        <v/>
      </c>
      <c r="X169">
        <f>HYPERLINK("https://klasma.github.io/Logging_1730/tillsyn/A 59351-2018 tillsynsbegäran.docx", "A 59351-2018")</f>
        <v/>
      </c>
      <c r="Y169">
        <f>HYPERLINK("https://klasma.github.io/Logging_1730/tillsynsmail/A 59351-2018 tillsynsbegäran mail.docx", "A 59351-2018")</f>
        <v/>
      </c>
      <c r="Z169">
        <f>HYPERLINK("https://klasma.github.io/Logging_1730/fåglar/A 59351-2018 prioriterade fågelarter.docx", "A 59351-2018")</f>
        <v/>
      </c>
    </row>
    <row r="170" ht="15" customHeight="1">
      <c r="A170" t="inlineStr">
        <is>
          <t>A 10801-2019</t>
        </is>
      </c>
      <c r="B170" s="1" t="n">
        <v>43514</v>
      </c>
      <c r="C170" s="1" t="n">
        <v>45353</v>
      </c>
      <c r="D170" t="inlineStr">
        <is>
          <t>VÄRMLANDS LÄN</t>
        </is>
      </c>
      <c r="E170" t="inlineStr">
        <is>
          <t>KRISTINEHAMN</t>
        </is>
      </c>
      <c r="G170" t="n">
        <v>11.3</v>
      </c>
      <c r="H170" t="n">
        <v>0</v>
      </c>
      <c r="I170" t="n">
        <v>1</v>
      </c>
      <c r="J170" t="n">
        <v>1</v>
      </c>
      <c r="K170" t="n">
        <v>0</v>
      </c>
      <c r="L170" t="n">
        <v>0</v>
      </c>
      <c r="M170" t="n">
        <v>0</v>
      </c>
      <c r="N170" t="n">
        <v>0</v>
      </c>
      <c r="O170" t="n">
        <v>1</v>
      </c>
      <c r="P170" t="n">
        <v>0</v>
      </c>
      <c r="Q170" t="n">
        <v>2</v>
      </c>
      <c r="R170" s="2" t="inlineStr">
        <is>
          <t>Dvärgbägarlav
Vedticka</t>
        </is>
      </c>
      <c r="S170">
        <f>HYPERLINK("https://klasma.github.io/Logging_1781/artfynd/A 10801-2019 artfynd.xlsx", "A 10801-2019")</f>
        <v/>
      </c>
      <c r="T170">
        <f>HYPERLINK("https://klasma.github.io/Logging_1781/kartor/A 10801-2019 karta.png", "A 10801-2019")</f>
        <v/>
      </c>
      <c r="V170">
        <f>HYPERLINK("https://klasma.github.io/Logging_1781/klagomål/A 10801-2019 FSC-klagomål.docx", "A 10801-2019")</f>
        <v/>
      </c>
      <c r="W170">
        <f>HYPERLINK("https://klasma.github.io/Logging_1781/klagomålsmail/A 10801-2019 FSC-klagomål mail.docx", "A 10801-2019")</f>
        <v/>
      </c>
      <c r="X170">
        <f>HYPERLINK("https://klasma.github.io/Logging_1781/tillsyn/A 10801-2019 tillsynsbegäran.docx", "A 10801-2019")</f>
        <v/>
      </c>
      <c r="Y170">
        <f>HYPERLINK("https://klasma.github.io/Logging_1781/tillsynsmail/A 10801-2019 tillsynsbegäran mail.docx", "A 10801-2019")</f>
        <v/>
      </c>
    </row>
    <row r="171" ht="15" customHeight="1">
      <c r="A171" t="inlineStr">
        <is>
          <t>A 13511-2019</t>
        </is>
      </c>
      <c r="B171" s="1" t="n">
        <v>43530</v>
      </c>
      <c r="C171" s="1" t="n">
        <v>45353</v>
      </c>
      <c r="D171" t="inlineStr">
        <is>
          <t>VÄRMLANDS LÄN</t>
        </is>
      </c>
      <c r="E171" t="inlineStr">
        <is>
          <t>KRISTINEHAMN</t>
        </is>
      </c>
      <c r="G171" t="n">
        <v>7.4</v>
      </c>
      <c r="H171" t="n">
        <v>1</v>
      </c>
      <c r="I171" t="n">
        <v>0</v>
      </c>
      <c r="J171" t="n">
        <v>1</v>
      </c>
      <c r="K171" t="n">
        <v>1</v>
      </c>
      <c r="L171" t="n">
        <v>0</v>
      </c>
      <c r="M171" t="n">
        <v>0</v>
      </c>
      <c r="N171" t="n">
        <v>0</v>
      </c>
      <c r="O171" t="n">
        <v>2</v>
      </c>
      <c r="P171" t="n">
        <v>1</v>
      </c>
      <c r="Q171" t="n">
        <v>2</v>
      </c>
      <c r="R171" s="2" t="inlineStr">
        <is>
          <t>Bombmurkla
Fyrflikig jordstjärna</t>
        </is>
      </c>
      <c r="S171">
        <f>HYPERLINK("https://klasma.github.io/Logging_1781/artfynd/A 13511-2019 artfynd.xlsx", "A 13511-2019")</f>
        <v/>
      </c>
      <c r="T171">
        <f>HYPERLINK("https://klasma.github.io/Logging_1781/kartor/A 13511-2019 karta.png", "A 13511-2019")</f>
        <v/>
      </c>
      <c r="V171">
        <f>HYPERLINK("https://klasma.github.io/Logging_1781/klagomål/A 13511-2019 FSC-klagomål.docx", "A 13511-2019")</f>
        <v/>
      </c>
      <c r="W171">
        <f>HYPERLINK("https://klasma.github.io/Logging_1781/klagomålsmail/A 13511-2019 FSC-klagomål mail.docx", "A 13511-2019")</f>
        <v/>
      </c>
      <c r="X171">
        <f>HYPERLINK("https://klasma.github.io/Logging_1781/tillsyn/A 13511-2019 tillsynsbegäran.docx", "A 13511-2019")</f>
        <v/>
      </c>
      <c r="Y171">
        <f>HYPERLINK("https://klasma.github.io/Logging_1781/tillsynsmail/A 13511-2019 tillsynsbegäran mail.docx", "A 13511-2019")</f>
        <v/>
      </c>
    </row>
    <row r="172" ht="15" customHeight="1">
      <c r="A172" t="inlineStr">
        <is>
          <t>A 18528-2019</t>
        </is>
      </c>
      <c r="B172" s="1" t="n">
        <v>43559</v>
      </c>
      <c r="C172" s="1" t="n">
        <v>45353</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45353</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60661-2019</t>
        </is>
      </c>
      <c r="B174" s="1" t="n">
        <v>43781</v>
      </c>
      <c r="C174" s="1" t="n">
        <v>45353</v>
      </c>
      <c r="D174" t="inlineStr">
        <is>
          <t>VÄRMLANDS LÄN</t>
        </is>
      </c>
      <c r="E174" t="inlineStr">
        <is>
          <t>TORSBY</t>
        </is>
      </c>
      <c r="F174" t="inlineStr">
        <is>
          <t>Bergvik skog väst AB</t>
        </is>
      </c>
      <c r="G174" t="n">
        <v>40.4</v>
      </c>
      <c r="H174" t="n">
        <v>2</v>
      </c>
      <c r="I174" t="n">
        <v>0</v>
      </c>
      <c r="J174" t="n">
        <v>2</v>
      </c>
      <c r="K174" t="n">
        <v>0</v>
      </c>
      <c r="L174" t="n">
        <v>0</v>
      </c>
      <c r="M174" t="n">
        <v>0</v>
      </c>
      <c r="N174" t="n">
        <v>0</v>
      </c>
      <c r="O174" t="n">
        <v>2</v>
      </c>
      <c r="P174" t="n">
        <v>0</v>
      </c>
      <c r="Q174" t="n">
        <v>2</v>
      </c>
      <c r="R174" s="2" t="inlineStr">
        <is>
          <t>Kråka
Spillkråka</t>
        </is>
      </c>
      <c r="S174">
        <f>HYPERLINK("https://klasma.github.io/Logging_1737/artfynd/A 60661-2019 artfynd.xlsx", "A 60661-2019")</f>
        <v/>
      </c>
      <c r="T174">
        <f>HYPERLINK("https://klasma.github.io/Logging_1737/kartor/A 60661-2019 karta.png", "A 60661-2019")</f>
        <v/>
      </c>
      <c r="V174">
        <f>HYPERLINK("https://klasma.github.io/Logging_1737/klagomål/A 60661-2019 FSC-klagomål.docx", "A 60661-2019")</f>
        <v/>
      </c>
      <c r="W174">
        <f>HYPERLINK("https://klasma.github.io/Logging_1737/klagomålsmail/A 60661-2019 FSC-klagomål mail.docx", "A 60661-2019")</f>
        <v/>
      </c>
      <c r="X174">
        <f>HYPERLINK("https://klasma.github.io/Logging_1737/tillsyn/A 60661-2019 tillsynsbegäran.docx", "A 60661-2019")</f>
        <v/>
      </c>
      <c r="Y174">
        <f>HYPERLINK("https://klasma.github.io/Logging_1737/tillsynsmail/A 60661-2019 tillsynsbegäran mail.docx", "A 60661-2019")</f>
        <v/>
      </c>
      <c r="Z174">
        <f>HYPERLINK("https://klasma.github.io/Logging_1737/fåglar/A 60661-2019 prioriterade fågelarter.docx", "A 60661-2019")</f>
        <v/>
      </c>
    </row>
    <row r="175" ht="15" customHeight="1">
      <c r="A175" t="inlineStr">
        <is>
          <t>A 68629-2019</t>
        </is>
      </c>
      <c r="B175" s="1" t="n">
        <v>43819</v>
      </c>
      <c r="C175" s="1" t="n">
        <v>45353</v>
      </c>
      <c r="D175" t="inlineStr">
        <is>
          <t>VÄRMLANDS LÄN</t>
        </is>
      </c>
      <c r="E175" t="inlineStr">
        <is>
          <t>ARVIKA</t>
        </is>
      </c>
      <c r="G175" t="n">
        <v>11.3</v>
      </c>
      <c r="H175" t="n">
        <v>1</v>
      </c>
      <c r="I175" t="n">
        <v>0</v>
      </c>
      <c r="J175" t="n">
        <v>2</v>
      </c>
      <c r="K175" t="n">
        <v>0</v>
      </c>
      <c r="L175" t="n">
        <v>0</v>
      </c>
      <c r="M175" t="n">
        <v>0</v>
      </c>
      <c r="N175" t="n">
        <v>0</v>
      </c>
      <c r="O175" t="n">
        <v>2</v>
      </c>
      <c r="P175" t="n">
        <v>0</v>
      </c>
      <c r="Q175" t="n">
        <v>2</v>
      </c>
      <c r="R175" s="2" t="inlineStr">
        <is>
          <t>Dvärglin
Havsörn</t>
        </is>
      </c>
      <c r="S175">
        <f>HYPERLINK("https://klasma.github.io/Logging_1784/artfynd/A 68629-2019 artfynd.xlsx", "A 68629-2019")</f>
        <v/>
      </c>
      <c r="T175">
        <f>HYPERLINK("https://klasma.github.io/Logging_1784/kartor/A 68629-2019 karta.png", "A 68629-2019")</f>
        <v/>
      </c>
      <c r="V175">
        <f>HYPERLINK("https://klasma.github.io/Logging_1784/klagomål/A 68629-2019 FSC-klagomål.docx", "A 68629-2019")</f>
        <v/>
      </c>
      <c r="W175">
        <f>HYPERLINK("https://klasma.github.io/Logging_1784/klagomålsmail/A 68629-2019 FSC-klagomål mail.docx", "A 68629-2019")</f>
        <v/>
      </c>
      <c r="X175">
        <f>HYPERLINK("https://klasma.github.io/Logging_1784/tillsyn/A 68629-2019 tillsynsbegäran.docx", "A 68629-2019")</f>
        <v/>
      </c>
      <c r="Y175">
        <f>HYPERLINK("https://klasma.github.io/Logging_1784/tillsynsmail/A 68629-2019 tillsynsbegäran mail.docx", "A 68629-2019")</f>
        <v/>
      </c>
      <c r="Z175">
        <f>HYPERLINK("https://klasma.github.io/Logging_1784/fåglar/A 68629-2019 prioriterade fågelarter.docx", "A 68629-2019")</f>
        <v/>
      </c>
    </row>
    <row r="176" ht="15" customHeight="1">
      <c r="A176" t="inlineStr">
        <is>
          <t>A 3380-2020</t>
        </is>
      </c>
      <c r="B176" s="1" t="n">
        <v>43852</v>
      </c>
      <c r="C176" s="1" t="n">
        <v>45353</v>
      </c>
      <c r="D176" t="inlineStr">
        <is>
          <t>VÄRMLANDS LÄN</t>
        </is>
      </c>
      <c r="E176" t="inlineStr">
        <is>
          <t>ÅRJÄNG</t>
        </is>
      </c>
      <c r="G176" t="n">
        <v>3.8</v>
      </c>
      <c r="H176" t="n">
        <v>1</v>
      </c>
      <c r="I176" t="n">
        <v>1</v>
      </c>
      <c r="J176" t="n">
        <v>1</v>
      </c>
      <c r="K176" t="n">
        <v>0</v>
      </c>
      <c r="L176" t="n">
        <v>0</v>
      </c>
      <c r="M176" t="n">
        <v>0</v>
      </c>
      <c r="N176" t="n">
        <v>0</v>
      </c>
      <c r="O176" t="n">
        <v>1</v>
      </c>
      <c r="P176" t="n">
        <v>0</v>
      </c>
      <c r="Q176" t="n">
        <v>2</v>
      </c>
      <c r="R176" s="2" t="inlineStr">
        <is>
          <t>Kådvaxskinn
Spindelblomster</t>
        </is>
      </c>
      <c r="S176">
        <f>HYPERLINK("https://klasma.github.io/Logging_1765/artfynd/A 3380-2020 artfynd.xlsx", "A 3380-2020")</f>
        <v/>
      </c>
      <c r="T176">
        <f>HYPERLINK("https://klasma.github.io/Logging_1765/kartor/A 3380-2020 karta.png", "A 3380-2020")</f>
        <v/>
      </c>
      <c r="V176">
        <f>HYPERLINK("https://klasma.github.io/Logging_1765/klagomål/A 3380-2020 FSC-klagomål.docx", "A 3380-2020")</f>
        <v/>
      </c>
      <c r="W176">
        <f>HYPERLINK("https://klasma.github.io/Logging_1765/klagomålsmail/A 3380-2020 FSC-klagomål mail.docx", "A 3380-2020")</f>
        <v/>
      </c>
      <c r="X176">
        <f>HYPERLINK("https://klasma.github.io/Logging_1765/tillsyn/A 3380-2020 tillsynsbegäran.docx", "A 3380-2020")</f>
        <v/>
      </c>
      <c r="Y176">
        <f>HYPERLINK("https://klasma.github.io/Logging_1765/tillsynsmail/A 3380-2020 tillsynsbegäran mail.docx", "A 3380-2020")</f>
        <v/>
      </c>
    </row>
    <row r="177" ht="15" customHeight="1">
      <c r="A177" t="inlineStr">
        <is>
          <t>A 9464-2020</t>
        </is>
      </c>
      <c r="B177" s="1" t="n">
        <v>43880</v>
      </c>
      <c r="C177" s="1" t="n">
        <v>45353</v>
      </c>
      <c r="D177" t="inlineStr">
        <is>
          <t>VÄRMLANDS LÄN</t>
        </is>
      </c>
      <c r="E177" t="inlineStr">
        <is>
          <t>ÅRJÄNG</t>
        </is>
      </c>
      <c r="G177" t="n">
        <v>5.3</v>
      </c>
      <c r="H177" t="n">
        <v>1</v>
      </c>
      <c r="I177" t="n">
        <v>1</v>
      </c>
      <c r="J177" t="n">
        <v>0</v>
      </c>
      <c r="K177" t="n">
        <v>1</v>
      </c>
      <c r="L177" t="n">
        <v>0</v>
      </c>
      <c r="M177" t="n">
        <v>0</v>
      </c>
      <c r="N177" t="n">
        <v>0</v>
      </c>
      <c r="O177" t="n">
        <v>1</v>
      </c>
      <c r="P177" t="n">
        <v>1</v>
      </c>
      <c r="Q177" t="n">
        <v>2</v>
      </c>
      <c r="R177" s="2" t="inlineStr">
        <is>
          <t>Knärot
Gullgröppa</t>
        </is>
      </c>
      <c r="S177">
        <f>HYPERLINK("https://klasma.github.io/Logging_1765/artfynd/A 9464-2020 artfynd.xlsx", "A 9464-2020")</f>
        <v/>
      </c>
      <c r="T177">
        <f>HYPERLINK("https://klasma.github.io/Logging_1765/kartor/A 9464-2020 karta.png", "A 9464-2020")</f>
        <v/>
      </c>
      <c r="U177">
        <f>HYPERLINK("https://klasma.github.io/Logging_1765/knärot/A 9464-2020 karta knärot.png", "A 9464-2020")</f>
        <v/>
      </c>
      <c r="V177">
        <f>HYPERLINK("https://klasma.github.io/Logging_1765/klagomål/A 9464-2020 FSC-klagomål.docx", "A 9464-2020")</f>
        <v/>
      </c>
      <c r="W177">
        <f>HYPERLINK("https://klasma.github.io/Logging_1765/klagomålsmail/A 9464-2020 FSC-klagomål mail.docx", "A 9464-2020")</f>
        <v/>
      </c>
      <c r="X177">
        <f>HYPERLINK("https://klasma.github.io/Logging_1765/tillsyn/A 9464-2020 tillsynsbegäran.docx", "A 9464-2020")</f>
        <v/>
      </c>
      <c r="Y177">
        <f>HYPERLINK("https://klasma.github.io/Logging_1765/tillsynsmail/A 9464-2020 tillsynsbegäran mail.docx", "A 9464-2020")</f>
        <v/>
      </c>
    </row>
    <row r="178" ht="15" customHeight="1">
      <c r="A178" t="inlineStr">
        <is>
          <t>A 18231-2020</t>
        </is>
      </c>
      <c r="B178" s="1" t="n">
        <v>43928</v>
      </c>
      <c r="C178" s="1" t="n">
        <v>45353</v>
      </c>
      <c r="D178" t="inlineStr">
        <is>
          <t>VÄRMLANDS LÄN</t>
        </is>
      </c>
      <c r="E178" t="inlineStr">
        <is>
          <t>KARLSTAD</t>
        </is>
      </c>
      <c r="G178" t="n">
        <v>0.5</v>
      </c>
      <c r="H178" t="n">
        <v>2</v>
      </c>
      <c r="I178" t="n">
        <v>0</v>
      </c>
      <c r="J178" t="n">
        <v>0</v>
      </c>
      <c r="K178" t="n">
        <v>1</v>
      </c>
      <c r="L178" t="n">
        <v>0</v>
      </c>
      <c r="M178" t="n">
        <v>0</v>
      </c>
      <c r="N178" t="n">
        <v>0</v>
      </c>
      <c r="O178" t="n">
        <v>1</v>
      </c>
      <c r="P178" t="n">
        <v>1</v>
      </c>
      <c r="Q178" t="n">
        <v>2</v>
      </c>
      <c r="R178" s="2" t="inlineStr">
        <is>
          <t>Knärot
Mattlummer</t>
        </is>
      </c>
      <c r="S178">
        <f>HYPERLINK("https://klasma.github.io/Logging_1780/artfynd/A 18231-2020 artfynd.xlsx", "A 18231-2020")</f>
        <v/>
      </c>
      <c r="T178">
        <f>HYPERLINK("https://klasma.github.io/Logging_1780/kartor/A 18231-2020 karta.png", "A 18231-2020")</f>
        <v/>
      </c>
      <c r="U178">
        <f>HYPERLINK("https://klasma.github.io/Logging_1780/knärot/A 18231-2020 karta knärot.png", "A 18231-2020")</f>
        <v/>
      </c>
      <c r="V178">
        <f>HYPERLINK("https://klasma.github.io/Logging_1780/klagomål/A 18231-2020 FSC-klagomål.docx", "A 18231-2020")</f>
        <v/>
      </c>
      <c r="W178">
        <f>HYPERLINK("https://klasma.github.io/Logging_1780/klagomålsmail/A 18231-2020 FSC-klagomål mail.docx", "A 18231-2020")</f>
        <v/>
      </c>
      <c r="X178">
        <f>HYPERLINK("https://klasma.github.io/Logging_1780/tillsyn/A 18231-2020 tillsynsbegäran.docx", "A 18231-2020")</f>
        <v/>
      </c>
      <c r="Y178">
        <f>HYPERLINK("https://klasma.github.io/Logging_1780/tillsynsmail/A 18231-2020 tillsynsbegäran mail.docx", "A 18231-2020")</f>
        <v/>
      </c>
    </row>
    <row r="179" ht="15" customHeight="1">
      <c r="A179" t="inlineStr">
        <is>
          <t>A 34418-2020</t>
        </is>
      </c>
      <c r="B179" s="1" t="n">
        <v>44029</v>
      </c>
      <c r="C179" s="1" t="n">
        <v>45353</v>
      </c>
      <c r="D179" t="inlineStr">
        <is>
          <t>VÄRMLANDS LÄN</t>
        </is>
      </c>
      <c r="E179" t="inlineStr">
        <is>
          <t>STORFORS</t>
        </is>
      </c>
      <c r="G179" t="n">
        <v>3.1</v>
      </c>
      <c r="H179" t="n">
        <v>0</v>
      </c>
      <c r="I179" t="n">
        <v>1</v>
      </c>
      <c r="J179" t="n">
        <v>1</v>
      </c>
      <c r="K179" t="n">
        <v>0</v>
      </c>
      <c r="L179" t="n">
        <v>0</v>
      </c>
      <c r="M179" t="n">
        <v>0</v>
      </c>
      <c r="N179" t="n">
        <v>0</v>
      </c>
      <c r="O179" t="n">
        <v>1</v>
      </c>
      <c r="P179" t="n">
        <v>0</v>
      </c>
      <c r="Q179" t="n">
        <v>2</v>
      </c>
      <c r="R179" s="2" t="inlineStr">
        <is>
          <t>Lunglav
Fällmossa</t>
        </is>
      </c>
      <c r="S179">
        <f>HYPERLINK("https://klasma.github.io/Logging_1760/artfynd/A 34418-2020 artfynd.xlsx", "A 34418-2020")</f>
        <v/>
      </c>
      <c r="T179">
        <f>HYPERLINK("https://klasma.github.io/Logging_1760/kartor/A 34418-2020 karta.png", "A 34418-2020")</f>
        <v/>
      </c>
      <c r="V179">
        <f>HYPERLINK("https://klasma.github.io/Logging_1760/klagomål/A 34418-2020 FSC-klagomål.docx", "A 34418-2020")</f>
        <v/>
      </c>
      <c r="W179">
        <f>HYPERLINK("https://klasma.github.io/Logging_1760/klagomålsmail/A 34418-2020 FSC-klagomål mail.docx", "A 34418-2020")</f>
        <v/>
      </c>
      <c r="X179">
        <f>HYPERLINK("https://klasma.github.io/Logging_1760/tillsyn/A 34418-2020 tillsynsbegäran.docx", "A 34418-2020")</f>
        <v/>
      </c>
      <c r="Y179">
        <f>HYPERLINK("https://klasma.github.io/Logging_1760/tillsynsmail/A 34418-2020 tillsynsbegäran mail.docx", "A 34418-2020")</f>
        <v/>
      </c>
    </row>
    <row r="180" ht="15" customHeight="1">
      <c r="A180" t="inlineStr">
        <is>
          <t>A 42882-2020</t>
        </is>
      </c>
      <c r="B180" s="1" t="n">
        <v>44078</v>
      </c>
      <c r="C180" s="1" t="n">
        <v>45353</v>
      </c>
      <c r="D180" t="inlineStr">
        <is>
          <t>VÄRMLANDS LÄN</t>
        </is>
      </c>
      <c r="E180" t="inlineStr">
        <is>
          <t>FILIPSTAD</t>
        </is>
      </c>
      <c r="F180" t="inlineStr">
        <is>
          <t>Bergvik skog väst AB</t>
        </is>
      </c>
      <c r="G180" t="n">
        <v>2.2</v>
      </c>
      <c r="H180" t="n">
        <v>0</v>
      </c>
      <c r="I180" t="n">
        <v>0</v>
      </c>
      <c r="J180" t="n">
        <v>2</v>
      </c>
      <c r="K180" t="n">
        <v>0</v>
      </c>
      <c r="L180" t="n">
        <v>0</v>
      </c>
      <c r="M180" t="n">
        <v>0</v>
      </c>
      <c r="N180" t="n">
        <v>0</v>
      </c>
      <c r="O180" t="n">
        <v>2</v>
      </c>
      <c r="P180" t="n">
        <v>0</v>
      </c>
      <c r="Q180" t="n">
        <v>2</v>
      </c>
      <c r="R180" s="2" t="inlineStr">
        <is>
          <t>Lunglav
Stjärntagging</t>
        </is>
      </c>
      <c r="S180">
        <f>HYPERLINK("https://klasma.github.io/Logging_1782/artfynd/A 42882-2020 artfynd.xlsx", "A 42882-2020")</f>
        <v/>
      </c>
      <c r="T180">
        <f>HYPERLINK("https://klasma.github.io/Logging_1782/kartor/A 42882-2020 karta.png", "A 42882-2020")</f>
        <v/>
      </c>
      <c r="V180">
        <f>HYPERLINK("https://klasma.github.io/Logging_1782/klagomål/A 42882-2020 FSC-klagomål.docx", "A 42882-2020")</f>
        <v/>
      </c>
      <c r="W180">
        <f>HYPERLINK("https://klasma.github.io/Logging_1782/klagomålsmail/A 42882-2020 FSC-klagomål mail.docx", "A 42882-2020")</f>
        <v/>
      </c>
      <c r="X180">
        <f>HYPERLINK("https://klasma.github.io/Logging_1782/tillsyn/A 42882-2020 tillsynsbegäran.docx", "A 42882-2020")</f>
        <v/>
      </c>
      <c r="Y180">
        <f>HYPERLINK("https://klasma.github.io/Logging_1782/tillsynsmail/A 42882-2020 tillsynsbegäran mail.docx", "A 42882-2020")</f>
        <v/>
      </c>
    </row>
    <row r="181" ht="15" customHeight="1">
      <c r="A181" t="inlineStr">
        <is>
          <t>A 43407-2020</t>
        </is>
      </c>
      <c r="B181" s="1" t="n">
        <v>44081</v>
      </c>
      <c r="C181" s="1" t="n">
        <v>45353</v>
      </c>
      <c r="D181" t="inlineStr">
        <is>
          <t>VÄRMLANDS LÄN</t>
        </is>
      </c>
      <c r="E181" t="inlineStr">
        <is>
          <t>KRISTINEHAMN</t>
        </is>
      </c>
      <c r="G181" t="n">
        <v>6.9</v>
      </c>
      <c r="H181" t="n">
        <v>2</v>
      </c>
      <c r="I181" t="n">
        <v>0</v>
      </c>
      <c r="J181" t="n">
        <v>0</v>
      </c>
      <c r="K181" t="n">
        <v>2</v>
      </c>
      <c r="L181" t="n">
        <v>0</v>
      </c>
      <c r="M181" t="n">
        <v>0</v>
      </c>
      <c r="N181" t="n">
        <v>0</v>
      </c>
      <c r="O181" t="n">
        <v>2</v>
      </c>
      <c r="P181" t="n">
        <v>2</v>
      </c>
      <c r="Q181" t="n">
        <v>2</v>
      </c>
      <c r="R181" s="2" t="inlineStr">
        <is>
          <t>Bombmurkla
Knärot</t>
        </is>
      </c>
      <c r="S181">
        <f>HYPERLINK("https://klasma.github.io/Logging_1781/artfynd/A 43407-2020 artfynd.xlsx", "A 43407-2020")</f>
        <v/>
      </c>
      <c r="T181">
        <f>HYPERLINK("https://klasma.github.io/Logging_1781/kartor/A 43407-2020 karta.png", "A 43407-2020")</f>
        <v/>
      </c>
      <c r="U181">
        <f>HYPERLINK("https://klasma.github.io/Logging_1781/knärot/A 43407-2020 karta knärot.png", "A 43407-2020")</f>
        <v/>
      </c>
      <c r="V181">
        <f>HYPERLINK("https://klasma.github.io/Logging_1781/klagomål/A 43407-2020 FSC-klagomål.docx", "A 43407-2020")</f>
        <v/>
      </c>
      <c r="W181">
        <f>HYPERLINK("https://klasma.github.io/Logging_1781/klagomålsmail/A 43407-2020 FSC-klagomål mail.docx", "A 43407-2020")</f>
        <v/>
      </c>
      <c r="X181">
        <f>HYPERLINK("https://klasma.github.io/Logging_1781/tillsyn/A 43407-2020 tillsynsbegäran.docx", "A 43407-2020")</f>
        <v/>
      </c>
      <c r="Y181">
        <f>HYPERLINK("https://klasma.github.io/Logging_1781/tillsynsmail/A 43407-2020 tillsynsbegäran mail.docx", "A 43407-2020")</f>
        <v/>
      </c>
    </row>
    <row r="182" ht="15" customHeight="1">
      <c r="A182" t="inlineStr">
        <is>
          <t>A 51666-2020</t>
        </is>
      </c>
      <c r="B182" s="1" t="n">
        <v>44113</v>
      </c>
      <c r="C182" s="1" t="n">
        <v>45353</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53198-2020</t>
        </is>
      </c>
      <c r="B183" s="1" t="n">
        <v>44122</v>
      </c>
      <c r="C183" s="1" t="n">
        <v>45353</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1524-2021</t>
        </is>
      </c>
      <c r="B184" s="1" t="n">
        <v>44209</v>
      </c>
      <c r="C184" s="1" t="n">
        <v>45353</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10098-2021</t>
        </is>
      </c>
      <c r="B185" s="1" t="n">
        <v>44253</v>
      </c>
      <c r="C185" s="1" t="n">
        <v>45353</v>
      </c>
      <c r="D185" t="inlineStr">
        <is>
          <t>VÄRMLANDS LÄN</t>
        </is>
      </c>
      <c r="E185" t="inlineStr">
        <is>
          <t>GRUMS</t>
        </is>
      </c>
      <c r="F185" t="inlineStr">
        <is>
          <t>Bergvik skog väst AB</t>
        </is>
      </c>
      <c r="G185" t="n">
        <v>8.4</v>
      </c>
      <c r="H185" t="n">
        <v>2</v>
      </c>
      <c r="I185" t="n">
        <v>0</v>
      </c>
      <c r="J185" t="n">
        <v>1</v>
      </c>
      <c r="K185" t="n">
        <v>0</v>
      </c>
      <c r="L185" t="n">
        <v>0</v>
      </c>
      <c r="M185" t="n">
        <v>0</v>
      </c>
      <c r="N185" t="n">
        <v>0</v>
      </c>
      <c r="O185" t="n">
        <v>1</v>
      </c>
      <c r="P185" t="n">
        <v>0</v>
      </c>
      <c r="Q185" t="n">
        <v>2</v>
      </c>
      <c r="R185" s="2" t="inlineStr">
        <is>
          <t>Spillkråka
Vanlig groda</t>
        </is>
      </c>
      <c r="S185">
        <f>HYPERLINK("https://klasma.github.io/Logging_1764/artfynd/A 10098-2021 artfynd.xlsx", "A 10098-2021")</f>
        <v/>
      </c>
      <c r="T185">
        <f>HYPERLINK("https://klasma.github.io/Logging_1764/kartor/A 10098-2021 karta.png", "A 10098-2021")</f>
        <v/>
      </c>
      <c r="V185">
        <f>HYPERLINK("https://klasma.github.io/Logging_1764/klagomål/A 10098-2021 FSC-klagomål.docx", "A 10098-2021")</f>
        <v/>
      </c>
      <c r="W185">
        <f>HYPERLINK("https://klasma.github.io/Logging_1764/klagomålsmail/A 10098-2021 FSC-klagomål mail.docx", "A 10098-2021")</f>
        <v/>
      </c>
      <c r="X185">
        <f>HYPERLINK("https://klasma.github.io/Logging_1764/tillsyn/A 10098-2021 tillsynsbegäran.docx", "A 10098-2021")</f>
        <v/>
      </c>
      <c r="Y185">
        <f>HYPERLINK("https://klasma.github.io/Logging_1764/tillsynsmail/A 10098-2021 tillsynsbegäran mail.docx", "A 10098-2021")</f>
        <v/>
      </c>
      <c r="Z185">
        <f>HYPERLINK("https://klasma.github.io/Logging_1764/fåglar/A 10098-2021 prioriterade fågelarter.docx", "A 10098-2021")</f>
        <v/>
      </c>
    </row>
    <row r="186" ht="15" customHeight="1">
      <c r="A186" t="inlineStr">
        <is>
          <t>A 11581-2021</t>
        </is>
      </c>
      <c r="B186" s="1" t="n">
        <v>44264</v>
      </c>
      <c r="C186" s="1" t="n">
        <v>45353</v>
      </c>
      <c r="D186" t="inlineStr">
        <is>
          <t>VÄRMLANDS LÄN</t>
        </is>
      </c>
      <c r="E186" t="inlineStr">
        <is>
          <t>KARLSTAD</t>
        </is>
      </c>
      <c r="F186" t="inlineStr">
        <is>
          <t>Kommuner</t>
        </is>
      </c>
      <c r="G186" t="n">
        <v>2.3</v>
      </c>
      <c r="H186" t="n">
        <v>0</v>
      </c>
      <c r="I186" t="n">
        <v>2</v>
      </c>
      <c r="J186" t="n">
        <v>0</v>
      </c>
      <c r="K186" t="n">
        <v>0</v>
      </c>
      <c r="L186" t="n">
        <v>0</v>
      </c>
      <c r="M186" t="n">
        <v>0</v>
      </c>
      <c r="N186" t="n">
        <v>0</v>
      </c>
      <c r="O186" t="n">
        <v>0</v>
      </c>
      <c r="P186" t="n">
        <v>0</v>
      </c>
      <c r="Q186" t="n">
        <v>2</v>
      </c>
      <c r="R186" s="2" t="inlineStr">
        <is>
          <t>Rödgul trumpetsvamp
Vågbandad barkbock</t>
        </is>
      </c>
      <c r="S186">
        <f>HYPERLINK("https://klasma.github.io/Logging_1780/artfynd/A 11581-2021 artfynd.xlsx", "A 11581-2021")</f>
        <v/>
      </c>
      <c r="T186">
        <f>HYPERLINK("https://klasma.github.io/Logging_1780/kartor/A 11581-2021 karta.png", "A 11581-2021")</f>
        <v/>
      </c>
      <c r="V186">
        <f>HYPERLINK("https://klasma.github.io/Logging_1780/klagomål/A 11581-2021 FSC-klagomål.docx", "A 11581-2021")</f>
        <v/>
      </c>
      <c r="W186">
        <f>HYPERLINK("https://klasma.github.io/Logging_1780/klagomålsmail/A 11581-2021 FSC-klagomål mail.docx", "A 11581-2021")</f>
        <v/>
      </c>
      <c r="X186">
        <f>HYPERLINK("https://klasma.github.io/Logging_1780/tillsyn/A 11581-2021 tillsynsbegäran.docx", "A 11581-2021")</f>
        <v/>
      </c>
      <c r="Y186">
        <f>HYPERLINK("https://klasma.github.io/Logging_1780/tillsynsmail/A 11581-2021 tillsynsbegäran mail.docx", "A 11581-2021")</f>
        <v/>
      </c>
    </row>
    <row r="187" ht="15" customHeight="1">
      <c r="A187" t="inlineStr">
        <is>
          <t>A 17055-2021</t>
        </is>
      </c>
      <c r="B187" s="1" t="n">
        <v>44296</v>
      </c>
      <c r="C187" s="1" t="n">
        <v>45353</v>
      </c>
      <c r="D187" t="inlineStr">
        <is>
          <t>VÄRMLANDS LÄN</t>
        </is>
      </c>
      <c r="E187" t="inlineStr">
        <is>
          <t>EDA</t>
        </is>
      </c>
      <c r="G187" t="n">
        <v>3.8</v>
      </c>
      <c r="H187" t="n">
        <v>0</v>
      </c>
      <c r="I187" t="n">
        <v>1</v>
      </c>
      <c r="J187" t="n">
        <v>0</v>
      </c>
      <c r="K187" t="n">
        <v>0</v>
      </c>
      <c r="L187" t="n">
        <v>1</v>
      </c>
      <c r="M187" t="n">
        <v>0</v>
      </c>
      <c r="N187" t="n">
        <v>0</v>
      </c>
      <c r="O187" t="n">
        <v>1</v>
      </c>
      <c r="P187" t="n">
        <v>1</v>
      </c>
      <c r="Q187" t="n">
        <v>2</v>
      </c>
      <c r="R187" s="2" t="inlineStr">
        <is>
          <t>Ask
Dvärghäxört</t>
        </is>
      </c>
      <c r="S187">
        <f>HYPERLINK("https://klasma.github.io/Logging_1730/artfynd/A 17055-2021 artfynd.xlsx", "A 17055-2021")</f>
        <v/>
      </c>
      <c r="T187">
        <f>HYPERLINK("https://klasma.github.io/Logging_1730/kartor/A 17055-2021 karta.png", "A 17055-2021")</f>
        <v/>
      </c>
      <c r="V187">
        <f>HYPERLINK("https://klasma.github.io/Logging_1730/klagomål/A 17055-2021 FSC-klagomål.docx", "A 17055-2021")</f>
        <v/>
      </c>
      <c r="W187">
        <f>HYPERLINK("https://klasma.github.io/Logging_1730/klagomålsmail/A 17055-2021 FSC-klagomål mail.docx", "A 17055-2021")</f>
        <v/>
      </c>
      <c r="X187">
        <f>HYPERLINK("https://klasma.github.io/Logging_1730/tillsyn/A 17055-2021 tillsynsbegäran.docx", "A 17055-2021")</f>
        <v/>
      </c>
      <c r="Y187">
        <f>HYPERLINK("https://klasma.github.io/Logging_1730/tillsynsmail/A 17055-2021 tillsynsbegäran mail.docx", "A 17055-2021")</f>
        <v/>
      </c>
    </row>
    <row r="188" ht="15" customHeight="1">
      <c r="A188" t="inlineStr">
        <is>
          <t>A 22410-2021</t>
        </is>
      </c>
      <c r="B188" s="1" t="n">
        <v>44326</v>
      </c>
      <c r="C188" s="1" t="n">
        <v>45353</v>
      </c>
      <c r="D188" t="inlineStr">
        <is>
          <t>VÄRMLANDS LÄN</t>
        </is>
      </c>
      <c r="E188" t="inlineStr">
        <is>
          <t>FILIPSTAD</t>
        </is>
      </c>
      <c r="F188" t="inlineStr">
        <is>
          <t>Bergvik skog väst AB</t>
        </is>
      </c>
      <c r="G188" t="n">
        <v>9.800000000000001</v>
      </c>
      <c r="H188" t="n">
        <v>1</v>
      </c>
      <c r="I188" t="n">
        <v>0</v>
      </c>
      <c r="J188" t="n">
        <v>1</v>
      </c>
      <c r="K188" t="n">
        <v>0</v>
      </c>
      <c r="L188" t="n">
        <v>0</v>
      </c>
      <c r="M188" t="n">
        <v>0</v>
      </c>
      <c r="N188" t="n">
        <v>0</v>
      </c>
      <c r="O188" t="n">
        <v>1</v>
      </c>
      <c r="P188" t="n">
        <v>0</v>
      </c>
      <c r="Q188" t="n">
        <v>2</v>
      </c>
      <c r="R188" s="2" t="inlineStr">
        <is>
          <t>Brunklöver
Revlummer</t>
        </is>
      </c>
      <c r="S188">
        <f>HYPERLINK("https://klasma.github.io/Logging_1782/artfynd/A 22410-2021 artfynd.xlsx", "A 22410-2021")</f>
        <v/>
      </c>
      <c r="T188">
        <f>HYPERLINK("https://klasma.github.io/Logging_1782/kartor/A 22410-2021 karta.png", "A 22410-2021")</f>
        <v/>
      </c>
      <c r="V188">
        <f>HYPERLINK("https://klasma.github.io/Logging_1782/klagomål/A 22410-2021 FSC-klagomål.docx", "A 22410-2021")</f>
        <v/>
      </c>
      <c r="W188">
        <f>HYPERLINK("https://klasma.github.io/Logging_1782/klagomålsmail/A 22410-2021 FSC-klagomål mail.docx", "A 22410-2021")</f>
        <v/>
      </c>
      <c r="X188">
        <f>HYPERLINK("https://klasma.github.io/Logging_1782/tillsyn/A 22410-2021 tillsynsbegäran.docx", "A 22410-2021")</f>
        <v/>
      </c>
      <c r="Y188">
        <f>HYPERLINK("https://klasma.github.io/Logging_1782/tillsynsmail/A 22410-2021 tillsynsbegäran mail.docx", "A 22410-2021")</f>
        <v/>
      </c>
    </row>
    <row r="189" ht="15" customHeight="1">
      <c r="A189" t="inlineStr">
        <is>
          <t>A 31896-2021</t>
        </is>
      </c>
      <c r="B189" s="1" t="n">
        <v>44370</v>
      </c>
      <c r="C189" s="1" t="n">
        <v>45353</v>
      </c>
      <c r="D189" t="inlineStr">
        <is>
          <t>VÄRMLANDS LÄN</t>
        </is>
      </c>
      <c r="E189" t="inlineStr">
        <is>
          <t>KARLSTAD</t>
        </is>
      </c>
      <c r="F189" t="inlineStr">
        <is>
          <t>Kommuner</t>
        </is>
      </c>
      <c r="G189" t="n">
        <v>3.3</v>
      </c>
      <c r="H189" t="n">
        <v>0</v>
      </c>
      <c r="I189" t="n">
        <v>1</v>
      </c>
      <c r="J189" t="n">
        <v>0</v>
      </c>
      <c r="K189" t="n">
        <v>1</v>
      </c>
      <c r="L189" t="n">
        <v>0</v>
      </c>
      <c r="M189" t="n">
        <v>0</v>
      </c>
      <c r="N189" t="n">
        <v>0</v>
      </c>
      <c r="O189" t="n">
        <v>1</v>
      </c>
      <c r="P189" t="n">
        <v>1</v>
      </c>
      <c r="Q189" t="n">
        <v>2</v>
      </c>
      <c r="R189" s="2" t="inlineStr">
        <is>
          <t>Vågticka
Vågbandad barkbock</t>
        </is>
      </c>
      <c r="S189">
        <f>HYPERLINK("https://klasma.github.io/Logging_1780/artfynd/A 31896-2021 artfynd.xlsx", "A 31896-2021")</f>
        <v/>
      </c>
      <c r="T189">
        <f>HYPERLINK("https://klasma.github.io/Logging_1780/kartor/A 31896-2021 karta.png", "A 31896-2021")</f>
        <v/>
      </c>
      <c r="V189">
        <f>HYPERLINK("https://klasma.github.io/Logging_1780/klagomål/A 31896-2021 FSC-klagomål.docx", "A 31896-2021")</f>
        <v/>
      </c>
      <c r="W189">
        <f>HYPERLINK("https://klasma.github.io/Logging_1780/klagomålsmail/A 31896-2021 FSC-klagomål mail.docx", "A 31896-2021")</f>
        <v/>
      </c>
      <c r="X189">
        <f>HYPERLINK("https://klasma.github.io/Logging_1780/tillsyn/A 31896-2021 tillsynsbegäran.docx", "A 31896-2021")</f>
        <v/>
      </c>
      <c r="Y189">
        <f>HYPERLINK("https://klasma.github.io/Logging_1780/tillsynsmail/A 31896-2021 tillsynsbegäran mail.docx", "A 31896-2021")</f>
        <v/>
      </c>
    </row>
    <row r="190" ht="15" customHeight="1">
      <c r="A190" t="inlineStr">
        <is>
          <t>A 33866-2021</t>
        </is>
      </c>
      <c r="B190" s="1" t="n">
        <v>44378</v>
      </c>
      <c r="C190" s="1" t="n">
        <v>45353</v>
      </c>
      <c r="D190" t="inlineStr">
        <is>
          <t>VÄRMLANDS LÄN</t>
        </is>
      </c>
      <c r="E190" t="inlineStr">
        <is>
          <t>KARLSTAD</t>
        </is>
      </c>
      <c r="F190" t="inlineStr">
        <is>
          <t>Kyrkan</t>
        </is>
      </c>
      <c r="G190" t="n">
        <v>5.8</v>
      </c>
      <c r="H190" t="n">
        <v>2</v>
      </c>
      <c r="I190" t="n">
        <v>1</v>
      </c>
      <c r="J190" t="n">
        <v>0</v>
      </c>
      <c r="K190" t="n">
        <v>0</v>
      </c>
      <c r="L190" t="n">
        <v>0</v>
      </c>
      <c r="M190" t="n">
        <v>0</v>
      </c>
      <c r="N190" t="n">
        <v>0</v>
      </c>
      <c r="O190" t="n">
        <v>0</v>
      </c>
      <c r="P190" t="n">
        <v>0</v>
      </c>
      <c r="Q190" t="n">
        <v>2</v>
      </c>
      <c r="R190" s="2" t="inlineStr">
        <is>
          <t>Plattlummer
Mattlummer</t>
        </is>
      </c>
      <c r="S190">
        <f>HYPERLINK("https://klasma.github.io/Logging_1780/artfynd/A 33866-2021 artfynd.xlsx", "A 33866-2021")</f>
        <v/>
      </c>
      <c r="T190">
        <f>HYPERLINK("https://klasma.github.io/Logging_1780/kartor/A 33866-2021 karta.png", "A 33866-2021")</f>
        <v/>
      </c>
      <c r="V190">
        <f>HYPERLINK("https://klasma.github.io/Logging_1780/klagomål/A 33866-2021 FSC-klagomål.docx", "A 33866-2021")</f>
        <v/>
      </c>
      <c r="W190">
        <f>HYPERLINK("https://klasma.github.io/Logging_1780/klagomålsmail/A 33866-2021 FSC-klagomål mail.docx", "A 33866-2021")</f>
        <v/>
      </c>
      <c r="X190">
        <f>HYPERLINK("https://klasma.github.io/Logging_1780/tillsyn/A 33866-2021 tillsynsbegäran.docx", "A 33866-2021")</f>
        <v/>
      </c>
      <c r="Y190">
        <f>HYPERLINK("https://klasma.github.io/Logging_1780/tillsynsmail/A 33866-2021 tillsynsbegäran mail.docx", "A 33866-2021")</f>
        <v/>
      </c>
    </row>
    <row r="191" ht="15" customHeight="1">
      <c r="A191" t="inlineStr">
        <is>
          <t>A 43023-2021</t>
        </is>
      </c>
      <c r="B191" s="1" t="n">
        <v>44431</v>
      </c>
      <c r="C191" s="1" t="n">
        <v>45353</v>
      </c>
      <c r="D191" t="inlineStr">
        <is>
          <t>VÄRMLANDS LÄN</t>
        </is>
      </c>
      <c r="E191" t="inlineStr">
        <is>
          <t>TORSBY</t>
        </is>
      </c>
      <c r="G191" t="n">
        <v>1</v>
      </c>
      <c r="H191" t="n">
        <v>0</v>
      </c>
      <c r="I191" t="n">
        <v>0</v>
      </c>
      <c r="J191" t="n">
        <v>2</v>
      </c>
      <c r="K191" t="n">
        <v>0</v>
      </c>
      <c r="L191" t="n">
        <v>0</v>
      </c>
      <c r="M191" t="n">
        <v>0</v>
      </c>
      <c r="N191" t="n">
        <v>0</v>
      </c>
      <c r="O191" t="n">
        <v>2</v>
      </c>
      <c r="P191" t="n">
        <v>0</v>
      </c>
      <c r="Q191" t="n">
        <v>2</v>
      </c>
      <c r="R191" s="2" t="inlineStr">
        <is>
          <t>Doftskinn
Violettgrå tagellav</t>
        </is>
      </c>
      <c r="S191">
        <f>HYPERLINK("https://klasma.github.io/Logging_1737/artfynd/A 43023-2021 artfynd.xlsx", "A 43023-2021")</f>
        <v/>
      </c>
      <c r="T191">
        <f>HYPERLINK("https://klasma.github.io/Logging_1737/kartor/A 43023-2021 karta.png", "A 43023-2021")</f>
        <v/>
      </c>
      <c r="V191">
        <f>HYPERLINK("https://klasma.github.io/Logging_1737/klagomål/A 43023-2021 FSC-klagomål.docx", "A 43023-2021")</f>
        <v/>
      </c>
      <c r="W191">
        <f>HYPERLINK("https://klasma.github.io/Logging_1737/klagomålsmail/A 43023-2021 FSC-klagomål mail.docx", "A 43023-2021")</f>
        <v/>
      </c>
      <c r="X191">
        <f>HYPERLINK("https://klasma.github.io/Logging_1737/tillsyn/A 43023-2021 tillsynsbegäran.docx", "A 43023-2021")</f>
        <v/>
      </c>
      <c r="Y191">
        <f>HYPERLINK("https://klasma.github.io/Logging_1737/tillsynsmail/A 43023-2021 tillsynsbegäran mail.docx", "A 43023-2021")</f>
        <v/>
      </c>
    </row>
    <row r="192" ht="15" customHeight="1">
      <c r="A192" t="inlineStr">
        <is>
          <t>A 45750-2021</t>
        </is>
      </c>
      <c r="B192" s="1" t="n">
        <v>44435</v>
      </c>
      <c r="C192" s="1" t="n">
        <v>45353</v>
      </c>
      <c r="D192" t="inlineStr">
        <is>
          <t>VÄRMLANDS LÄN</t>
        </is>
      </c>
      <c r="E192" t="inlineStr">
        <is>
          <t>ARVIKA</t>
        </is>
      </c>
      <c r="G192" t="n">
        <v>2.1</v>
      </c>
      <c r="H192" t="n">
        <v>1</v>
      </c>
      <c r="I192" t="n">
        <v>0</v>
      </c>
      <c r="J192" t="n">
        <v>2</v>
      </c>
      <c r="K192" t="n">
        <v>0</v>
      </c>
      <c r="L192" t="n">
        <v>0</v>
      </c>
      <c r="M192" t="n">
        <v>0</v>
      </c>
      <c r="N192" t="n">
        <v>0</v>
      </c>
      <c r="O192" t="n">
        <v>2</v>
      </c>
      <c r="P192" t="n">
        <v>0</v>
      </c>
      <c r="Q192" t="n">
        <v>2</v>
      </c>
      <c r="R192" s="2" t="inlineStr">
        <is>
          <t>Lunglav
Talltita</t>
        </is>
      </c>
      <c r="S192">
        <f>HYPERLINK("https://klasma.github.io/Logging_1784/artfynd/A 45750-2021 artfynd.xlsx", "A 45750-2021")</f>
        <v/>
      </c>
      <c r="T192">
        <f>HYPERLINK("https://klasma.github.io/Logging_1784/kartor/A 45750-2021 karta.png", "A 45750-2021")</f>
        <v/>
      </c>
      <c r="V192">
        <f>HYPERLINK("https://klasma.github.io/Logging_1784/klagomål/A 45750-2021 FSC-klagomål.docx", "A 45750-2021")</f>
        <v/>
      </c>
      <c r="W192">
        <f>HYPERLINK("https://klasma.github.io/Logging_1784/klagomålsmail/A 45750-2021 FSC-klagomål mail.docx", "A 45750-2021")</f>
        <v/>
      </c>
      <c r="X192">
        <f>HYPERLINK("https://klasma.github.io/Logging_1784/tillsyn/A 45750-2021 tillsynsbegäran.docx", "A 45750-2021")</f>
        <v/>
      </c>
      <c r="Y192">
        <f>HYPERLINK("https://klasma.github.io/Logging_1784/tillsynsmail/A 45750-2021 tillsynsbegäran mail.docx", "A 45750-2021")</f>
        <v/>
      </c>
      <c r="Z192">
        <f>HYPERLINK("https://klasma.github.io/Logging_1784/fåglar/A 45750-2021 prioriterade fågelarter.docx", "A 45750-2021")</f>
        <v/>
      </c>
    </row>
    <row r="193" ht="15" customHeight="1">
      <c r="A193" t="inlineStr">
        <is>
          <t>A 48762-2021</t>
        </is>
      </c>
      <c r="B193" s="1" t="n">
        <v>44452</v>
      </c>
      <c r="C193" s="1" t="n">
        <v>45353</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v>
      </c>
      <c r="C194" s="1" t="n">
        <v>45353</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51072-2021</t>
        </is>
      </c>
      <c r="B195" s="1" t="n">
        <v>44461</v>
      </c>
      <c r="C195" s="1" t="n">
        <v>45353</v>
      </c>
      <c r="D195" t="inlineStr">
        <is>
          <t>VÄRMLANDS LÄN</t>
        </is>
      </c>
      <c r="E195" t="inlineStr">
        <is>
          <t>FORSHAGA</t>
        </is>
      </c>
      <c r="G195" t="n">
        <v>19.6</v>
      </c>
      <c r="H195" t="n">
        <v>1</v>
      </c>
      <c r="I195" t="n">
        <v>0</v>
      </c>
      <c r="J195" t="n">
        <v>2</v>
      </c>
      <c r="K195" t="n">
        <v>0</v>
      </c>
      <c r="L195" t="n">
        <v>0</v>
      </c>
      <c r="M195" t="n">
        <v>0</v>
      </c>
      <c r="N195" t="n">
        <v>0</v>
      </c>
      <c r="O195" t="n">
        <v>2</v>
      </c>
      <c r="P195" t="n">
        <v>0</v>
      </c>
      <c r="Q195" t="n">
        <v>2</v>
      </c>
      <c r="R195" s="2" t="inlineStr">
        <is>
          <t>Brun gräsfjäril
Violettkantad guldvinge</t>
        </is>
      </c>
      <c r="S195">
        <f>HYPERLINK("https://klasma.github.io/Logging_1763/artfynd/A 51072-2021 artfynd.xlsx", "A 51072-2021")</f>
        <v/>
      </c>
      <c r="T195">
        <f>HYPERLINK("https://klasma.github.io/Logging_1763/kartor/A 51072-2021 karta.png", "A 51072-2021")</f>
        <v/>
      </c>
      <c r="V195">
        <f>HYPERLINK("https://klasma.github.io/Logging_1763/klagomål/A 51072-2021 FSC-klagomål.docx", "A 51072-2021")</f>
        <v/>
      </c>
      <c r="W195">
        <f>HYPERLINK("https://klasma.github.io/Logging_1763/klagomålsmail/A 51072-2021 FSC-klagomål mail.docx", "A 51072-2021")</f>
        <v/>
      </c>
      <c r="X195">
        <f>HYPERLINK("https://klasma.github.io/Logging_1763/tillsyn/A 51072-2021 tillsynsbegäran.docx", "A 51072-2021")</f>
        <v/>
      </c>
      <c r="Y195">
        <f>HYPERLINK("https://klasma.github.io/Logging_1763/tillsynsmail/A 51072-2021 tillsynsbegäran mail.docx", "A 51072-2021")</f>
        <v/>
      </c>
    </row>
    <row r="196" ht="15" customHeight="1">
      <c r="A196" t="inlineStr">
        <is>
          <t>A 54323-2021</t>
        </is>
      </c>
      <c r="B196" s="1" t="n">
        <v>44472</v>
      </c>
      <c r="C196" s="1" t="n">
        <v>45353</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65319-2021</t>
        </is>
      </c>
      <c r="B197" s="1" t="n">
        <v>44515</v>
      </c>
      <c r="C197" s="1" t="n">
        <v>45353</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66072-2021</t>
        </is>
      </c>
      <c r="B198" s="1" t="n">
        <v>44517</v>
      </c>
      <c r="C198" s="1" t="n">
        <v>45353</v>
      </c>
      <c r="D198" t="inlineStr">
        <is>
          <t>VÄRMLANDS LÄN</t>
        </is>
      </c>
      <c r="E198" t="inlineStr">
        <is>
          <t>FORSHAGA</t>
        </is>
      </c>
      <c r="F198" t="inlineStr">
        <is>
          <t>Bergvik skog väst AB</t>
        </is>
      </c>
      <c r="G198" t="n">
        <v>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HYPERLINK("https://klasma.github.io/Logging_1763/artfynd/A 66072-2021 artfynd.xlsx", "A 66072-2021")</f>
        <v/>
      </c>
      <c r="T198">
        <f>HYPERLINK("https://klasma.github.io/Logging_1763/kartor/A 66072-2021 karta.png", "A 66072-2021")</f>
        <v/>
      </c>
      <c r="V198">
        <f>HYPERLINK("https://klasma.github.io/Logging_1763/klagomål/A 66072-2021 FSC-klagomål.docx", "A 66072-2021")</f>
        <v/>
      </c>
      <c r="W198">
        <f>HYPERLINK("https://klasma.github.io/Logging_1763/klagomålsmail/A 66072-2021 FSC-klagomål mail.docx", "A 66072-2021")</f>
        <v/>
      </c>
      <c r="X198">
        <f>HYPERLINK("https://klasma.github.io/Logging_1763/tillsyn/A 66072-2021 tillsynsbegäran.docx", "A 66072-2021")</f>
        <v/>
      </c>
      <c r="Y198">
        <f>HYPERLINK("https://klasma.github.io/Logging_1763/tillsynsmail/A 66072-2021 tillsynsbegäran mail.docx", "A 66072-2021")</f>
        <v/>
      </c>
    </row>
    <row r="199" ht="15" customHeight="1">
      <c r="A199" t="inlineStr">
        <is>
          <t>A 66652-2021</t>
        </is>
      </c>
      <c r="B199" s="1" t="n">
        <v>44519</v>
      </c>
      <c r="C199" s="1" t="n">
        <v>45353</v>
      </c>
      <c r="D199" t="inlineStr">
        <is>
          <t>VÄRMLANDS LÄN</t>
        </is>
      </c>
      <c r="E199" t="inlineStr">
        <is>
          <t>ARVIKA</t>
        </is>
      </c>
      <c r="G199" t="n">
        <v>12.3</v>
      </c>
      <c r="H199" t="n">
        <v>0</v>
      </c>
      <c r="I199" t="n">
        <v>1</v>
      </c>
      <c r="J199" t="n">
        <v>1</v>
      </c>
      <c r="K199" t="n">
        <v>0</v>
      </c>
      <c r="L199" t="n">
        <v>0</v>
      </c>
      <c r="M199" t="n">
        <v>0</v>
      </c>
      <c r="N199" t="n">
        <v>0</v>
      </c>
      <c r="O199" t="n">
        <v>1</v>
      </c>
      <c r="P199" t="n">
        <v>0</v>
      </c>
      <c r="Q199" t="n">
        <v>2</v>
      </c>
      <c r="R199" s="2" t="inlineStr">
        <is>
          <t>Garnlav
Korallblylav</t>
        </is>
      </c>
      <c r="S199">
        <f>HYPERLINK("https://klasma.github.io/Logging_1784/artfynd/A 66652-2021 artfynd.xlsx", "A 66652-2021")</f>
        <v/>
      </c>
      <c r="T199">
        <f>HYPERLINK("https://klasma.github.io/Logging_1784/kartor/A 66652-2021 karta.png", "A 66652-2021")</f>
        <v/>
      </c>
      <c r="V199">
        <f>HYPERLINK("https://klasma.github.io/Logging_1784/klagomål/A 66652-2021 FSC-klagomål.docx", "A 66652-2021")</f>
        <v/>
      </c>
      <c r="W199">
        <f>HYPERLINK("https://klasma.github.io/Logging_1784/klagomålsmail/A 66652-2021 FSC-klagomål mail.docx", "A 66652-2021")</f>
        <v/>
      </c>
      <c r="X199">
        <f>HYPERLINK("https://klasma.github.io/Logging_1784/tillsyn/A 66652-2021 tillsynsbegäran.docx", "A 66652-2021")</f>
        <v/>
      </c>
      <c r="Y199">
        <f>HYPERLINK("https://klasma.github.io/Logging_1784/tillsynsmail/A 66652-2021 tillsynsbegäran mail.docx", "A 66652-2021")</f>
        <v/>
      </c>
    </row>
    <row r="200" ht="15" customHeight="1">
      <c r="A200" t="inlineStr">
        <is>
          <t>A 69928-2021</t>
        </is>
      </c>
      <c r="B200" s="1" t="n">
        <v>44533</v>
      </c>
      <c r="C200" s="1" t="n">
        <v>45353</v>
      </c>
      <c r="D200" t="inlineStr">
        <is>
          <t>VÄRMLANDS LÄN</t>
        </is>
      </c>
      <c r="E200" t="inlineStr">
        <is>
          <t>ARVIKA</t>
        </is>
      </c>
      <c r="G200" t="n">
        <v>1.9</v>
      </c>
      <c r="H200" t="n">
        <v>0</v>
      </c>
      <c r="I200" t="n">
        <v>1</v>
      </c>
      <c r="J200" t="n">
        <v>1</v>
      </c>
      <c r="K200" t="n">
        <v>0</v>
      </c>
      <c r="L200" t="n">
        <v>0</v>
      </c>
      <c r="M200" t="n">
        <v>0</v>
      </c>
      <c r="N200" t="n">
        <v>0</v>
      </c>
      <c r="O200" t="n">
        <v>1</v>
      </c>
      <c r="P200" t="n">
        <v>0</v>
      </c>
      <c r="Q200" t="n">
        <v>2</v>
      </c>
      <c r="R200" s="2" t="inlineStr">
        <is>
          <t>Orange taggsvamp
Rödgul trumpetsvamp</t>
        </is>
      </c>
      <c r="S200">
        <f>HYPERLINK("https://klasma.github.io/Logging_1784/artfynd/A 69928-2021 artfynd.xlsx", "A 69928-2021")</f>
        <v/>
      </c>
      <c r="T200">
        <f>HYPERLINK("https://klasma.github.io/Logging_1784/kartor/A 69928-2021 karta.png", "A 69928-2021")</f>
        <v/>
      </c>
      <c r="V200">
        <f>HYPERLINK("https://klasma.github.io/Logging_1784/klagomål/A 69928-2021 FSC-klagomål.docx", "A 69928-2021")</f>
        <v/>
      </c>
      <c r="W200">
        <f>HYPERLINK("https://klasma.github.io/Logging_1784/klagomålsmail/A 69928-2021 FSC-klagomål mail.docx", "A 69928-2021")</f>
        <v/>
      </c>
      <c r="X200">
        <f>HYPERLINK("https://klasma.github.io/Logging_1784/tillsyn/A 69928-2021 tillsynsbegäran.docx", "A 69928-2021")</f>
        <v/>
      </c>
      <c r="Y200">
        <f>HYPERLINK("https://klasma.github.io/Logging_1784/tillsynsmail/A 69928-2021 tillsynsbegäran mail.docx", "A 69928-2021")</f>
        <v/>
      </c>
    </row>
    <row r="201" ht="15" customHeight="1">
      <c r="A201" t="inlineStr">
        <is>
          <t>A 72989-2021</t>
        </is>
      </c>
      <c r="B201" s="1" t="n">
        <v>44549</v>
      </c>
      <c r="C201" s="1" t="n">
        <v>45353</v>
      </c>
      <c r="D201" t="inlineStr">
        <is>
          <t>VÄRMLANDS LÄN</t>
        </is>
      </c>
      <c r="E201" t="inlineStr">
        <is>
          <t>FORSHAGA</t>
        </is>
      </c>
      <c r="G201" t="n">
        <v>3.3</v>
      </c>
      <c r="H201" t="n">
        <v>2</v>
      </c>
      <c r="I201" t="n">
        <v>0</v>
      </c>
      <c r="J201" t="n">
        <v>1</v>
      </c>
      <c r="K201" t="n">
        <v>1</v>
      </c>
      <c r="L201" t="n">
        <v>0</v>
      </c>
      <c r="M201" t="n">
        <v>0</v>
      </c>
      <c r="N201" t="n">
        <v>0</v>
      </c>
      <c r="O201" t="n">
        <v>2</v>
      </c>
      <c r="P201" t="n">
        <v>1</v>
      </c>
      <c r="Q201" t="n">
        <v>2</v>
      </c>
      <c r="R201" s="2" t="inlineStr">
        <is>
          <t>Kungsfiskare
Mindre hackspett</t>
        </is>
      </c>
      <c r="S201">
        <f>HYPERLINK("https://klasma.github.io/Logging_1763/artfynd/A 72989-2021 artfynd.xlsx", "A 72989-2021")</f>
        <v/>
      </c>
      <c r="T201">
        <f>HYPERLINK("https://klasma.github.io/Logging_1763/kartor/A 72989-2021 karta.png", "A 72989-2021")</f>
        <v/>
      </c>
      <c r="V201">
        <f>HYPERLINK("https://klasma.github.io/Logging_1763/klagomål/A 72989-2021 FSC-klagomål.docx", "A 72989-2021")</f>
        <v/>
      </c>
      <c r="W201">
        <f>HYPERLINK("https://klasma.github.io/Logging_1763/klagomålsmail/A 72989-2021 FSC-klagomål mail.docx", "A 72989-2021")</f>
        <v/>
      </c>
      <c r="X201">
        <f>HYPERLINK("https://klasma.github.io/Logging_1763/tillsyn/A 72989-2021 tillsynsbegäran.docx", "A 72989-2021")</f>
        <v/>
      </c>
      <c r="Y201">
        <f>HYPERLINK("https://klasma.github.io/Logging_1763/tillsynsmail/A 72989-2021 tillsynsbegäran mail.docx", "A 72989-2021")</f>
        <v/>
      </c>
      <c r="Z201">
        <f>HYPERLINK("https://klasma.github.io/Logging_1763/fåglar/A 72989-2021 prioriterade fågelarter.docx", "A 72989-2021")</f>
        <v/>
      </c>
    </row>
    <row r="202" ht="15" customHeight="1">
      <c r="A202" t="inlineStr">
        <is>
          <t>A 573-2022</t>
        </is>
      </c>
      <c r="B202" s="1" t="n">
        <v>44566</v>
      </c>
      <c r="C202" s="1" t="n">
        <v>45353</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656-2022</t>
        </is>
      </c>
      <c r="B203" s="1" t="n">
        <v>44566</v>
      </c>
      <c r="C203" s="1" t="n">
        <v>45353</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3340-2022</t>
        </is>
      </c>
      <c r="B204" s="1" t="n">
        <v>44585</v>
      </c>
      <c r="C204" s="1" t="n">
        <v>45353</v>
      </c>
      <c r="D204" t="inlineStr">
        <is>
          <t>VÄRMLANDS LÄN</t>
        </is>
      </c>
      <c r="E204" t="inlineStr">
        <is>
          <t>ARVIKA</t>
        </is>
      </c>
      <c r="G204" t="n">
        <v>5</v>
      </c>
      <c r="H204" t="n">
        <v>0</v>
      </c>
      <c r="I204" t="n">
        <v>2</v>
      </c>
      <c r="J204" t="n">
        <v>0</v>
      </c>
      <c r="K204" t="n">
        <v>0</v>
      </c>
      <c r="L204" t="n">
        <v>0</v>
      </c>
      <c r="M204" t="n">
        <v>0</v>
      </c>
      <c r="N204" t="n">
        <v>0</v>
      </c>
      <c r="O204" t="n">
        <v>0</v>
      </c>
      <c r="P204" t="n">
        <v>0</v>
      </c>
      <c r="Q204" t="n">
        <v>2</v>
      </c>
      <c r="R204" s="2" t="inlineStr">
        <is>
          <t>Skinnlav
Stor aspticka</t>
        </is>
      </c>
      <c r="S204">
        <f>HYPERLINK("https://klasma.github.io/Logging_1784/artfynd/A 3340-2022 artfynd.xlsx", "A 3340-2022")</f>
        <v/>
      </c>
      <c r="T204">
        <f>HYPERLINK("https://klasma.github.io/Logging_1784/kartor/A 3340-2022 karta.png", "A 3340-2022")</f>
        <v/>
      </c>
      <c r="V204">
        <f>HYPERLINK("https://klasma.github.io/Logging_1784/klagomål/A 3340-2022 FSC-klagomål.docx", "A 3340-2022")</f>
        <v/>
      </c>
      <c r="W204">
        <f>HYPERLINK("https://klasma.github.io/Logging_1784/klagomålsmail/A 3340-2022 FSC-klagomål mail.docx", "A 3340-2022")</f>
        <v/>
      </c>
      <c r="X204">
        <f>HYPERLINK("https://klasma.github.io/Logging_1784/tillsyn/A 3340-2022 tillsynsbegäran.docx", "A 3340-2022")</f>
        <v/>
      </c>
      <c r="Y204">
        <f>HYPERLINK("https://klasma.github.io/Logging_1784/tillsynsmail/A 3340-2022 tillsynsbegäran mail.docx", "A 3340-2022")</f>
        <v/>
      </c>
    </row>
    <row r="205" ht="15" customHeight="1">
      <c r="A205" t="inlineStr">
        <is>
          <t>A 12375-2022</t>
        </is>
      </c>
      <c r="B205" s="1" t="n">
        <v>44637</v>
      </c>
      <c r="C205" s="1" t="n">
        <v>45353</v>
      </c>
      <c r="D205" t="inlineStr">
        <is>
          <t>VÄRMLANDS LÄN</t>
        </is>
      </c>
      <c r="E205" t="inlineStr">
        <is>
          <t>TORSBY</t>
        </is>
      </c>
      <c r="G205" t="n">
        <v>5.8</v>
      </c>
      <c r="H205" t="n">
        <v>0</v>
      </c>
      <c r="I205" t="n">
        <v>1</v>
      </c>
      <c r="J205" t="n">
        <v>1</v>
      </c>
      <c r="K205" t="n">
        <v>0</v>
      </c>
      <c r="L205" t="n">
        <v>0</v>
      </c>
      <c r="M205" t="n">
        <v>0</v>
      </c>
      <c r="N205" t="n">
        <v>0</v>
      </c>
      <c r="O205" t="n">
        <v>1</v>
      </c>
      <c r="P205" t="n">
        <v>0</v>
      </c>
      <c r="Q205" t="n">
        <v>2</v>
      </c>
      <c r="R205" s="2" t="inlineStr">
        <is>
          <t>Garnlav
Nästlav</t>
        </is>
      </c>
      <c r="S205">
        <f>HYPERLINK("https://klasma.github.io/Logging_1737/artfynd/A 12375-2022 artfynd.xlsx", "A 12375-2022")</f>
        <v/>
      </c>
      <c r="T205">
        <f>HYPERLINK("https://klasma.github.io/Logging_1737/kartor/A 12375-2022 karta.png", "A 12375-2022")</f>
        <v/>
      </c>
      <c r="V205">
        <f>HYPERLINK("https://klasma.github.io/Logging_1737/klagomål/A 12375-2022 FSC-klagomål.docx", "A 12375-2022")</f>
        <v/>
      </c>
      <c r="W205">
        <f>HYPERLINK("https://klasma.github.io/Logging_1737/klagomålsmail/A 12375-2022 FSC-klagomål mail.docx", "A 12375-2022")</f>
        <v/>
      </c>
      <c r="X205">
        <f>HYPERLINK("https://klasma.github.io/Logging_1737/tillsyn/A 12375-2022 tillsynsbegäran.docx", "A 12375-2022")</f>
        <v/>
      </c>
      <c r="Y205">
        <f>HYPERLINK("https://klasma.github.io/Logging_1737/tillsynsmail/A 12375-2022 tillsynsbegäran mail.docx", "A 12375-2022")</f>
        <v/>
      </c>
    </row>
    <row r="206" ht="15" customHeight="1">
      <c r="A206" t="inlineStr">
        <is>
          <t>A 12372-2022</t>
        </is>
      </c>
      <c r="B206" s="1" t="n">
        <v>44637</v>
      </c>
      <c r="C206" s="1" t="n">
        <v>45353</v>
      </c>
      <c r="D206" t="inlineStr">
        <is>
          <t>VÄRMLANDS LÄN</t>
        </is>
      </c>
      <c r="E206" t="inlineStr">
        <is>
          <t>TORSBY</t>
        </is>
      </c>
      <c r="G206" t="n">
        <v>3.4</v>
      </c>
      <c r="H206" t="n">
        <v>0</v>
      </c>
      <c r="I206" t="n">
        <v>0</v>
      </c>
      <c r="J206" t="n">
        <v>2</v>
      </c>
      <c r="K206" t="n">
        <v>0</v>
      </c>
      <c r="L206" t="n">
        <v>0</v>
      </c>
      <c r="M206" t="n">
        <v>0</v>
      </c>
      <c r="N206" t="n">
        <v>0</v>
      </c>
      <c r="O206" t="n">
        <v>2</v>
      </c>
      <c r="P206" t="n">
        <v>0</v>
      </c>
      <c r="Q206" t="n">
        <v>2</v>
      </c>
      <c r="R206" s="2" t="inlineStr">
        <is>
          <t>Gammelgransskål
Garnlav</t>
        </is>
      </c>
      <c r="S206">
        <f>HYPERLINK("https://klasma.github.io/Logging_1737/artfynd/A 12372-2022 artfynd.xlsx", "A 12372-2022")</f>
        <v/>
      </c>
      <c r="T206">
        <f>HYPERLINK("https://klasma.github.io/Logging_1737/kartor/A 12372-2022 karta.png", "A 12372-2022")</f>
        <v/>
      </c>
      <c r="V206">
        <f>HYPERLINK("https://klasma.github.io/Logging_1737/klagomål/A 12372-2022 FSC-klagomål.docx", "A 12372-2022")</f>
        <v/>
      </c>
      <c r="W206">
        <f>HYPERLINK("https://klasma.github.io/Logging_1737/klagomålsmail/A 12372-2022 FSC-klagomål mail.docx", "A 12372-2022")</f>
        <v/>
      </c>
      <c r="X206">
        <f>HYPERLINK("https://klasma.github.io/Logging_1737/tillsyn/A 12372-2022 tillsynsbegäran.docx", "A 12372-2022")</f>
        <v/>
      </c>
      <c r="Y206">
        <f>HYPERLINK("https://klasma.github.io/Logging_1737/tillsynsmail/A 12372-2022 tillsynsbegäran mail.docx", "A 12372-2022")</f>
        <v/>
      </c>
    </row>
    <row r="207" ht="15" customHeight="1">
      <c r="A207" t="inlineStr">
        <is>
          <t>A 16766-2022</t>
        </is>
      </c>
      <c r="B207" s="1" t="n">
        <v>44673</v>
      </c>
      <c r="C207" s="1" t="n">
        <v>45353</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20765-2022</t>
        </is>
      </c>
      <c r="B208" s="1" t="n">
        <v>44701</v>
      </c>
      <c r="C208" s="1" t="n">
        <v>45353</v>
      </c>
      <c r="D208" t="inlineStr">
        <is>
          <t>VÄRMLANDS LÄN</t>
        </is>
      </c>
      <c r="E208" t="inlineStr">
        <is>
          <t>KARLSTAD</t>
        </is>
      </c>
      <c r="F208" t="inlineStr">
        <is>
          <t>Bergvik skog väst AB</t>
        </is>
      </c>
      <c r="G208" t="n">
        <v>3.4</v>
      </c>
      <c r="H208" t="n">
        <v>2</v>
      </c>
      <c r="I208" t="n">
        <v>0</v>
      </c>
      <c r="J208" t="n">
        <v>0</v>
      </c>
      <c r="K208" t="n">
        <v>0</v>
      </c>
      <c r="L208" t="n">
        <v>0</v>
      </c>
      <c r="M208" t="n">
        <v>0</v>
      </c>
      <c r="N208" t="n">
        <v>0</v>
      </c>
      <c r="O208" t="n">
        <v>0</v>
      </c>
      <c r="P208" t="n">
        <v>0</v>
      </c>
      <c r="Q208" t="n">
        <v>2</v>
      </c>
      <c r="R208" s="2" t="inlineStr">
        <is>
          <t>Fläcknycklar
Mattlummer</t>
        </is>
      </c>
      <c r="S208">
        <f>HYPERLINK("https://klasma.github.io/Logging_1780/artfynd/A 20765-2022 artfynd.xlsx", "A 20765-2022")</f>
        <v/>
      </c>
      <c r="T208">
        <f>HYPERLINK("https://klasma.github.io/Logging_1780/kartor/A 20765-2022 karta.png", "A 20765-2022")</f>
        <v/>
      </c>
      <c r="V208">
        <f>HYPERLINK("https://klasma.github.io/Logging_1780/klagomål/A 20765-2022 FSC-klagomål.docx", "A 20765-2022")</f>
        <v/>
      </c>
      <c r="W208">
        <f>HYPERLINK("https://klasma.github.io/Logging_1780/klagomålsmail/A 20765-2022 FSC-klagomål mail.docx", "A 20765-2022")</f>
        <v/>
      </c>
      <c r="X208">
        <f>HYPERLINK("https://klasma.github.io/Logging_1780/tillsyn/A 20765-2022 tillsynsbegäran.docx", "A 20765-2022")</f>
        <v/>
      </c>
      <c r="Y208">
        <f>HYPERLINK("https://klasma.github.io/Logging_1780/tillsynsmail/A 20765-2022 tillsynsbegäran mail.docx", "A 20765-2022")</f>
        <v/>
      </c>
    </row>
    <row r="209" ht="15" customHeight="1">
      <c r="A209" t="inlineStr">
        <is>
          <t>A 28156-2022</t>
        </is>
      </c>
      <c r="B209" s="1" t="n">
        <v>44746</v>
      </c>
      <c r="C209" s="1" t="n">
        <v>45353</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45353</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45353</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45353</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45353</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45353</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45353</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45353</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45353</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45353</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45353</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45353</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45353</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45353</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45353</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45353</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45353</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45353</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45353</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45353</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45353</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45353</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45353</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45353</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45353</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45353</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45353</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45353</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45353</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45353</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45353</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45353</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45353</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45353</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45353</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45353</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45353</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45353</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45353</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45353</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45353</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45353</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45353</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45353</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45353</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45353</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45353</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45353</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45353</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45353</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45353</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45353</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45353</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45353</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45353</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45353</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45353</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45353</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45353</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45353</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45353</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45353</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45353</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45353</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45353</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45353</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45353</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45353</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45353</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45353</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45353</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45353</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45353</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45353</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45353</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45353</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45353</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45353</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45353</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45353</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45353</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45353</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45353</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45353</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45353</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45353</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45353</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45353</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45353</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45353</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45353</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45353</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45353</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45353</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45353</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45353</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45353</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45353</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45353</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45353</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45353</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45353</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45353</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45353</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45353</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45353</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45353</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45353</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45353</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45353</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45353</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45353</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45353</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45353</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45353</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45353</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45353</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45353</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45353</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45353</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45353</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45353</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45353</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45353</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45353</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45353</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45353</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45353</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45353</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45353</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45353</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45353</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45353</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45353</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45353</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45353</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45353</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45353</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45353</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45353</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45353</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45353</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45353</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45353</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45353</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45353</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45353</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45353</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45353</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45353</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45353</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45353</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45353</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45353</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45353</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45353</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45353</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45353</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45353</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45353</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45353</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45353</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69709-2021</t>
        </is>
      </c>
      <c r="B371" s="1" t="n">
        <v>44532</v>
      </c>
      <c r="C371" s="1" t="n">
        <v>45353</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71594-2021</t>
        </is>
      </c>
      <c r="B372" s="1" t="n">
        <v>44541</v>
      </c>
      <c r="C372" s="1" t="n">
        <v>45353</v>
      </c>
      <c r="D372" t="inlineStr">
        <is>
          <t>VÄRMLANDS LÄN</t>
        </is>
      </c>
      <c r="E372" t="inlineStr">
        <is>
          <t>TORSBY</t>
        </is>
      </c>
      <c r="G372" t="n">
        <v>13.1</v>
      </c>
      <c r="H372" t="n">
        <v>0</v>
      </c>
      <c r="I372" t="n">
        <v>0</v>
      </c>
      <c r="J372" t="n">
        <v>1</v>
      </c>
      <c r="K372" t="n">
        <v>0</v>
      </c>
      <c r="L372" t="n">
        <v>0</v>
      </c>
      <c r="M372" t="n">
        <v>0</v>
      </c>
      <c r="N372" t="n">
        <v>0</v>
      </c>
      <c r="O372" t="n">
        <v>1</v>
      </c>
      <c r="P372" t="n">
        <v>0</v>
      </c>
      <c r="Q372" t="n">
        <v>1</v>
      </c>
      <c r="R372" s="2" t="inlineStr">
        <is>
          <t>Garnlav</t>
        </is>
      </c>
      <c r="S372">
        <f>HYPERLINK("https://klasma.github.io/Logging_1737/artfynd/A 71594-2021 artfynd.xlsx", "A 71594-2021")</f>
        <v/>
      </c>
      <c r="T372">
        <f>HYPERLINK("https://klasma.github.io/Logging_1737/kartor/A 71594-2021 karta.png", "A 71594-2021")</f>
        <v/>
      </c>
      <c r="V372">
        <f>HYPERLINK("https://klasma.github.io/Logging_1737/klagomål/A 71594-2021 FSC-klagomål.docx", "A 71594-2021")</f>
        <v/>
      </c>
      <c r="W372">
        <f>HYPERLINK("https://klasma.github.io/Logging_1737/klagomålsmail/A 71594-2021 FSC-klagomål mail.docx", "A 71594-2021")</f>
        <v/>
      </c>
      <c r="X372">
        <f>HYPERLINK("https://klasma.github.io/Logging_1737/tillsyn/A 71594-2021 tillsynsbegäran.docx", "A 71594-2021")</f>
        <v/>
      </c>
      <c r="Y372">
        <f>HYPERLINK("https://klasma.github.io/Logging_1737/tillsynsmail/A 71594-2021 tillsynsbegäran mail.docx", "A 71594-2021")</f>
        <v/>
      </c>
    </row>
    <row r="373" ht="15" customHeight="1">
      <c r="A373" t="inlineStr">
        <is>
          <t>A 72045-2021</t>
        </is>
      </c>
      <c r="B373" s="1" t="n">
        <v>44544</v>
      </c>
      <c r="C373" s="1" t="n">
        <v>45353</v>
      </c>
      <c r="D373" t="inlineStr">
        <is>
          <t>VÄRMLANDS LÄN</t>
        </is>
      </c>
      <c r="E373" t="inlineStr">
        <is>
          <t>KARLSTAD</t>
        </is>
      </c>
      <c r="F373" t="inlineStr">
        <is>
          <t>Kommuner</t>
        </is>
      </c>
      <c r="G373" t="n">
        <v>9.6</v>
      </c>
      <c r="H373" t="n">
        <v>1</v>
      </c>
      <c r="I373" t="n">
        <v>0</v>
      </c>
      <c r="J373" t="n">
        <v>0</v>
      </c>
      <c r="K373" t="n">
        <v>0</v>
      </c>
      <c r="L373" t="n">
        <v>0</v>
      </c>
      <c r="M373" t="n">
        <v>0</v>
      </c>
      <c r="N373" t="n">
        <v>0</v>
      </c>
      <c r="O373" t="n">
        <v>0</v>
      </c>
      <c r="P373" t="n">
        <v>0</v>
      </c>
      <c r="Q373" t="n">
        <v>1</v>
      </c>
      <c r="R373" s="2" t="inlineStr">
        <is>
          <t>Åkergroda</t>
        </is>
      </c>
      <c r="S373">
        <f>HYPERLINK("https://klasma.github.io/Logging_1780/artfynd/A 72045-2021 artfynd.xlsx", "A 72045-2021")</f>
        <v/>
      </c>
      <c r="T373">
        <f>HYPERLINK("https://klasma.github.io/Logging_1780/kartor/A 72045-2021 karta.png", "A 72045-2021")</f>
        <v/>
      </c>
      <c r="V373">
        <f>HYPERLINK("https://klasma.github.io/Logging_1780/klagomål/A 72045-2021 FSC-klagomål.docx", "A 72045-2021")</f>
        <v/>
      </c>
      <c r="W373">
        <f>HYPERLINK("https://klasma.github.io/Logging_1780/klagomålsmail/A 72045-2021 FSC-klagomål mail.docx", "A 72045-2021")</f>
        <v/>
      </c>
      <c r="X373">
        <f>HYPERLINK("https://klasma.github.io/Logging_1780/tillsyn/A 72045-2021 tillsynsbegäran.docx", "A 72045-2021")</f>
        <v/>
      </c>
      <c r="Y373">
        <f>HYPERLINK("https://klasma.github.io/Logging_1780/tillsynsmail/A 72045-2021 tillsynsbegäran mail.docx", "A 72045-2021")</f>
        <v/>
      </c>
    </row>
    <row r="374" ht="15" customHeight="1">
      <c r="A374" t="inlineStr">
        <is>
          <t>A 72222-2021</t>
        </is>
      </c>
      <c r="B374" s="1" t="n">
        <v>44544</v>
      </c>
      <c r="C374" s="1" t="n">
        <v>45353</v>
      </c>
      <c r="D374" t="inlineStr">
        <is>
          <t>VÄRMLANDS LÄN</t>
        </is>
      </c>
      <c r="E374" t="inlineStr">
        <is>
          <t>ARVIKA</t>
        </is>
      </c>
      <c r="G374" t="n">
        <v>2.1</v>
      </c>
      <c r="H374" t="n">
        <v>1</v>
      </c>
      <c r="I374" t="n">
        <v>0</v>
      </c>
      <c r="J374" t="n">
        <v>0</v>
      </c>
      <c r="K374" t="n">
        <v>1</v>
      </c>
      <c r="L374" t="n">
        <v>0</v>
      </c>
      <c r="M374" t="n">
        <v>0</v>
      </c>
      <c r="N374" t="n">
        <v>0</v>
      </c>
      <c r="O374" t="n">
        <v>1</v>
      </c>
      <c r="P374" t="n">
        <v>1</v>
      </c>
      <c r="Q374" t="n">
        <v>1</v>
      </c>
      <c r="R374" s="2" t="inlineStr">
        <is>
          <t>Knärot</t>
        </is>
      </c>
      <c r="S374">
        <f>HYPERLINK("https://klasma.github.io/Logging_1784/artfynd/A 72222-2021 artfynd.xlsx", "A 72222-2021")</f>
        <v/>
      </c>
      <c r="T374">
        <f>HYPERLINK("https://klasma.github.io/Logging_1784/kartor/A 72222-2021 karta.png", "A 72222-2021")</f>
        <v/>
      </c>
      <c r="U374">
        <f>HYPERLINK("https://klasma.github.io/Logging_1784/knärot/A 72222-2021 karta knärot.png", "A 72222-2021")</f>
        <v/>
      </c>
      <c r="V374">
        <f>HYPERLINK("https://klasma.github.io/Logging_1784/klagomål/A 72222-2021 FSC-klagomål.docx", "A 72222-2021")</f>
        <v/>
      </c>
      <c r="W374">
        <f>HYPERLINK("https://klasma.github.io/Logging_1784/klagomålsmail/A 72222-2021 FSC-klagomål mail.docx", "A 72222-2021")</f>
        <v/>
      </c>
      <c r="X374">
        <f>HYPERLINK("https://klasma.github.io/Logging_1784/tillsyn/A 72222-2021 tillsynsbegäran.docx", "A 72222-2021")</f>
        <v/>
      </c>
      <c r="Y374">
        <f>HYPERLINK("https://klasma.github.io/Logging_1784/tillsynsmail/A 72222-2021 tillsynsbegäran mail.docx", "A 72222-2021")</f>
        <v/>
      </c>
    </row>
    <row r="375" ht="15" customHeight="1">
      <c r="A375" t="inlineStr">
        <is>
          <t>A 72829-2021</t>
        </is>
      </c>
      <c r="B375" s="1" t="n">
        <v>44547</v>
      </c>
      <c r="C375" s="1" t="n">
        <v>45353</v>
      </c>
      <c r="D375" t="inlineStr">
        <is>
          <t>VÄRMLANDS LÄN</t>
        </is>
      </c>
      <c r="E375" t="inlineStr">
        <is>
          <t>ARVIKA</t>
        </is>
      </c>
      <c r="G375" t="n">
        <v>5.9</v>
      </c>
      <c r="H375" t="n">
        <v>1</v>
      </c>
      <c r="I375" t="n">
        <v>0</v>
      </c>
      <c r="J375" t="n">
        <v>0</v>
      </c>
      <c r="K375" t="n">
        <v>1</v>
      </c>
      <c r="L375" t="n">
        <v>0</v>
      </c>
      <c r="M375" t="n">
        <v>0</v>
      </c>
      <c r="N375" t="n">
        <v>0</v>
      </c>
      <c r="O375" t="n">
        <v>1</v>
      </c>
      <c r="P375" t="n">
        <v>1</v>
      </c>
      <c r="Q375" t="n">
        <v>1</v>
      </c>
      <c r="R375" s="2" t="inlineStr">
        <is>
          <t>Knärot</t>
        </is>
      </c>
      <c r="S375">
        <f>HYPERLINK("https://klasma.github.io/Logging_1784/artfynd/A 72829-2021 artfynd.xlsx", "A 72829-2021")</f>
        <v/>
      </c>
      <c r="T375">
        <f>HYPERLINK("https://klasma.github.io/Logging_1784/kartor/A 72829-2021 karta.png", "A 72829-2021")</f>
        <v/>
      </c>
      <c r="U375">
        <f>HYPERLINK("https://klasma.github.io/Logging_1784/knärot/A 72829-2021 karta knärot.png", "A 72829-2021")</f>
        <v/>
      </c>
      <c r="V375">
        <f>HYPERLINK("https://klasma.github.io/Logging_1784/klagomål/A 72829-2021 FSC-klagomål.docx", "A 72829-2021")</f>
        <v/>
      </c>
      <c r="W375">
        <f>HYPERLINK("https://klasma.github.io/Logging_1784/klagomålsmail/A 72829-2021 FSC-klagomål mail.docx", "A 72829-2021")</f>
        <v/>
      </c>
      <c r="X375">
        <f>HYPERLINK("https://klasma.github.io/Logging_1784/tillsyn/A 72829-2021 tillsynsbegäran.docx", "A 72829-2021")</f>
        <v/>
      </c>
      <c r="Y375">
        <f>HYPERLINK("https://klasma.github.io/Logging_1784/tillsynsmail/A 72829-2021 tillsynsbegäran mail.docx", "A 72829-2021")</f>
        <v/>
      </c>
    </row>
    <row r="376" ht="15" customHeight="1">
      <c r="A376" t="inlineStr">
        <is>
          <t>A 73999-2021</t>
        </is>
      </c>
      <c r="B376" s="1" t="n">
        <v>44557</v>
      </c>
      <c r="C376" s="1" t="n">
        <v>45353</v>
      </c>
      <c r="D376" t="inlineStr">
        <is>
          <t>VÄRMLANDS LÄN</t>
        </is>
      </c>
      <c r="E376" t="inlineStr">
        <is>
          <t>ARVIKA</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HYPERLINK("https://klasma.github.io/Logging_1784/artfynd/A 73999-2021 artfynd.xlsx", "A 73999-2021")</f>
        <v/>
      </c>
      <c r="T376">
        <f>HYPERLINK("https://klasma.github.io/Logging_1784/kartor/A 73999-2021 karta.png", "A 73999-2021")</f>
        <v/>
      </c>
      <c r="U376">
        <f>HYPERLINK("https://klasma.github.io/Logging_1784/knärot/A 73999-2021 karta knärot.png", "A 73999-2021")</f>
        <v/>
      </c>
      <c r="V376">
        <f>HYPERLINK("https://klasma.github.io/Logging_1784/klagomål/A 73999-2021 FSC-klagomål.docx", "A 73999-2021")</f>
        <v/>
      </c>
      <c r="W376">
        <f>HYPERLINK("https://klasma.github.io/Logging_1784/klagomålsmail/A 73999-2021 FSC-klagomål mail.docx", "A 73999-2021")</f>
        <v/>
      </c>
      <c r="X376">
        <f>HYPERLINK("https://klasma.github.io/Logging_1784/tillsyn/A 73999-2021 tillsynsbegäran.docx", "A 73999-2021")</f>
        <v/>
      </c>
      <c r="Y376">
        <f>HYPERLINK("https://klasma.github.io/Logging_1784/tillsynsmail/A 73999-2021 tillsynsbegäran mail.docx", "A 73999-2021")</f>
        <v/>
      </c>
    </row>
    <row r="377" ht="15" customHeight="1">
      <c r="A377" t="inlineStr">
        <is>
          <t>A 1734-2022</t>
        </is>
      </c>
      <c r="B377" s="1" t="n">
        <v>44574</v>
      </c>
      <c r="C377" s="1" t="n">
        <v>45353</v>
      </c>
      <c r="D377" t="inlineStr">
        <is>
          <t>VÄRMLANDS LÄN</t>
        </is>
      </c>
      <c r="E377" t="inlineStr">
        <is>
          <t>KRISTINEHAMN</t>
        </is>
      </c>
      <c r="G377" t="n">
        <v>4</v>
      </c>
      <c r="H377" t="n">
        <v>1</v>
      </c>
      <c r="I377" t="n">
        <v>0</v>
      </c>
      <c r="J377" t="n">
        <v>0</v>
      </c>
      <c r="K377" t="n">
        <v>0</v>
      </c>
      <c r="L377" t="n">
        <v>0</v>
      </c>
      <c r="M377" t="n">
        <v>0</v>
      </c>
      <c r="N377" t="n">
        <v>0</v>
      </c>
      <c r="O377" t="n">
        <v>0</v>
      </c>
      <c r="P377" t="n">
        <v>0</v>
      </c>
      <c r="Q377" t="n">
        <v>1</v>
      </c>
      <c r="R377" s="2" t="inlineStr">
        <is>
          <t>Hasselmus</t>
        </is>
      </c>
      <c r="S377">
        <f>HYPERLINK("https://klasma.github.io/Logging_1781/artfynd/A 1734-2022 artfynd.xlsx", "A 1734-2022")</f>
        <v/>
      </c>
      <c r="T377">
        <f>HYPERLINK("https://klasma.github.io/Logging_1781/kartor/A 1734-2022 karta.png", "A 1734-2022")</f>
        <v/>
      </c>
      <c r="V377">
        <f>HYPERLINK("https://klasma.github.io/Logging_1781/klagomål/A 1734-2022 FSC-klagomål.docx", "A 1734-2022")</f>
        <v/>
      </c>
      <c r="W377">
        <f>HYPERLINK("https://klasma.github.io/Logging_1781/klagomålsmail/A 1734-2022 FSC-klagomål mail.docx", "A 1734-2022")</f>
        <v/>
      </c>
      <c r="X377">
        <f>HYPERLINK("https://klasma.github.io/Logging_1781/tillsyn/A 1734-2022 tillsynsbegäran.docx", "A 1734-2022")</f>
        <v/>
      </c>
      <c r="Y377">
        <f>HYPERLINK("https://klasma.github.io/Logging_1781/tillsynsmail/A 1734-2022 tillsynsbegäran mail.docx", "A 1734-2022")</f>
        <v/>
      </c>
    </row>
    <row r="378" ht="15" customHeight="1">
      <c r="A378" t="inlineStr">
        <is>
          <t>A 3404-2022</t>
        </is>
      </c>
      <c r="B378" s="1" t="n">
        <v>44585</v>
      </c>
      <c r="C378" s="1" t="n">
        <v>45353</v>
      </c>
      <c r="D378" t="inlineStr">
        <is>
          <t>VÄRMLANDS LÄN</t>
        </is>
      </c>
      <c r="E378" t="inlineStr">
        <is>
          <t>TORSBY</t>
        </is>
      </c>
      <c r="G378" t="n">
        <v>1</v>
      </c>
      <c r="H378" t="n">
        <v>0</v>
      </c>
      <c r="I378" t="n">
        <v>0</v>
      </c>
      <c r="J378" t="n">
        <v>1</v>
      </c>
      <c r="K378" t="n">
        <v>0</v>
      </c>
      <c r="L378" t="n">
        <v>0</v>
      </c>
      <c r="M378" t="n">
        <v>0</v>
      </c>
      <c r="N378" t="n">
        <v>0</v>
      </c>
      <c r="O378" t="n">
        <v>1</v>
      </c>
      <c r="P378" t="n">
        <v>0</v>
      </c>
      <c r="Q378" t="n">
        <v>1</v>
      </c>
      <c r="R378" s="2" t="inlineStr">
        <is>
          <t>Vedtrappmossa</t>
        </is>
      </c>
      <c r="S378">
        <f>HYPERLINK("https://klasma.github.io/Logging_1737/artfynd/A 3404-2022 artfynd.xlsx", "A 3404-2022")</f>
        <v/>
      </c>
      <c r="T378">
        <f>HYPERLINK("https://klasma.github.io/Logging_1737/kartor/A 3404-2022 karta.png", "A 3404-2022")</f>
        <v/>
      </c>
      <c r="V378">
        <f>HYPERLINK("https://klasma.github.io/Logging_1737/klagomål/A 3404-2022 FSC-klagomål.docx", "A 3404-2022")</f>
        <v/>
      </c>
      <c r="W378">
        <f>HYPERLINK("https://klasma.github.io/Logging_1737/klagomålsmail/A 3404-2022 FSC-klagomål mail.docx", "A 3404-2022")</f>
        <v/>
      </c>
      <c r="X378">
        <f>HYPERLINK("https://klasma.github.io/Logging_1737/tillsyn/A 3404-2022 tillsynsbegäran.docx", "A 3404-2022")</f>
        <v/>
      </c>
      <c r="Y378">
        <f>HYPERLINK("https://klasma.github.io/Logging_1737/tillsynsmail/A 3404-2022 tillsynsbegäran mail.docx", "A 3404-2022")</f>
        <v/>
      </c>
    </row>
    <row r="379" ht="15" customHeight="1">
      <c r="A379" t="inlineStr">
        <is>
          <t>A 4394-2022</t>
        </is>
      </c>
      <c r="B379" s="1" t="n">
        <v>44589</v>
      </c>
      <c r="C379" s="1" t="n">
        <v>45353</v>
      </c>
      <c r="D379" t="inlineStr">
        <is>
          <t>VÄRMLANDS LÄN</t>
        </is>
      </c>
      <c r="E379" t="inlineStr">
        <is>
          <t>SÄFFLE</t>
        </is>
      </c>
      <c r="G379" t="n">
        <v>2.2</v>
      </c>
      <c r="H379" t="n">
        <v>0</v>
      </c>
      <c r="I379" t="n">
        <v>1</v>
      </c>
      <c r="J379" t="n">
        <v>0</v>
      </c>
      <c r="K379" t="n">
        <v>0</v>
      </c>
      <c r="L379" t="n">
        <v>0</v>
      </c>
      <c r="M379" t="n">
        <v>0</v>
      </c>
      <c r="N379" t="n">
        <v>0</v>
      </c>
      <c r="O379" t="n">
        <v>0</v>
      </c>
      <c r="P379" t="n">
        <v>0</v>
      </c>
      <c r="Q379" t="n">
        <v>1</v>
      </c>
      <c r="R379" s="2" t="inlineStr">
        <is>
          <t>Vätteros</t>
        </is>
      </c>
      <c r="S379">
        <f>HYPERLINK("https://klasma.github.io/Logging_1785/artfynd/A 4394-2022 artfynd.xlsx", "A 4394-2022")</f>
        <v/>
      </c>
      <c r="T379">
        <f>HYPERLINK("https://klasma.github.io/Logging_1785/kartor/A 4394-2022 karta.png", "A 4394-2022")</f>
        <v/>
      </c>
      <c r="V379">
        <f>HYPERLINK("https://klasma.github.io/Logging_1785/klagomål/A 4394-2022 FSC-klagomål.docx", "A 4394-2022")</f>
        <v/>
      </c>
      <c r="W379">
        <f>HYPERLINK("https://klasma.github.io/Logging_1785/klagomålsmail/A 4394-2022 FSC-klagomål mail.docx", "A 4394-2022")</f>
        <v/>
      </c>
      <c r="X379">
        <f>HYPERLINK("https://klasma.github.io/Logging_1785/tillsyn/A 4394-2022 tillsynsbegäran.docx", "A 4394-2022")</f>
        <v/>
      </c>
      <c r="Y379">
        <f>HYPERLINK("https://klasma.github.io/Logging_1785/tillsynsmail/A 4394-2022 tillsynsbegäran mail.docx", "A 4394-2022")</f>
        <v/>
      </c>
    </row>
    <row r="380" ht="15" customHeight="1">
      <c r="A380" t="inlineStr">
        <is>
          <t>A 4664-2022</t>
        </is>
      </c>
      <c r="B380" s="1" t="n">
        <v>44592</v>
      </c>
      <c r="C380" s="1" t="n">
        <v>45353</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6294-2022</t>
        </is>
      </c>
      <c r="B381" s="1" t="n">
        <v>44601</v>
      </c>
      <c r="C381" s="1" t="n">
        <v>45353</v>
      </c>
      <c r="D381" t="inlineStr">
        <is>
          <t>VÄRMLANDS LÄN</t>
        </is>
      </c>
      <c r="E381" t="inlineStr">
        <is>
          <t>FORSHAGA</t>
        </is>
      </c>
      <c r="G381" t="n">
        <v>3.2</v>
      </c>
      <c r="H381" t="n">
        <v>1</v>
      </c>
      <c r="I381" t="n">
        <v>0</v>
      </c>
      <c r="J381" t="n">
        <v>1</v>
      </c>
      <c r="K381" t="n">
        <v>0</v>
      </c>
      <c r="L381" t="n">
        <v>0</v>
      </c>
      <c r="M381" t="n">
        <v>0</v>
      </c>
      <c r="N381" t="n">
        <v>0</v>
      </c>
      <c r="O381" t="n">
        <v>1</v>
      </c>
      <c r="P381" t="n">
        <v>0</v>
      </c>
      <c r="Q381" t="n">
        <v>1</v>
      </c>
      <c r="R381" s="2" t="inlineStr">
        <is>
          <t>Spillkråka</t>
        </is>
      </c>
      <c r="S381">
        <f>HYPERLINK("https://klasma.github.io/Logging_1763/artfynd/A 6294-2022 artfynd.xlsx", "A 6294-2022")</f>
        <v/>
      </c>
      <c r="T381">
        <f>HYPERLINK("https://klasma.github.io/Logging_1763/kartor/A 6294-2022 karta.png", "A 6294-2022")</f>
        <v/>
      </c>
      <c r="V381">
        <f>HYPERLINK("https://klasma.github.io/Logging_1763/klagomål/A 6294-2022 FSC-klagomål.docx", "A 6294-2022")</f>
        <v/>
      </c>
      <c r="W381">
        <f>HYPERLINK("https://klasma.github.io/Logging_1763/klagomålsmail/A 6294-2022 FSC-klagomål mail.docx", "A 6294-2022")</f>
        <v/>
      </c>
      <c r="X381">
        <f>HYPERLINK("https://klasma.github.io/Logging_1763/tillsyn/A 6294-2022 tillsynsbegäran.docx", "A 6294-2022")</f>
        <v/>
      </c>
      <c r="Y381">
        <f>HYPERLINK("https://klasma.github.io/Logging_1763/tillsynsmail/A 6294-2022 tillsynsbegäran mail.docx", "A 6294-2022")</f>
        <v/>
      </c>
      <c r="Z381">
        <f>HYPERLINK("https://klasma.github.io/Logging_1763/fåglar/A 6294-2022 prioriterade fågelarter.docx", "A 6294-2022")</f>
        <v/>
      </c>
    </row>
    <row r="382" ht="15" customHeight="1">
      <c r="A382" t="inlineStr">
        <is>
          <t>A 6814-2022</t>
        </is>
      </c>
      <c r="B382" s="1" t="n">
        <v>44602</v>
      </c>
      <c r="C382" s="1" t="n">
        <v>45353</v>
      </c>
      <c r="D382" t="inlineStr">
        <is>
          <t>VÄRMLANDS LÄN</t>
        </is>
      </c>
      <c r="E382" t="inlineStr">
        <is>
          <t>ARVIKA</t>
        </is>
      </c>
      <c r="F382" t="inlineStr">
        <is>
          <t>Bergvik skog väst AB</t>
        </is>
      </c>
      <c r="G382" t="n">
        <v>12.2</v>
      </c>
      <c r="H382" t="n">
        <v>0</v>
      </c>
      <c r="I382" t="n">
        <v>0</v>
      </c>
      <c r="J382" t="n">
        <v>1</v>
      </c>
      <c r="K382" t="n">
        <v>0</v>
      </c>
      <c r="L382" t="n">
        <v>0</v>
      </c>
      <c r="M382" t="n">
        <v>0</v>
      </c>
      <c r="N382" t="n">
        <v>0</v>
      </c>
      <c r="O382" t="n">
        <v>1</v>
      </c>
      <c r="P382" t="n">
        <v>0</v>
      </c>
      <c r="Q382" t="n">
        <v>1</v>
      </c>
      <c r="R382" s="2" t="inlineStr">
        <is>
          <t>Skogsklocka</t>
        </is>
      </c>
      <c r="S382">
        <f>HYPERLINK("https://klasma.github.io/Logging_1784/artfynd/A 6814-2022 artfynd.xlsx", "A 6814-2022")</f>
        <v/>
      </c>
      <c r="T382">
        <f>HYPERLINK("https://klasma.github.io/Logging_1784/kartor/A 6814-2022 karta.png", "A 6814-2022")</f>
        <v/>
      </c>
      <c r="V382">
        <f>HYPERLINK("https://klasma.github.io/Logging_1784/klagomål/A 6814-2022 FSC-klagomål.docx", "A 6814-2022")</f>
        <v/>
      </c>
      <c r="W382">
        <f>HYPERLINK("https://klasma.github.io/Logging_1784/klagomålsmail/A 6814-2022 FSC-klagomål mail.docx", "A 6814-2022")</f>
        <v/>
      </c>
      <c r="X382">
        <f>HYPERLINK("https://klasma.github.io/Logging_1784/tillsyn/A 6814-2022 tillsynsbegäran.docx", "A 6814-2022")</f>
        <v/>
      </c>
      <c r="Y382">
        <f>HYPERLINK("https://klasma.github.io/Logging_1784/tillsynsmail/A 6814-2022 tillsynsbegäran mail.docx", "A 6814-2022")</f>
        <v/>
      </c>
    </row>
    <row r="383" ht="15" customHeight="1">
      <c r="A383" t="inlineStr">
        <is>
          <t>A 6986-2022</t>
        </is>
      </c>
      <c r="B383" s="1" t="n">
        <v>44603</v>
      </c>
      <c r="C383" s="1" t="n">
        <v>45353</v>
      </c>
      <c r="D383" t="inlineStr">
        <is>
          <t>VÄRMLANDS LÄN</t>
        </is>
      </c>
      <c r="E383" t="inlineStr">
        <is>
          <t>HAGFORS</t>
        </is>
      </c>
      <c r="G383" t="n">
        <v>2</v>
      </c>
      <c r="H383" t="n">
        <v>0</v>
      </c>
      <c r="I383" t="n">
        <v>1</v>
      </c>
      <c r="J383" t="n">
        <v>0</v>
      </c>
      <c r="K383" t="n">
        <v>0</v>
      </c>
      <c r="L383" t="n">
        <v>0</v>
      </c>
      <c r="M383" t="n">
        <v>0</v>
      </c>
      <c r="N383" t="n">
        <v>0</v>
      </c>
      <c r="O383" t="n">
        <v>0</v>
      </c>
      <c r="P383" t="n">
        <v>0</v>
      </c>
      <c r="Q383" t="n">
        <v>1</v>
      </c>
      <c r="R383" s="2" t="inlineStr">
        <is>
          <t>Vedticka</t>
        </is>
      </c>
      <c r="S383">
        <f>HYPERLINK("https://klasma.github.io/Logging_1783/artfynd/A 6986-2022 artfynd.xlsx", "A 6986-2022")</f>
        <v/>
      </c>
      <c r="T383">
        <f>HYPERLINK("https://klasma.github.io/Logging_1783/kartor/A 6986-2022 karta.png", "A 6986-2022")</f>
        <v/>
      </c>
      <c r="V383">
        <f>HYPERLINK("https://klasma.github.io/Logging_1783/klagomål/A 6986-2022 FSC-klagomål.docx", "A 6986-2022")</f>
        <v/>
      </c>
      <c r="W383">
        <f>HYPERLINK("https://klasma.github.io/Logging_1783/klagomålsmail/A 6986-2022 FSC-klagomål mail.docx", "A 6986-2022")</f>
        <v/>
      </c>
      <c r="X383">
        <f>HYPERLINK("https://klasma.github.io/Logging_1783/tillsyn/A 6986-2022 tillsynsbegäran.docx", "A 6986-2022")</f>
        <v/>
      </c>
      <c r="Y383">
        <f>HYPERLINK("https://klasma.github.io/Logging_1783/tillsynsmail/A 6986-2022 tillsynsbegäran mail.docx", "A 6986-2022")</f>
        <v/>
      </c>
    </row>
    <row r="384" ht="15" customHeight="1">
      <c r="A384" t="inlineStr">
        <is>
          <t>A 8846-2022</t>
        </is>
      </c>
      <c r="B384" s="1" t="n">
        <v>44614</v>
      </c>
      <c r="C384" s="1" t="n">
        <v>45353</v>
      </c>
      <c r="D384" t="inlineStr">
        <is>
          <t>VÄRMLANDS LÄN</t>
        </is>
      </c>
      <c r="E384" t="inlineStr">
        <is>
          <t>ARVIKA</t>
        </is>
      </c>
      <c r="G384" t="n">
        <v>8.6</v>
      </c>
      <c r="H384" t="n">
        <v>0</v>
      </c>
      <c r="I384" t="n">
        <v>1</v>
      </c>
      <c r="J384" t="n">
        <v>0</v>
      </c>
      <c r="K384" t="n">
        <v>0</v>
      </c>
      <c r="L384" t="n">
        <v>0</v>
      </c>
      <c r="M384" t="n">
        <v>0</v>
      </c>
      <c r="N384" t="n">
        <v>0</v>
      </c>
      <c r="O384" t="n">
        <v>0</v>
      </c>
      <c r="P384" t="n">
        <v>0</v>
      </c>
      <c r="Q384" t="n">
        <v>1</v>
      </c>
      <c r="R384" s="2" t="inlineStr">
        <is>
          <t>Tibast</t>
        </is>
      </c>
      <c r="S384">
        <f>HYPERLINK("https://klasma.github.io/Logging_1784/artfynd/A 8846-2022 artfynd.xlsx", "A 8846-2022")</f>
        <v/>
      </c>
      <c r="T384">
        <f>HYPERLINK("https://klasma.github.io/Logging_1784/kartor/A 8846-2022 karta.png", "A 8846-2022")</f>
        <v/>
      </c>
      <c r="V384">
        <f>HYPERLINK("https://klasma.github.io/Logging_1784/klagomål/A 8846-2022 FSC-klagomål.docx", "A 8846-2022")</f>
        <v/>
      </c>
      <c r="W384">
        <f>HYPERLINK("https://klasma.github.io/Logging_1784/klagomålsmail/A 8846-2022 FSC-klagomål mail.docx", "A 8846-2022")</f>
        <v/>
      </c>
      <c r="X384">
        <f>HYPERLINK("https://klasma.github.io/Logging_1784/tillsyn/A 8846-2022 tillsynsbegäran.docx", "A 8846-2022")</f>
        <v/>
      </c>
      <c r="Y384">
        <f>HYPERLINK("https://klasma.github.io/Logging_1784/tillsynsmail/A 8846-2022 tillsynsbegäran mail.docx", "A 8846-2022")</f>
        <v/>
      </c>
    </row>
    <row r="385" ht="15" customHeight="1">
      <c r="A385" t="inlineStr">
        <is>
          <t>A 13548-2022</t>
        </is>
      </c>
      <c r="B385" s="1" t="n">
        <v>44648</v>
      </c>
      <c r="C385" s="1" t="n">
        <v>45353</v>
      </c>
      <c r="D385" t="inlineStr">
        <is>
          <t>VÄRMLANDS LÄN</t>
        </is>
      </c>
      <c r="E385" t="inlineStr">
        <is>
          <t>KARLSTAD</t>
        </is>
      </c>
      <c r="F385" t="inlineStr">
        <is>
          <t>Bergvik skog väst AB</t>
        </is>
      </c>
      <c r="G385" t="n">
        <v>15.9</v>
      </c>
      <c r="H385" t="n">
        <v>0</v>
      </c>
      <c r="I385" t="n">
        <v>0</v>
      </c>
      <c r="J385" t="n">
        <v>1</v>
      </c>
      <c r="K385" t="n">
        <v>0</v>
      </c>
      <c r="L385" t="n">
        <v>0</v>
      </c>
      <c r="M385" t="n">
        <v>0</v>
      </c>
      <c r="N385" t="n">
        <v>0</v>
      </c>
      <c r="O385" t="n">
        <v>1</v>
      </c>
      <c r="P385" t="n">
        <v>0</v>
      </c>
      <c r="Q385" t="n">
        <v>1</v>
      </c>
      <c r="R385" s="2" t="inlineStr">
        <is>
          <t>Motaggsvamp</t>
        </is>
      </c>
      <c r="S385">
        <f>HYPERLINK("https://klasma.github.io/Logging_1780/artfynd/A 13548-2022 artfynd.xlsx", "A 13548-2022")</f>
        <v/>
      </c>
      <c r="T385">
        <f>HYPERLINK("https://klasma.github.io/Logging_1780/kartor/A 13548-2022 karta.png", "A 13548-2022")</f>
        <v/>
      </c>
      <c r="V385">
        <f>HYPERLINK("https://klasma.github.io/Logging_1780/klagomål/A 13548-2022 FSC-klagomål.docx", "A 13548-2022")</f>
        <v/>
      </c>
      <c r="W385">
        <f>HYPERLINK("https://klasma.github.io/Logging_1780/klagomålsmail/A 13548-2022 FSC-klagomål mail.docx", "A 13548-2022")</f>
        <v/>
      </c>
      <c r="X385">
        <f>HYPERLINK("https://klasma.github.io/Logging_1780/tillsyn/A 13548-2022 tillsynsbegäran.docx", "A 13548-2022")</f>
        <v/>
      </c>
      <c r="Y385">
        <f>HYPERLINK("https://klasma.github.io/Logging_1780/tillsynsmail/A 13548-2022 tillsynsbegäran mail.docx", "A 13548-2022")</f>
        <v/>
      </c>
    </row>
    <row r="386" ht="15" customHeight="1">
      <c r="A386" t="inlineStr">
        <is>
          <t>A 14002-2022</t>
        </is>
      </c>
      <c r="B386" s="1" t="n">
        <v>44650</v>
      </c>
      <c r="C386" s="1" t="n">
        <v>45353</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14002-2022 artfynd.xlsx", "A 14002-2022")</f>
        <v/>
      </c>
      <c r="T386">
        <f>HYPERLINK("https://klasma.github.io/Logging_1780/kartor/A 14002-2022 karta.png", "A 14002-2022")</f>
        <v/>
      </c>
      <c r="U386">
        <f>HYPERLINK("https://klasma.github.io/Logging_1780/knärot/A 14002-2022 karta knärot.png", "A 14002-2022")</f>
        <v/>
      </c>
      <c r="V386">
        <f>HYPERLINK("https://klasma.github.io/Logging_1780/klagomål/A 14002-2022 FSC-klagomål.docx", "A 14002-2022")</f>
        <v/>
      </c>
      <c r="W386">
        <f>HYPERLINK("https://klasma.github.io/Logging_1780/klagomålsmail/A 14002-2022 FSC-klagomål mail.docx", "A 14002-2022")</f>
        <v/>
      </c>
      <c r="X386">
        <f>HYPERLINK("https://klasma.github.io/Logging_1780/tillsyn/A 14002-2022 tillsynsbegäran.docx", "A 14002-2022")</f>
        <v/>
      </c>
      <c r="Y386">
        <f>HYPERLINK("https://klasma.github.io/Logging_1780/tillsynsmail/A 14002-2022 tillsynsbegäran mail.docx", "A 14002-2022")</f>
        <v/>
      </c>
    </row>
    <row r="387" ht="15" customHeight="1">
      <c r="A387" t="inlineStr">
        <is>
          <t>A 14114-2022</t>
        </is>
      </c>
      <c r="B387" s="1" t="n">
        <v>44651</v>
      </c>
      <c r="C387" s="1" t="n">
        <v>45353</v>
      </c>
      <c r="D387" t="inlineStr">
        <is>
          <t>VÄRMLANDS LÄN</t>
        </is>
      </c>
      <c r="E387" t="inlineStr">
        <is>
          <t>FORSHAGA</t>
        </is>
      </c>
      <c r="F387" t="inlineStr">
        <is>
          <t>Bergvik skog väst AB</t>
        </is>
      </c>
      <c r="G387" t="n">
        <v>25.1</v>
      </c>
      <c r="H387" t="n">
        <v>0</v>
      </c>
      <c r="I387" t="n">
        <v>0</v>
      </c>
      <c r="J387" t="n">
        <v>1</v>
      </c>
      <c r="K387" t="n">
        <v>0</v>
      </c>
      <c r="L387" t="n">
        <v>0</v>
      </c>
      <c r="M387" t="n">
        <v>0</v>
      </c>
      <c r="N387" t="n">
        <v>0</v>
      </c>
      <c r="O387" t="n">
        <v>1</v>
      </c>
      <c r="P387" t="n">
        <v>0</v>
      </c>
      <c r="Q387" t="n">
        <v>1</v>
      </c>
      <c r="R387" s="2" t="inlineStr">
        <is>
          <t>Sotnätfjäril</t>
        </is>
      </c>
      <c r="S387">
        <f>HYPERLINK("https://klasma.github.io/Logging_1763/artfynd/A 14114-2022 artfynd.xlsx", "A 14114-2022")</f>
        <v/>
      </c>
      <c r="T387">
        <f>HYPERLINK("https://klasma.github.io/Logging_1763/kartor/A 14114-2022 karta.png", "A 14114-2022")</f>
        <v/>
      </c>
      <c r="V387">
        <f>HYPERLINK("https://klasma.github.io/Logging_1763/klagomål/A 14114-2022 FSC-klagomål.docx", "A 14114-2022")</f>
        <v/>
      </c>
      <c r="W387">
        <f>HYPERLINK("https://klasma.github.io/Logging_1763/klagomålsmail/A 14114-2022 FSC-klagomål mail.docx", "A 14114-2022")</f>
        <v/>
      </c>
      <c r="X387">
        <f>HYPERLINK("https://klasma.github.io/Logging_1763/tillsyn/A 14114-2022 tillsynsbegäran.docx", "A 14114-2022")</f>
        <v/>
      </c>
      <c r="Y387">
        <f>HYPERLINK("https://klasma.github.io/Logging_1763/tillsynsmail/A 14114-2022 tillsynsbegäran mail.docx", "A 14114-2022")</f>
        <v/>
      </c>
    </row>
    <row r="388" ht="15" customHeight="1">
      <c r="A388" t="inlineStr">
        <is>
          <t>A 14594-2022</t>
        </is>
      </c>
      <c r="B388" s="1" t="n">
        <v>44655</v>
      </c>
      <c r="C388" s="1" t="n">
        <v>45353</v>
      </c>
      <c r="D388" t="inlineStr">
        <is>
          <t>VÄRMLANDS LÄN</t>
        </is>
      </c>
      <c r="E388" t="inlineStr">
        <is>
          <t>KARLSTAD</t>
        </is>
      </c>
      <c r="F388" t="inlineStr">
        <is>
          <t>Kommuner</t>
        </is>
      </c>
      <c r="G388" t="n">
        <v>11.2</v>
      </c>
      <c r="H388" t="n">
        <v>1</v>
      </c>
      <c r="I388" t="n">
        <v>0</v>
      </c>
      <c r="J388" t="n">
        <v>1</v>
      </c>
      <c r="K388" t="n">
        <v>0</v>
      </c>
      <c r="L388" t="n">
        <v>0</v>
      </c>
      <c r="M388" t="n">
        <v>0</v>
      </c>
      <c r="N388" t="n">
        <v>0</v>
      </c>
      <c r="O388" t="n">
        <v>1</v>
      </c>
      <c r="P388" t="n">
        <v>0</v>
      </c>
      <c r="Q388" t="n">
        <v>1</v>
      </c>
      <c r="R388" s="2" t="inlineStr">
        <is>
          <t>Mindre hackspett</t>
        </is>
      </c>
      <c r="S388">
        <f>HYPERLINK("https://klasma.github.io/Logging_1780/artfynd/A 14594-2022 artfynd.xlsx", "A 14594-2022")</f>
        <v/>
      </c>
      <c r="T388">
        <f>HYPERLINK("https://klasma.github.io/Logging_1780/kartor/A 14594-2022 karta.png", "A 14594-2022")</f>
        <v/>
      </c>
      <c r="V388">
        <f>HYPERLINK("https://klasma.github.io/Logging_1780/klagomål/A 14594-2022 FSC-klagomål.docx", "A 14594-2022")</f>
        <v/>
      </c>
      <c r="W388">
        <f>HYPERLINK("https://klasma.github.io/Logging_1780/klagomålsmail/A 14594-2022 FSC-klagomål mail.docx", "A 14594-2022")</f>
        <v/>
      </c>
      <c r="X388">
        <f>HYPERLINK("https://klasma.github.io/Logging_1780/tillsyn/A 14594-2022 tillsynsbegäran.docx", "A 14594-2022")</f>
        <v/>
      </c>
      <c r="Y388">
        <f>HYPERLINK("https://klasma.github.io/Logging_1780/tillsynsmail/A 14594-2022 tillsynsbegäran mail.docx", "A 14594-2022")</f>
        <v/>
      </c>
      <c r="Z388">
        <f>HYPERLINK("https://klasma.github.io/Logging_1780/fåglar/A 14594-2022 prioriterade fågelarter.docx", "A 14594-2022")</f>
        <v/>
      </c>
    </row>
    <row r="389" ht="15" customHeight="1">
      <c r="A389" t="inlineStr">
        <is>
          <t>A 19831-2022</t>
        </is>
      </c>
      <c r="B389" s="1" t="n">
        <v>44695</v>
      </c>
      <c r="C389" s="1" t="n">
        <v>45353</v>
      </c>
      <c r="D389" t="inlineStr">
        <is>
          <t>VÄRMLANDS LÄN</t>
        </is>
      </c>
      <c r="E389" t="inlineStr">
        <is>
          <t>SUNNE</t>
        </is>
      </c>
      <c r="G389" t="n">
        <v>0.7</v>
      </c>
      <c r="H389" t="n">
        <v>0</v>
      </c>
      <c r="I389" t="n">
        <v>1</v>
      </c>
      <c r="J389" t="n">
        <v>0</v>
      </c>
      <c r="K389" t="n">
        <v>0</v>
      </c>
      <c r="L389" t="n">
        <v>0</v>
      </c>
      <c r="M389" t="n">
        <v>0</v>
      </c>
      <c r="N389" t="n">
        <v>0</v>
      </c>
      <c r="O389" t="n">
        <v>0</v>
      </c>
      <c r="P389" t="n">
        <v>0</v>
      </c>
      <c r="Q389" t="n">
        <v>1</v>
      </c>
      <c r="R389" s="2" t="inlineStr">
        <is>
          <t>Vågbandad barkbock</t>
        </is>
      </c>
      <c r="S389">
        <f>HYPERLINK("https://klasma.github.io/Logging_1766/artfynd/A 19831-2022 artfynd.xlsx", "A 19831-2022")</f>
        <v/>
      </c>
      <c r="T389">
        <f>HYPERLINK("https://klasma.github.io/Logging_1766/kartor/A 19831-2022 karta.png", "A 19831-2022")</f>
        <v/>
      </c>
      <c r="V389">
        <f>HYPERLINK("https://klasma.github.io/Logging_1766/klagomål/A 19831-2022 FSC-klagomål.docx", "A 19831-2022")</f>
        <v/>
      </c>
      <c r="W389">
        <f>HYPERLINK("https://klasma.github.io/Logging_1766/klagomålsmail/A 19831-2022 FSC-klagomål mail.docx", "A 19831-2022")</f>
        <v/>
      </c>
      <c r="X389">
        <f>HYPERLINK("https://klasma.github.io/Logging_1766/tillsyn/A 19831-2022 tillsynsbegäran.docx", "A 19831-2022")</f>
        <v/>
      </c>
      <c r="Y389">
        <f>HYPERLINK("https://klasma.github.io/Logging_1766/tillsynsmail/A 19831-2022 tillsynsbegäran mail.docx", "A 19831-2022")</f>
        <v/>
      </c>
    </row>
    <row r="390" ht="15" customHeight="1">
      <c r="A390" t="inlineStr">
        <is>
          <t>A 20754-2022</t>
        </is>
      </c>
      <c r="B390" s="1" t="n">
        <v>44701</v>
      </c>
      <c r="C390" s="1" t="n">
        <v>45353</v>
      </c>
      <c r="D390" t="inlineStr">
        <is>
          <t>VÄRMLANDS LÄN</t>
        </is>
      </c>
      <c r="E390" t="inlineStr">
        <is>
          <t>FILIPSTAD</t>
        </is>
      </c>
      <c r="F390" t="inlineStr">
        <is>
          <t>Bergvik skog väst AB</t>
        </is>
      </c>
      <c r="G390" t="n">
        <v>13.6</v>
      </c>
      <c r="H390" t="n">
        <v>1</v>
      </c>
      <c r="I390" t="n">
        <v>0</v>
      </c>
      <c r="J390" t="n">
        <v>0</v>
      </c>
      <c r="K390" t="n">
        <v>0</v>
      </c>
      <c r="L390" t="n">
        <v>0</v>
      </c>
      <c r="M390" t="n">
        <v>0</v>
      </c>
      <c r="N390" t="n">
        <v>0</v>
      </c>
      <c r="O390" t="n">
        <v>0</v>
      </c>
      <c r="P390" t="n">
        <v>0</v>
      </c>
      <c r="Q390" t="n">
        <v>1</v>
      </c>
      <c r="R390" s="2" t="inlineStr">
        <is>
          <t>Mattlummer</t>
        </is>
      </c>
      <c r="S390">
        <f>HYPERLINK("https://klasma.github.io/Logging_1782/artfynd/A 20754-2022 artfynd.xlsx", "A 20754-2022")</f>
        <v/>
      </c>
      <c r="T390">
        <f>HYPERLINK("https://klasma.github.io/Logging_1782/kartor/A 20754-2022 karta.png", "A 20754-2022")</f>
        <v/>
      </c>
      <c r="V390">
        <f>HYPERLINK("https://klasma.github.io/Logging_1782/klagomål/A 20754-2022 FSC-klagomål.docx", "A 20754-2022")</f>
        <v/>
      </c>
      <c r="W390">
        <f>HYPERLINK("https://klasma.github.io/Logging_1782/klagomålsmail/A 20754-2022 FSC-klagomål mail.docx", "A 20754-2022")</f>
        <v/>
      </c>
      <c r="X390">
        <f>HYPERLINK("https://klasma.github.io/Logging_1782/tillsyn/A 20754-2022 tillsynsbegäran.docx", "A 20754-2022")</f>
        <v/>
      </c>
      <c r="Y390">
        <f>HYPERLINK("https://klasma.github.io/Logging_1782/tillsynsmail/A 20754-2022 tillsynsbegäran mail.docx", "A 20754-2022")</f>
        <v/>
      </c>
    </row>
    <row r="391" ht="15" customHeight="1">
      <c r="A391" t="inlineStr">
        <is>
          <t>A 22174-2022</t>
        </is>
      </c>
      <c r="B391" s="1" t="n">
        <v>44712</v>
      </c>
      <c r="C391" s="1" t="n">
        <v>45353</v>
      </c>
      <c r="D391" t="inlineStr">
        <is>
          <t>VÄRMLANDS LÄN</t>
        </is>
      </c>
      <c r="E391" t="inlineStr">
        <is>
          <t>TORSBY</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HYPERLINK("https://klasma.github.io/Logging_1737/artfynd/A 22174-2022 artfynd.xlsx", "A 22174-2022")</f>
        <v/>
      </c>
      <c r="T391">
        <f>HYPERLINK("https://klasma.github.io/Logging_1737/kartor/A 22174-2022 karta.png", "A 22174-2022")</f>
        <v/>
      </c>
      <c r="V391">
        <f>HYPERLINK("https://klasma.github.io/Logging_1737/klagomål/A 22174-2022 FSC-klagomål.docx", "A 22174-2022")</f>
        <v/>
      </c>
      <c r="W391">
        <f>HYPERLINK("https://klasma.github.io/Logging_1737/klagomålsmail/A 22174-2022 FSC-klagomål mail.docx", "A 22174-2022")</f>
        <v/>
      </c>
      <c r="X391">
        <f>HYPERLINK("https://klasma.github.io/Logging_1737/tillsyn/A 22174-2022 tillsynsbegäran.docx", "A 22174-2022")</f>
        <v/>
      </c>
      <c r="Y391">
        <f>HYPERLINK("https://klasma.github.io/Logging_1737/tillsynsmail/A 22174-2022 tillsynsbegäran mail.docx", "A 22174-2022")</f>
        <v/>
      </c>
    </row>
    <row r="392" ht="15" customHeight="1">
      <c r="A392" t="inlineStr">
        <is>
          <t>A 24618-2022</t>
        </is>
      </c>
      <c r="B392" s="1" t="n">
        <v>44727</v>
      </c>
      <c r="C392" s="1" t="n">
        <v>45353</v>
      </c>
      <c r="D392" t="inlineStr">
        <is>
          <t>VÄRMLANDS LÄN</t>
        </is>
      </c>
      <c r="E392" t="inlineStr">
        <is>
          <t>HAMMARÖ</t>
        </is>
      </c>
      <c r="F392" t="inlineStr">
        <is>
          <t>Kommuner</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HYPERLINK("https://klasma.github.io/Logging_1761/artfynd/A 24618-2022 artfynd.xlsx", "A 24618-2022")</f>
        <v/>
      </c>
      <c r="T392">
        <f>HYPERLINK("https://klasma.github.io/Logging_1761/kartor/A 24618-2022 karta.png", "A 24618-2022")</f>
        <v/>
      </c>
      <c r="U392">
        <f>HYPERLINK("https://klasma.github.io/Logging_1761/knärot/A 24618-2022 karta knärot.png", "A 24618-2022")</f>
        <v/>
      </c>
      <c r="V392">
        <f>HYPERLINK("https://klasma.github.io/Logging_1761/klagomål/A 24618-2022 FSC-klagomål.docx", "A 24618-2022")</f>
        <v/>
      </c>
      <c r="W392">
        <f>HYPERLINK("https://klasma.github.io/Logging_1761/klagomålsmail/A 24618-2022 FSC-klagomål mail.docx", "A 24618-2022")</f>
        <v/>
      </c>
      <c r="X392">
        <f>HYPERLINK("https://klasma.github.io/Logging_1761/tillsyn/A 24618-2022 tillsynsbegäran.docx", "A 24618-2022")</f>
        <v/>
      </c>
      <c r="Y392">
        <f>HYPERLINK("https://klasma.github.io/Logging_1761/tillsynsmail/A 24618-2022 tillsynsbegäran mail.docx", "A 24618-2022")</f>
        <v/>
      </c>
    </row>
    <row r="393" ht="15" customHeight="1">
      <c r="A393" t="inlineStr">
        <is>
          <t>A 24756-2022</t>
        </is>
      </c>
      <c r="B393" s="1" t="n">
        <v>44728</v>
      </c>
      <c r="C393" s="1" t="n">
        <v>45353</v>
      </c>
      <c r="D393" t="inlineStr">
        <is>
          <t>VÄRMLANDS LÄN</t>
        </is>
      </c>
      <c r="E393" t="inlineStr">
        <is>
          <t>ARVIKA</t>
        </is>
      </c>
      <c r="F393" t="inlineStr">
        <is>
          <t>Bergvik skog väst AB</t>
        </is>
      </c>
      <c r="G393" t="n">
        <v>18.2</v>
      </c>
      <c r="H393" t="n">
        <v>1</v>
      </c>
      <c r="I393" t="n">
        <v>0</v>
      </c>
      <c r="J393" t="n">
        <v>1</v>
      </c>
      <c r="K393" t="n">
        <v>0</v>
      </c>
      <c r="L393" t="n">
        <v>0</v>
      </c>
      <c r="M393" t="n">
        <v>0</v>
      </c>
      <c r="N393" t="n">
        <v>0</v>
      </c>
      <c r="O393" t="n">
        <v>1</v>
      </c>
      <c r="P393" t="n">
        <v>0</v>
      </c>
      <c r="Q393" t="n">
        <v>1</v>
      </c>
      <c r="R393" s="2" t="inlineStr">
        <is>
          <t>Havsörn</t>
        </is>
      </c>
      <c r="S393">
        <f>HYPERLINK("https://klasma.github.io/Logging_1784/artfynd/A 24756-2022 artfynd.xlsx", "A 24756-2022")</f>
        <v/>
      </c>
      <c r="T393">
        <f>HYPERLINK("https://klasma.github.io/Logging_1784/kartor/A 24756-2022 karta.png", "A 24756-2022")</f>
        <v/>
      </c>
      <c r="V393">
        <f>HYPERLINK("https://klasma.github.io/Logging_1784/klagomål/A 24756-2022 FSC-klagomål.docx", "A 24756-2022")</f>
        <v/>
      </c>
      <c r="W393">
        <f>HYPERLINK("https://klasma.github.io/Logging_1784/klagomålsmail/A 24756-2022 FSC-klagomål mail.docx", "A 24756-2022")</f>
        <v/>
      </c>
      <c r="X393">
        <f>HYPERLINK("https://klasma.github.io/Logging_1784/tillsyn/A 24756-2022 tillsynsbegäran.docx", "A 24756-2022")</f>
        <v/>
      </c>
      <c r="Y393">
        <f>HYPERLINK("https://klasma.github.io/Logging_1784/tillsynsmail/A 24756-2022 tillsynsbegäran mail.docx", "A 24756-2022")</f>
        <v/>
      </c>
      <c r="Z393">
        <f>HYPERLINK("https://klasma.github.io/Logging_1784/fåglar/A 24756-2022 prioriterade fågelarter.docx", "A 24756-2022")</f>
        <v/>
      </c>
    </row>
    <row r="394" ht="15" customHeight="1">
      <c r="A394" t="inlineStr">
        <is>
          <t>A 25999-2022</t>
        </is>
      </c>
      <c r="B394" s="1" t="n">
        <v>44734</v>
      </c>
      <c r="C394" s="1" t="n">
        <v>45353</v>
      </c>
      <c r="D394" t="inlineStr">
        <is>
          <t>VÄRMLANDS LÄN</t>
        </is>
      </c>
      <c r="E394" t="inlineStr">
        <is>
          <t>TORSBY</t>
        </is>
      </c>
      <c r="G394" t="n">
        <v>0.6</v>
      </c>
      <c r="H394" t="n">
        <v>0</v>
      </c>
      <c r="I394" t="n">
        <v>1</v>
      </c>
      <c r="J394" t="n">
        <v>0</v>
      </c>
      <c r="K394" t="n">
        <v>0</v>
      </c>
      <c r="L394" t="n">
        <v>0</v>
      </c>
      <c r="M394" t="n">
        <v>0</v>
      </c>
      <c r="N394" t="n">
        <v>0</v>
      </c>
      <c r="O394" t="n">
        <v>0</v>
      </c>
      <c r="P394" t="n">
        <v>0</v>
      </c>
      <c r="Q394" t="n">
        <v>1</v>
      </c>
      <c r="R394" s="2" t="inlineStr">
        <is>
          <t>Korallblylav</t>
        </is>
      </c>
      <c r="S394">
        <f>HYPERLINK("https://klasma.github.io/Logging_1737/artfynd/A 25999-2022 artfynd.xlsx", "A 25999-2022")</f>
        <v/>
      </c>
      <c r="T394">
        <f>HYPERLINK("https://klasma.github.io/Logging_1737/kartor/A 25999-2022 karta.png", "A 25999-2022")</f>
        <v/>
      </c>
      <c r="V394">
        <f>HYPERLINK("https://klasma.github.io/Logging_1737/klagomål/A 25999-2022 FSC-klagomål.docx", "A 25999-2022")</f>
        <v/>
      </c>
      <c r="W394">
        <f>HYPERLINK("https://klasma.github.io/Logging_1737/klagomålsmail/A 25999-2022 FSC-klagomål mail.docx", "A 25999-2022")</f>
        <v/>
      </c>
      <c r="X394">
        <f>HYPERLINK("https://klasma.github.io/Logging_1737/tillsyn/A 25999-2022 tillsynsbegäran.docx", "A 25999-2022")</f>
        <v/>
      </c>
      <c r="Y394">
        <f>HYPERLINK("https://klasma.github.io/Logging_1737/tillsynsmail/A 25999-2022 tillsynsbegäran mail.docx", "A 25999-2022")</f>
        <v/>
      </c>
    </row>
    <row r="395" ht="15" customHeight="1">
      <c r="A395" t="inlineStr">
        <is>
          <t>A 26233-2022</t>
        </is>
      </c>
      <c r="B395" s="1" t="n">
        <v>44735</v>
      </c>
      <c r="C395" s="1" t="n">
        <v>45353</v>
      </c>
      <c r="D395" t="inlineStr">
        <is>
          <t>VÄRMLANDS LÄN</t>
        </is>
      </c>
      <c r="E395" t="inlineStr">
        <is>
          <t>FORSHAGA</t>
        </is>
      </c>
      <c r="F395" t="inlineStr">
        <is>
          <t>Bergvik skog väst AB</t>
        </is>
      </c>
      <c r="G395" t="n">
        <v>9.6</v>
      </c>
      <c r="H395" t="n">
        <v>1</v>
      </c>
      <c r="I395" t="n">
        <v>0</v>
      </c>
      <c r="J395" t="n">
        <v>0</v>
      </c>
      <c r="K395" t="n">
        <v>0</v>
      </c>
      <c r="L395" t="n">
        <v>0</v>
      </c>
      <c r="M395" t="n">
        <v>0</v>
      </c>
      <c r="N395" t="n">
        <v>0</v>
      </c>
      <c r="O395" t="n">
        <v>0</v>
      </c>
      <c r="P395" t="n">
        <v>0</v>
      </c>
      <c r="Q395" t="n">
        <v>1</v>
      </c>
      <c r="R395" s="2" t="inlineStr">
        <is>
          <t>Buskmus</t>
        </is>
      </c>
      <c r="S395">
        <f>HYPERLINK("https://klasma.github.io/Logging_1763/artfynd/A 26233-2022 artfynd.xlsx", "A 26233-2022")</f>
        <v/>
      </c>
      <c r="T395">
        <f>HYPERLINK("https://klasma.github.io/Logging_1763/kartor/A 26233-2022 karta.png", "A 26233-2022")</f>
        <v/>
      </c>
      <c r="V395">
        <f>HYPERLINK("https://klasma.github.io/Logging_1763/klagomål/A 26233-2022 FSC-klagomål.docx", "A 26233-2022")</f>
        <v/>
      </c>
      <c r="W395">
        <f>HYPERLINK("https://klasma.github.io/Logging_1763/klagomålsmail/A 26233-2022 FSC-klagomål mail.docx", "A 26233-2022")</f>
        <v/>
      </c>
      <c r="X395">
        <f>HYPERLINK("https://klasma.github.io/Logging_1763/tillsyn/A 26233-2022 tillsynsbegäran.docx", "A 26233-2022")</f>
        <v/>
      </c>
      <c r="Y395">
        <f>HYPERLINK("https://klasma.github.io/Logging_1763/tillsynsmail/A 26233-2022 tillsynsbegäran mail.docx", "A 26233-2022")</f>
        <v/>
      </c>
    </row>
    <row r="396" ht="15" customHeight="1">
      <c r="A396" t="inlineStr">
        <is>
          <t>A 27105-2022</t>
        </is>
      </c>
      <c r="B396" s="1" t="n">
        <v>44741</v>
      </c>
      <c r="C396" s="1" t="n">
        <v>45353</v>
      </c>
      <c r="D396" t="inlineStr">
        <is>
          <t>VÄRMLANDS LÄN</t>
        </is>
      </c>
      <c r="E396" t="inlineStr">
        <is>
          <t>FILIPSTAD</t>
        </is>
      </c>
      <c r="F396" t="inlineStr">
        <is>
          <t>Bergvik skog väst AB</t>
        </is>
      </c>
      <c r="G396" t="n">
        <v>7</v>
      </c>
      <c r="H396" t="n">
        <v>1</v>
      </c>
      <c r="I396" t="n">
        <v>0</v>
      </c>
      <c r="J396" t="n">
        <v>0</v>
      </c>
      <c r="K396" t="n">
        <v>0</v>
      </c>
      <c r="L396" t="n">
        <v>0</v>
      </c>
      <c r="M396" t="n">
        <v>0</v>
      </c>
      <c r="N396" t="n">
        <v>0</v>
      </c>
      <c r="O396" t="n">
        <v>0</v>
      </c>
      <c r="P396" t="n">
        <v>0</v>
      </c>
      <c r="Q396" t="n">
        <v>1</v>
      </c>
      <c r="R396" s="2" t="inlineStr">
        <is>
          <t>Mattlummer</t>
        </is>
      </c>
      <c r="S396">
        <f>HYPERLINK("https://klasma.github.io/Logging_1782/artfynd/A 27105-2022 artfynd.xlsx", "A 27105-2022")</f>
        <v/>
      </c>
      <c r="T396">
        <f>HYPERLINK("https://klasma.github.io/Logging_1782/kartor/A 27105-2022 karta.png", "A 27105-2022")</f>
        <v/>
      </c>
      <c r="V396">
        <f>HYPERLINK("https://klasma.github.io/Logging_1782/klagomål/A 27105-2022 FSC-klagomål.docx", "A 27105-2022")</f>
        <v/>
      </c>
      <c r="W396">
        <f>HYPERLINK("https://klasma.github.io/Logging_1782/klagomålsmail/A 27105-2022 FSC-klagomål mail.docx", "A 27105-2022")</f>
        <v/>
      </c>
      <c r="X396">
        <f>HYPERLINK("https://klasma.github.io/Logging_1782/tillsyn/A 27105-2022 tillsynsbegäran.docx", "A 27105-2022")</f>
        <v/>
      </c>
      <c r="Y396">
        <f>HYPERLINK("https://klasma.github.io/Logging_1782/tillsynsmail/A 27105-2022 tillsynsbegäran mail.docx", "A 27105-2022")</f>
        <v/>
      </c>
    </row>
    <row r="397" ht="15" customHeight="1">
      <c r="A397" t="inlineStr">
        <is>
          <t>A 29742-2022</t>
        </is>
      </c>
      <c r="B397" s="1" t="n">
        <v>44755</v>
      </c>
      <c r="C397" s="1" t="n">
        <v>45353</v>
      </c>
      <c r="D397" t="inlineStr">
        <is>
          <t>VÄRMLANDS LÄN</t>
        </is>
      </c>
      <c r="E397" t="inlineStr">
        <is>
          <t>SÄFFLE</t>
        </is>
      </c>
      <c r="F397" t="inlineStr">
        <is>
          <t>Bergvik skog väst AB</t>
        </is>
      </c>
      <c r="G397" t="n">
        <v>7.9</v>
      </c>
      <c r="H397" t="n">
        <v>0</v>
      </c>
      <c r="I397" t="n">
        <v>1</v>
      </c>
      <c r="J397" t="n">
        <v>0</v>
      </c>
      <c r="K397" t="n">
        <v>0</v>
      </c>
      <c r="L397" t="n">
        <v>0</v>
      </c>
      <c r="M397" t="n">
        <v>0</v>
      </c>
      <c r="N397" t="n">
        <v>0</v>
      </c>
      <c r="O397" t="n">
        <v>0</v>
      </c>
      <c r="P397" t="n">
        <v>0</v>
      </c>
      <c r="Q397" t="n">
        <v>1</v>
      </c>
      <c r="R397" s="2" t="inlineStr">
        <is>
          <t>Vätteros</t>
        </is>
      </c>
      <c r="S397">
        <f>HYPERLINK("https://klasma.github.io/Logging_1785/artfynd/A 29742-2022 artfynd.xlsx", "A 29742-2022")</f>
        <v/>
      </c>
      <c r="T397">
        <f>HYPERLINK("https://klasma.github.io/Logging_1785/kartor/A 29742-2022 karta.png", "A 29742-2022")</f>
        <v/>
      </c>
      <c r="V397">
        <f>HYPERLINK("https://klasma.github.io/Logging_1785/klagomål/A 29742-2022 FSC-klagomål.docx", "A 29742-2022")</f>
        <v/>
      </c>
      <c r="W397">
        <f>HYPERLINK("https://klasma.github.io/Logging_1785/klagomålsmail/A 29742-2022 FSC-klagomål mail.docx", "A 29742-2022")</f>
        <v/>
      </c>
      <c r="X397">
        <f>HYPERLINK("https://klasma.github.io/Logging_1785/tillsyn/A 29742-2022 tillsynsbegäran.docx", "A 29742-2022")</f>
        <v/>
      </c>
      <c r="Y397">
        <f>HYPERLINK("https://klasma.github.io/Logging_1785/tillsynsmail/A 29742-2022 tillsynsbegäran mail.docx", "A 29742-2022")</f>
        <v/>
      </c>
    </row>
    <row r="398" ht="15" customHeight="1">
      <c r="A398" t="inlineStr">
        <is>
          <t>A 30596-2022</t>
        </is>
      </c>
      <c r="B398" s="1" t="n">
        <v>44762</v>
      </c>
      <c r="C398" s="1" t="n">
        <v>45353</v>
      </c>
      <c r="D398" t="inlineStr">
        <is>
          <t>VÄRMLANDS LÄN</t>
        </is>
      </c>
      <c r="E398" t="inlineStr">
        <is>
          <t>SÄFFLE</t>
        </is>
      </c>
      <c r="G398" t="n">
        <v>2.1</v>
      </c>
      <c r="H398" t="n">
        <v>0</v>
      </c>
      <c r="I398" t="n">
        <v>0</v>
      </c>
      <c r="J398" t="n">
        <v>1</v>
      </c>
      <c r="K398" t="n">
        <v>0</v>
      </c>
      <c r="L398" t="n">
        <v>0</v>
      </c>
      <c r="M398" t="n">
        <v>0</v>
      </c>
      <c r="N398" t="n">
        <v>0</v>
      </c>
      <c r="O398" t="n">
        <v>1</v>
      </c>
      <c r="P398" t="n">
        <v>0</v>
      </c>
      <c r="Q398" t="n">
        <v>1</v>
      </c>
      <c r="R398" s="2" t="inlineStr">
        <is>
          <t>Skogsklocka</t>
        </is>
      </c>
      <c r="S398">
        <f>HYPERLINK("https://klasma.github.io/Logging_1785/artfynd/A 30596-2022 artfynd.xlsx", "A 30596-2022")</f>
        <v/>
      </c>
      <c r="T398">
        <f>HYPERLINK("https://klasma.github.io/Logging_1785/kartor/A 30596-2022 karta.png", "A 30596-2022")</f>
        <v/>
      </c>
      <c r="V398">
        <f>HYPERLINK("https://klasma.github.io/Logging_1785/klagomål/A 30596-2022 FSC-klagomål.docx", "A 30596-2022")</f>
        <v/>
      </c>
      <c r="W398">
        <f>HYPERLINK("https://klasma.github.io/Logging_1785/klagomålsmail/A 30596-2022 FSC-klagomål mail.docx", "A 30596-2022")</f>
        <v/>
      </c>
      <c r="X398">
        <f>HYPERLINK("https://klasma.github.io/Logging_1785/tillsyn/A 30596-2022 tillsynsbegäran.docx", "A 30596-2022")</f>
        <v/>
      </c>
      <c r="Y398">
        <f>HYPERLINK("https://klasma.github.io/Logging_1785/tillsynsmail/A 30596-2022 tillsynsbegäran mail.docx", "A 30596-2022")</f>
        <v/>
      </c>
    </row>
    <row r="399" ht="15" customHeight="1">
      <c r="A399" t="inlineStr">
        <is>
          <t>A 34357-2022</t>
        </is>
      </c>
      <c r="B399" s="1" t="n">
        <v>44792</v>
      </c>
      <c r="C399" s="1" t="n">
        <v>45353</v>
      </c>
      <c r="D399" t="inlineStr">
        <is>
          <t>VÄRMLANDS LÄN</t>
        </is>
      </c>
      <c r="E399" t="inlineStr">
        <is>
          <t>GRUMS</t>
        </is>
      </c>
      <c r="G399" t="n">
        <v>15.3</v>
      </c>
      <c r="H399" t="n">
        <v>0</v>
      </c>
      <c r="I399" t="n">
        <v>0</v>
      </c>
      <c r="J399" t="n">
        <v>1</v>
      </c>
      <c r="K399" t="n">
        <v>0</v>
      </c>
      <c r="L399" t="n">
        <v>0</v>
      </c>
      <c r="M399" t="n">
        <v>0</v>
      </c>
      <c r="N399" t="n">
        <v>0</v>
      </c>
      <c r="O399" t="n">
        <v>1</v>
      </c>
      <c r="P399" t="n">
        <v>0</v>
      </c>
      <c r="Q399" t="n">
        <v>1</v>
      </c>
      <c r="R399" s="2" t="inlineStr">
        <is>
          <t>Skogsklocka</t>
        </is>
      </c>
      <c r="S399">
        <f>HYPERLINK("https://klasma.github.io/Logging_1764/artfynd/A 34357-2022 artfynd.xlsx", "A 34357-2022")</f>
        <v/>
      </c>
      <c r="T399">
        <f>HYPERLINK("https://klasma.github.io/Logging_1764/kartor/A 34357-2022 karta.png", "A 34357-2022")</f>
        <v/>
      </c>
      <c r="V399">
        <f>HYPERLINK("https://klasma.github.io/Logging_1764/klagomål/A 34357-2022 FSC-klagomål.docx", "A 34357-2022")</f>
        <v/>
      </c>
      <c r="W399">
        <f>HYPERLINK("https://klasma.github.io/Logging_1764/klagomålsmail/A 34357-2022 FSC-klagomål mail.docx", "A 34357-2022")</f>
        <v/>
      </c>
      <c r="X399">
        <f>HYPERLINK("https://klasma.github.io/Logging_1764/tillsyn/A 34357-2022 tillsynsbegäran.docx", "A 34357-2022")</f>
        <v/>
      </c>
      <c r="Y399">
        <f>HYPERLINK("https://klasma.github.io/Logging_1764/tillsynsmail/A 34357-2022 tillsynsbegäran mail.docx", "A 34357-2022")</f>
        <v/>
      </c>
    </row>
    <row r="400" ht="15" customHeight="1">
      <c r="A400" t="inlineStr">
        <is>
          <t>A 35709-2022</t>
        </is>
      </c>
      <c r="B400" s="1" t="n">
        <v>44799</v>
      </c>
      <c r="C400" s="1" t="n">
        <v>45353</v>
      </c>
      <c r="D400" t="inlineStr">
        <is>
          <t>VÄRMLANDS LÄN</t>
        </is>
      </c>
      <c r="E400" t="inlineStr">
        <is>
          <t>TORSBY</t>
        </is>
      </c>
      <c r="G400" t="n">
        <v>4.4</v>
      </c>
      <c r="H400" t="n">
        <v>0</v>
      </c>
      <c r="I400" t="n">
        <v>1</v>
      </c>
      <c r="J400" t="n">
        <v>0</v>
      </c>
      <c r="K400" t="n">
        <v>0</v>
      </c>
      <c r="L400" t="n">
        <v>0</v>
      </c>
      <c r="M400" t="n">
        <v>0</v>
      </c>
      <c r="N400" t="n">
        <v>0</v>
      </c>
      <c r="O400" t="n">
        <v>0</v>
      </c>
      <c r="P400" t="n">
        <v>0</v>
      </c>
      <c r="Q400" t="n">
        <v>1</v>
      </c>
      <c r="R400" s="2" t="inlineStr">
        <is>
          <t>Dropptaggsvamp</t>
        </is>
      </c>
      <c r="S400">
        <f>HYPERLINK("https://klasma.github.io/Logging_1737/artfynd/A 35709-2022 artfynd.xlsx", "A 35709-2022")</f>
        <v/>
      </c>
      <c r="T400">
        <f>HYPERLINK("https://klasma.github.io/Logging_1737/kartor/A 35709-2022 karta.png", "A 35709-2022")</f>
        <v/>
      </c>
      <c r="V400">
        <f>HYPERLINK("https://klasma.github.io/Logging_1737/klagomål/A 35709-2022 FSC-klagomål.docx", "A 35709-2022")</f>
        <v/>
      </c>
      <c r="W400">
        <f>HYPERLINK("https://klasma.github.io/Logging_1737/klagomålsmail/A 35709-2022 FSC-klagomål mail.docx", "A 35709-2022")</f>
        <v/>
      </c>
      <c r="X400">
        <f>HYPERLINK("https://klasma.github.io/Logging_1737/tillsyn/A 35709-2022 tillsynsbegäran.docx", "A 35709-2022")</f>
        <v/>
      </c>
      <c r="Y400">
        <f>HYPERLINK("https://klasma.github.io/Logging_1737/tillsynsmail/A 35709-2022 tillsynsbegäran mail.docx", "A 35709-2022")</f>
        <v/>
      </c>
    </row>
    <row r="401" ht="15" customHeight="1">
      <c r="A401" t="inlineStr">
        <is>
          <t>A 36885-2022</t>
        </is>
      </c>
      <c r="B401" s="1" t="n">
        <v>44805</v>
      </c>
      <c r="C401" s="1" t="n">
        <v>45353</v>
      </c>
      <c r="D401" t="inlineStr">
        <is>
          <t>VÄRMLANDS LÄN</t>
        </is>
      </c>
      <c r="E401" t="inlineStr">
        <is>
          <t>SÄFFLE</t>
        </is>
      </c>
      <c r="F401" t="inlineStr">
        <is>
          <t>Kyrkan</t>
        </is>
      </c>
      <c r="G401" t="n">
        <v>5.1</v>
      </c>
      <c r="H401" t="n">
        <v>0</v>
      </c>
      <c r="I401" t="n">
        <v>0</v>
      </c>
      <c r="J401" t="n">
        <v>0</v>
      </c>
      <c r="K401" t="n">
        <v>1</v>
      </c>
      <c r="L401" t="n">
        <v>0</v>
      </c>
      <c r="M401" t="n">
        <v>0</v>
      </c>
      <c r="N401" t="n">
        <v>0</v>
      </c>
      <c r="O401" t="n">
        <v>1</v>
      </c>
      <c r="P401" t="n">
        <v>1</v>
      </c>
      <c r="Q401" t="n">
        <v>1</v>
      </c>
      <c r="R401" s="2" t="inlineStr">
        <is>
          <t>Grangråticka</t>
        </is>
      </c>
      <c r="S401">
        <f>HYPERLINK("https://klasma.github.io/Logging_1785/artfynd/A 36885-2022 artfynd.xlsx", "A 36885-2022")</f>
        <v/>
      </c>
      <c r="T401">
        <f>HYPERLINK("https://klasma.github.io/Logging_1785/kartor/A 36885-2022 karta.png", "A 36885-2022")</f>
        <v/>
      </c>
      <c r="V401">
        <f>HYPERLINK("https://klasma.github.io/Logging_1785/klagomål/A 36885-2022 FSC-klagomål.docx", "A 36885-2022")</f>
        <v/>
      </c>
      <c r="W401">
        <f>HYPERLINK("https://klasma.github.io/Logging_1785/klagomålsmail/A 36885-2022 FSC-klagomål mail.docx", "A 36885-2022")</f>
        <v/>
      </c>
      <c r="X401">
        <f>HYPERLINK("https://klasma.github.io/Logging_1785/tillsyn/A 36885-2022 tillsynsbegäran.docx", "A 36885-2022")</f>
        <v/>
      </c>
      <c r="Y401">
        <f>HYPERLINK("https://klasma.github.io/Logging_1785/tillsynsmail/A 36885-2022 tillsynsbegäran mail.docx", "A 36885-2022")</f>
        <v/>
      </c>
    </row>
    <row r="402" ht="15" customHeight="1">
      <c r="A402" t="inlineStr">
        <is>
          <t>A 37408-2022</t>
        </is>
      </c>
      <c r="B402" s="1" t="n">
        <v>44809</v>
      </c>
      <c r="C402" s="1" t="n">
        <v>45353</v>
      </c>
      <c r="D402" t="inlineStr">
        <is>
          <t>VÄRMLANDS LÄN</t>
        </is>
      </c>
      <c r="E402" t="inlineStr">
        <is>
          <t>KIL</t>
        </is>
      </c>
      <c r="G402" t="n">
        <v>2.6</v>
      </c>
      <c r="H402" t="n">
        <v>0</v>
      </c>
      <c r="I402" t="n">
        <v>1</v>
      </c>
      <c r="J402" t="n">
        <v>0</v>
      </c>
      <c r="K402" t="n">
        <v>0</v>
      </c>
      <c r="L402" t="n">
        <v>0</v>
      </c>
      <c r="M402" t="n">
        <v>0</v>
      </c>
      <c r="N402" t="n">
        <v>0</v>
      </c>
      <c r="O402" t="n">
        <v>0</v>
      </c>
      <c r="P402" t="n">
        <v>0</v>
      </c>
      <c r="Q402" t="n">
        <v>1</v>
      </c>
      <c r="R402" s="2" t="inlineStr">
        <is>
          <t>Dropptaggsvamp</t>
        </is>
      </c>
      <c r="S402">
        <f>HYPERLINK("https://klasma.github.io/Logging_1715/artfynd/A 37408-2022 artfynd.xlsx", "A 37408-2022")</f>
        <v/>
      </c>
      <c r="T402">
        <f>HYPERLINK("https://klasma.github.io/Logging_1715/kartor/A 37408-2022 karta.png", "A 37408-2022")</f>
        <v/>
      </c>
      <c r="V402">
        <f>HYPERLINK("https://klasma.github.io/Logging_1715/klagomål/A 37408-2022 FSC-klagomål.docx", "A 37408-2022")</f>
        <v/>
      </c>
      <c r="W402">
        <f>HYPERLINK("https://klasma.github.io/Logging_1715/klagomålsmail/A 37408-2022 FSC-klagomål mail.docx", "A 37408-2022")</f>
        <v/>
      </c>
      <c r="X402">
        <f>HYPERLINK("https://klasma.github.io/Logging_1715/tillsyn/A 37408-2022 tillsynsbegäran.docx", "A 37408-2022")</f>
        <v/>
      </c>
      <c r="Y402">
        <f>HYPERLINK("https://klasma.github.io/Logging_1715/tillsynsmail/A 37408-2022 tillsynsbegäran mail.docx", "A 37408-2022")</f>
        <v/>
      </c>
    </row>
    <row r="403" ht="15" customHeight="1">
      <c r="A403" t="inlineStr">
        <is>
          <t>A 38477-2022</t>
        </is>
      </c>
      <c r="B403" s="1" t="n">
        <v>44813</v>
      </c>
      <c r="C403" s="1" t="n">
        <v>45353</v>
      </c>
      <c r="D403" t="inlineStr">
        <is>
          <t>VÄRMLANDS LÄN</t>
        </is>
      </c>
      <c r="E403" t="inlineStr">
        <is>
          <t>SÄFFLE</t>
        </is>
      </c>
      <c r="G403" t="n">
        <v>2.6</v>
      </c>
      <c r="H403" t="n">
        <v>0</v>
      </c>
      <c r="I403" t="n">
        <v>0</v>
      </c>
      <c r="J403" t="n">
        <v>1</v>
      </c>
      <c r="K403" t="n">
        <v>0</v>
      </c>
      <c r="L403" t="n">
        <v>0</v>
      </c>
      <c r="M403" t="n">
        <v>0</v>
      </c>
      <c r="N403" t="n">
        <v>0</v>
      </c>
      <c r="O403" t="n">
        <v>1</v>
      </c>
      <c r="P403" t="n">
        <v>0</v>
      </c>
      <c r="Q403" t="n">
        <v>1</v>
      </c>
      <c r="R403" s="2" t="inlineStr">
        <is>
          <t>Dofttaggsvamp</t>
        </is>
      </c>
      <c r="S403">
        <f>HYPERLINK("https://klasma.github.io/Logging_1785/artfynd/A 38477-2022 artfynd.xlsx", "A 38477-2022")</f>
        <v/>
      </c>
      <c r="T403">
        <f>HYPERLINK("https://klasma.github.io/Logging_1785/kartor/A 38477-2022 karta.png", "A 38477-2022")</f>
        <v/>
      </c>
      <c r="V403">
        <f>HYPERLINK("https://klasma.github.io/Logging_1785/klagomål/A 38477-2022 FSC-klagomål.docx", "A 38477-2022")</f>
        <v/>
      </c>
      <c r="W403">
        <f>HYPERLINK("https://klasma.github.io/Logging_1785/klagomålsmail/A 38477-2022 FSC-klagomål mail.docx", "A 38477-2022")</f>
        <v/>
      </c>
      <c r="X403">
        <f>HYPERLINK("https://klasma.github.io/Logging_1785/tillsyn/A 38477-2022 tillsynsbegäran.docx", "A 38477-2022")</f>
        <v/>
      </c>
      <c r="Y403">
        <f>HYPERLINK("https://klasma.github.io/Logging_1785/tillsynsmail/A 38477-2022 tillsynsbegäran mail.docx", "A 38477-2022")</f>
        <v/>
      </c>
    </row>
    <row r="404" ht="15" customHeight="1">
      <c r="A404" t="inlineStr">
        <is>
          <t>A 42500-2022</t>
        </is>
      </c>
      <c r="B404" s="1" t="n">
        <v>44831</v>
      </c>
      <c r="C404" s="1" t="n">
        <v>45353</v>
      </c>
      <c r="D404" t="inlineStr">
        <is>
          <t>VÄRMLANDS LÄN</t>
        </is>
      </c>
      <c r="E404" t="inlineStr">
        <is>
          <t>TORSBY</t>
        </is>
      </c>
      <c r="F404" t="inlineStr">
        <is>
          <t>Kommuner</t>
        </is>
      </c>
      <c r="G404" t="n">
        <v>2.3</v>
      </c>
      <c r="H404" t="n">
        <v>0</v>
      </c>
      <c r="I404" t="n">
        <v>0</v>
      </c>
      <c r="J404" t="n">
        <v>1</v>
      </c>
      <c r="K404" t="n">
        <v>0</v>
      </c>
      <c r="L404" t="n">
        <v>0</v>
      </c>
      <c r="M404" t="n">
        <v>0</v>
      </c>
      <c r="N404" t="n">
        <v>0</v>
      </c>
      <c r="O404" t="n">
        <v>1</v>
      </c>
      <c r="P404" t="n">
        <v>0</v>
      </c>
      <c r="Q404" t="n">
        <v>1</v>
      </c>
      <c r="R404" s="2" t="inlineStr">
        <is>
          <t>Violettgrå tagellav</t>
        </is>
      </c>
      <c r="S404">
        <f>HYPERLINK("https://klasma.github.io/Logging_1737/artfynd/A 42500-2022 artfynd.xlsx", "A 42500-2022")</f>
        <v/>
      </c>
      <c r="T404">
        <f>HYPERLINK("https://klasma.github.io/Logging_1737/kartor/A 42500-2022 karta.png", "A 42500-2022")</f>
        <v/>
      </c>
      <c r="U404">
        <f>HYPERLINK("https://klasma.github.io/Logging_1737/knärot/A 42500-2022 karta knärot.png", "A 42500-2022")</f>
        <v/>
      </c>
      <c r="V404">
        <f>HYPERLINK("https://klasma.github.io/Logging_1737/klagomål/A 42500-2022 FSC-klagomål.docx", "A 42500-2022")</f>
        <v/>
      </c>
      <c r="W404">
        <f>HYPERLINK("https://klasma.github.io/Logging_1737/klagomålsmail/A 42500-2022 FSC-klagomål mail.docx", "A 42500-2022")</f>
        <v/>
      </c>
      <c r="X404">
        <f>HYPERLINK("https://klasma.github.io/Logging_1737/tillsyn/A 42500-2022 tillsynsbegäran.docx", "A 42500-2022")</f>
        <v/>
      </c>
      <c r="Y404">
        <f>HYPERLINK("https://klasma.github.io/Logging_1737/tillsynsmail/A 42500-2022 tillsynsbegäran mail.docx", "A 42500-2022")</f>
        <v/>
      </c>
    </row>
    <row r="405" ht="15" customHeight="1">
      <c r="A405" t="inlineStr">
        <is>
          <t>A 44007-2022</t>
        </is>
      </c>
      <c r="B405" s="1" t="n">
        <v>44838</v>
      </c>
      <c r="C405" s="1" t="n">
        <v>45353</v>
      </c>
      <c r="D405" t="inlineStr">
        <is>
          <t>VÄRMLANDS LÄN</t>
        </is>
      </c>
      <c r="E405" t="inlineStr">
        <is>
          <t>TORSBY</t>
        </is>
      </c>
      <c r="F405" t="inlineStr">
        <is>
          <t>Bergvik skog väst AB</t>
        </is>
      </c>
      <c r="G405" t="n">
        <v>8</v>
      </c>
      <c r="H405" t="n">
        <v>1</v>
      </c>
      <c r="I405" t="n">
        <v>0</v>
      </c>
      <c r="J405" t="n">
        <v>1</v>
      </c>
      <c r="K405" t="n">
        <v>0</v>
      </c>
      <c r="L405" t="n">
        <v>0</v>
      </c>
      <c r="M405" t="n">
        <v>0</v>
      </c>
      <c r="N405" t="n">
        <v>0</v>
      </c>
      <c r="O405" t="n">
        <v>1</v>
      </c>
      <c r="P405" t="n">
        <v>0</v>
      </c>
      <c r="Q405" t="n">
        <v>1</v>
      </c>
      <c r="R405" s="2" t="inlineStr">
        <is>
          <t>Utter</t>
        </is>
      </c>
      <c r="S405">
        <f>HYPERLINK("https://klasma.github.io/Logging_1737/artfynd/A 44007-2022 artfynd.xlsx", "A 44007-2022")</f>
        <v/>
      </c>
      <c r="T405">
        <f>HYPERLINK("https://klasma.github.io/Logging_1737/kartor/A 44007-2022 karta.png", "A 44007-2022")</f>
        <v/>
      </c>
      <c r="V405">
        <f>HYPERLINK("https://klasma.github.io/Logging_1737/klagomål/A 44007-2022 FSC-klagomål.docx", "A 44007-2022")</f>
        <v/>
      </c>
      <c r="W405">
        <f>HYPERLINK("https://klasma.github.io/Logging_1737/klagomålsmail/A 44007-2022 FSC-klagomål mail.docx", "A 44007-2022")</f>
        <v/>
      </c>
      <c r="X405">
        <f>HYPERLINK("https://klasma.github.io/Logging_1737/tillsyn/A 44007-2022 tillsynsbegäran.docx", "A 44007-2022")</f>
        <v/>
      </c>
      <c r="Y405">
        <f>HYPERLINK("https://klasma.github.io/Logging_1737/tillsynsmail/A 44007-2022 tillsynsbegäran mail.docx", "A 44007-2022")</f>
        <v/>
      </c>
    </row>
    <row r="406" ht="15" customHeight="1">
      <c r="A406" t="inlineStr">
        <is>
          <t>A 45293-2022</t>
        </is>
      </c>
      <c r="B406" s="1" t="n">
        <v>44840</v>
      </c>
      <c r="C406" s="1" t="n">
        <v>45353</v>
      </c>
      <c r="D406" t="inlineStr">
        <is>
          <t>VÄRMLANDS LÄN</t>
        </is>
      </c>
      <c r="E406" t="inlineStr">
        <is>
          <t>SUNNE</t>
        </is>
      </c>
      <c r="G406" t="n">
        <v>1.4</v>
      </c>
      <c r="H406" t="n">
        <v>0</v>
      </c>
      <c r="I406" t="n">
        <v>1</v>
      </c>
      <c r="J406" t="n">
        <v>0</v>
      </c>
      <c r="K406" t="n">
        <v>0</v>
      </c>
      <c r="L406" t="n">
        <v>0</v>
      </c>
      <c r="M406" t="n">
        <v>0</v>
      </c>
      <c r="N406" t="n">
        <v>0</v>
      </c>
      <c r="O406" t="n">
        <v>0</v>
      </c>
      <c r="P406" t="n">
        <v>0</v>
      </c>
      <c r="Q406" t="n">
        <v>1</v>
      </c>
      <c r="R406" s="2" t="inlineStr">
        <is>
          <t>Bronshjon</t>
        </is>
      </c>
      <c r="S406">
        <f>HYPERLINK("https://klasma.github.io/Logging_1766/artfynd/A 45293-2022 artfynd.xlsx", "A 45293-2022")</f>
        <v/>
      </c>
      <c r="T406">
        <f>HYPERLINK("https://klasma.github.io/Logging_1766/kartor/A 45293-2022 karta.png", "A 45293-2022")</f>
        <v/>
      </c>
      <c r="V406">
        <f>HYPERLINK("https://klasma.github.io/Logging_1766/klagomål/A 45293-2022 FSC-klagomål.docx", "A 45293-2022")</f>
        <v/>
      </c>
      <c r="W406">
        <f>HYPERLINK("https://klasma.github.io/Logging_1766/klagomålsmail/A 45293-2022 FSC-klagomål mail.docx", "A 45293-2022")</f>
        <v/>
      </c>
      <c r="X406">
        <f>HYPERLINK("https://klasma.github.io/Logging_1766/tillsyn/A 45293-2022 tillsynsbegäran.docx", "A 45293-2022")</f>
        <v/>
      </c>
      <c r="Y406">
        <f>HYPERLINK("https://klasma.github.io/Logging_1766/tillsynsmail/A 45293-2022 tillsynsbegäran mail.docx", "A 45293-2022")</f>
        <v/>
      </c>
    </row>
    <row r="407" ht="15" customHeight="1">
      <c r="A407" t="inlineStr">
        <is>
          <t>A 45938-2022</t>
        </is>
      </c>
      <c r="B407" s="1" t="n">
        <v>44846</v>
      </c>
      <c r="C407" s="1" t="n">
        <v>45353</v>
      </c>
      <c r="D407" t="inlineStr">
        <is>
          <t>VÄRMLANDS LÄN</t>
        </is>
      </c>
      <c r="E407" t="inlineStr">
        <is>
          <t>ÅRJÄNG</t>
        </is>
      </c>
      <c r="G407" t="n">
        <v>4.4</v>
      </c>
      <c r="H407" t="n">
        <v>1</v>
      </c>
      <c r="I407" t="n">
        <v>0</v>
      </c>
      <c r="J407" t="n">
        <v>0</v>
      </c>
      <c r="K407" t="n">
        <v>1</v>
      </c>
      <c r="L407" t="n">
        <v>0</v>
      </c>
      <c r="M407" t="n">
        <v>0</v>
      </c>
      <c r="N407" t="n">
        <v>0</v>
      </c>
      <c r="O407" t="n">
        <v>1</v>
      </c>
      <c r="P407" t="n">
        <v>1</v>
      </c>
      <c r="Q407" t="n">
        <v>1</v>
      </c>
      <c r="R407" s="2" t="inlineStr">
        <is>
          <t>Knärot</t>
        </is>
      </c>
      <c r="S407">
        <f>HYPERLINK("https://klasma.github.io/Logging_1765/artfynd/A 45938-2022 artfynd.xlsx", "A 45938-2022")</f>
        <v/>
      </c>
      <c r="T407">
        <f>HYPERLINK("https://klasma.github.io/Logging_1765/kartor/A 45938-2022 karta.png", "A 45938-2022")</f>
        <v/>
      </c>
      <c r="U407">
        <f>HYPERLINK("https://klasma.github.io/Logging_1765/knärot/A 45938-2022 karta knärot.png", "A 45938-2022")</f>
        <v/>
      </c>
      <c r="V407">
        <f>HYPERLINK("https://klasma.github.io/Logging_1765/klagomål/A 45938-2022 FSC-klagomål.docx", "A 45938-2022")</f>
        <v/>
      </c>
      <c r="W407">
        <f>HYPERLINK("https://klasma.github.io/Logging_1765/klagomålsmail/A 45938-2022 FSC-klagomål mail.docx", "A 45938-2022")</f>
        <v/>
      </c>
      <c r="X407">
        <f>HYPERLINK("https://klasma.github.io/Logging_1765/tillsyn/A 45938-2022 tillsynsbegäran.docx", "A 45938-2022")</f>
        <v/>
      </c>
      <c r="Y407">
        <f>HYPERLINK("https://klasma.github.io/Logging_1765/tillsynsmail/A 45938-2022 tillsynsbegäran mail.docx", "A 45938-2022")</f>
        <v/>
      </c>
    </row>
    <row r="408" ht="15" customHeight="1">
      <c r="A408" t="inlineStr">
        <is>
          <t>A 46927-2022</t>
        </is>
      </c>
      <c r="B408" s="1" t="n">
        <v>44851</v>
      </c>
      <c r="C408" s="1" t="n">
        <v>45353</v>
      </c>
      <c r="D408" t="inlineStr">
        <is>
          <t>VÄRMLANDS LÄN</t>
        </is>
      </c>
      <c r="E408" t="inlineStr">
        <is>
          <t>ARVIKA</t>
        </is>
      </c>
      <c r="G408" t="n">
        <v>9.800000000000001</v>
      </c>
      <c r="H408" t="n">
        <v>1</v>
      </c>
      <c r="I408" t="n">
        <v>0</v>
      </c>
      <c r="J408" t="n">
        <v>0</v>
      </c>
      <c r="K408" t="n">
        <v>1</v>
      </c>
      <c r="L408" t="n">
        <v>0</v>
      </c>
      <c r="M408" t="n">
        <v>0</v>
      </c>
      <c r="N408" t="n">
        <v>0</v>
      </c>
      <c r="O408" t="n">
        <v>1</v>
      </c>
      <c r="P408" t="n">
        <v>1</v>
      </c>
      <c r="Q408" t="n">
        <v>1</v>
      </c>
      <c r="R408" s="2" t="inlineStr">
        <is>
          <t>Knärot</t>
        </is>
      </c>
      <c r="S408">
        <f>HYPERLINK("https://klasma.github.io/Logging_1784/artfynd/A 46927-2022 artfynd.xlsx", "A 46927-2022")</f>
        <v/>
      </c>
      <c r="T408">
        <f>HYPERLINK("https://klasma.github.io/Logging_1784/kartor/A 46927-2022 karta.png", "A 46927-2022")</f>
        <v/>
      </c>
      <c r="U408">
        <f>HYPERLINK("https://klasma.github.io/Logging_1784/knärot/A 46927-2022 karta knärot.png", "A 46927-2022")</f>
        <v/>
      </c>
      <c r="V408">
        <f>HYPERLINK("https://klasma.github.io/Logging_1784/klagomål/A 46927-2022 FSC-klagomål.docx", "A 46927-2022")</f>
        <v/>
      </c>
      <c r="W408">
        <f>HYPERLINK("https://klasma.github.io/Logging_1784/klagomålsmail/A 46927-2022 FSC-klagomål mail.docx", "A 46927-2022")</f>
        <v/>
      </c>
      <c r="X408">
        <f>HYPERLINK("https://klasma.github.io/Logging_1784/tillsyn/A 46927-2022 tillsynsbegäran.docx", "A 46927-2022")</f>
        <v/>
      </c>
      <c r="Y408">
        <f>HYPERLINK("https://klasma.github.io/Logging_1784/tillsynsmail/A 46927-2022 tillsynsbegäran mail.docx", "A 46927-2022")</f>
        <v/>
      </c>
    </row>
    <row r="409" ht="15" customHeight="1">
      <c r="A409" t="inlineStr">
        <is>
          <t>A 47699-2022</t>
        </is>
      </c>
      <c r="B409" s="1" t="n">
        <v>44854</v>
      </c>
      <c r="C409" s="1" t="n">
        <v>45353</v>
      </c>
      <c r="D409" t="inlineStr">
        <is>
          <t>VÄRMLANDS LÄN</t>
        </is>
      </c>
      <c r="E409" t="inlineStr">
        <is>
          <t>ARVIKA</t>
        </is>
      </c>
      <c r="G409" t="n">
        <v>20</v>
      </c>
      <c r="H409" t="n">
        <v>1</v>
      </c>
      <c r="I409" t="n">
        <v>0</v>
      </c>
      <c r="J409" t="n">
        <v>0</v>
      </c>
      <c r="K409" t="n">
        <v>0</v>
      </c>
      <c r="L409" t="n">
        <v>0</v>
      </c>
      <c r="M409" t="n">
        <v>0</v>
      </c>
      <c r="N409" t="n">
        <v>0</v>
      </c>
      <c r="O409" t="n">
        <v>0</v>
      </c>
      <c r="P409" t="n">
        <v>0</v>
      </c>
      <c r="Q409" t="n">
        <v>1</v>
      </c>
      <c r="R409" s="2" t="inlineStr">
        <is>
          <t>Blåsippa</t>
        </is>
      </c>
      <c r="S409">
        <f>HYPERLINK("https://klasma.github.io/Logging_1784/artfynd/A 47699-2022 artfynd.xlsx", "A 47699-2022")</f>
        <v/>
      </c>
      <c r="T409">
        <f>HYPERLINK("https://klasma.github.io/Logging_1784/kartor/A 47699-2022 karta.png", "A 47699-2022")</f>
        <v/>
      </c>
      <c r="V409">
        <f>HYPERLINK("https://klasma.github.io/Logging_1784/klagomål/A 47699-2022 FSC-klagomål.docx", "A 47699-2022")</f>
        <v/>
      </c>
      <c r="W409">
        <f>HYPERLINK("https://klasma.github.io/Logging_1784/klagomålsmail/A 47699-2022 FSC-klagomål mail.docx", "A 47699-2022")</f>
        <v/>
      </c>
      <c r="X409">
        <f>HYPERLINK("https://klasma.github.io/Logging_1784/tillsyn/A 47699-2022 tillsynsbegäran.docx", "A 47699-2022")</f>
        <v/>
      </c>
      <c r="Y409">
        <f>HYPERLINK("https://klasma.github.io/Logging_1784/tillsynsmail/A 47699-2022 tillsynsbegäran mail.docx", "A 47699-2022")</f>
        <v/>
      </c>
    </row>
    <row r="410" ht="15" customHeight="1">
      <c r="A410" t="inlineStr">
        <is>
          <t>A 48243-2022</t>
        </is>
      </c>
      <c r="B410" s="1" t="n">
        <v>44858</v>
      </c>
      <c r="C410" s="1" t="n">
        <v>45353</v>
      </c>
      <c r="D410" t="inlineStr">
        <is>
          <t>VÄRMLANDS LÄN</t>
        </is>
      </c>
      <c r="E410" t="inlineStr">
        <is>
          <t>STORFORS</t>
        </is>
      </c>
      <c r="F410" t="inlineStr">
        <is>
          <t>Kyrkan</t>
        </is>
      </c>
      <c r="G410" t="n">
        <v>20.9</v>
      </c>
      <c r="H410" t="n">
        <v>0</v>
      </c>
      <c r="I410" t="n">
        <v>1</v>
      </c>
      <c r="J410" t="n">
        <v>0</v>
      </c>
      <c r="K410" t="n">
        <v>0</v>
      </c>
      <c r="L410" t="n">
        <v>0</v>
      </c>
      <c r="M410" t="n">
        <v>0</v>
      </c>
      <c r="N410" t="n">
        <v>0</v>
      </c>
      <c r="O410" t="n">
        <v>0</v>
      </c>
      <c r="P410" t="n">
        <v>0</v>
      </c>
      <c r="Q410" t="n">
        <v>1</v>
      </c>
      <c r="R410" s="2" t="inlineStr">
        <is>
          <t>Svart trolldruva</t>
        </is>
      </c>
      <c r="S410">
        <f>HYPERLINK("https://klasma.github.io/Logging_1760/artfynd/A 48243-2022 artfynd.xlsx", "A 48243-2022")</f>
        <v/>
      </c>
      <c r="T410">
        <f>HYPERLINK("https://klasma.github.io/Logging_1760/kartor/A 48243-2022 karta.png", "A 48243-2022")</f>
        <v/>
      </c>
      <c r="V410">
        <f>HYPERLINK("https://klasma.github.io/Logging_1760/klagomål/A 48243-2022 FSC-klagomål.docx", "A 48243-2022")</f>
        <v/>
      </c>
      <c r="W410">
        <f>HYPERLINK("https://klasma.github.io/Logging_1760/klagomålsmail/A 48243-2022 FSC-klagomål mail.docx", "A 48243-2022")</f>
        <v/>
      </c>
      <c r="X410">
        <f>HYPERLINK("https://klasma.github.io/Logging_1760/tillsyn/A 48243-2022 tillsynsbegäran.docx", "A 48243-2022")</f>
        <v/>
      </c>
      <c r="Y410">
        <f>HYPERLINK("https://klasma.github.io/Logging_1760/tillsynsmail/A 48243-2022 tillsynsbegäran mail.docx", "A 48243-2022")</f>
        <v/>
      </c>
    </row>
    <row r="411" ht="15" customHeight="1">
      <c r="A411" t="inlineStr">
        <is>
          <t>A 50236-2022</t>
        </is>
      </c>
      <c r="B411" s="1" t="n">
        <v>44865</v>
      </c>
      <c r="C411" s="1" t="n">
        <v>45353</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51288-2022</t>
        </is>
      </c>
      <c r="B412" s="1" t="n">
        <v>44868</v>
      </c>
      <c r="C412" s="1" t="n">
        <v>45353</v>
      </c>
      <c r="D412" t="inlineStr">
        <is>
          <t>VÄRMLANDS LÄN</t>
        </is>
      </c>
      <c r="E412" t="inlineStr">
        <is>
          <t>TORSBY</t>
        </is>
      </c>
      <c r="G412" t="n">
        <v>1.9</v>
      </c>
      <c r="H412" t="n">
        <v>1</v>
      </c>
      <c r="I412" t="n">
        <v>0</v>
      </c>
      <c r="J412" t="n">
        <v>0</v>
      </c>
      <c r="K412" t="n">
        <v>1</v>
      </c>
      <c r="L412" t="n">
        <v>0</v>
      </c>
      <c r="M412" t="n">
        <v>0</v>
      </c>
      <c r="N412" t="n">
        <v>0</v>
      </c>
      <c r="O412" t="n">
        <v>1</v>
      </c>
      <c r="P412" t="n">
        <v>1</v>
      </c>
      <c r="Q412" t="n">
        <v>1</v>
      </c>
      <c r="R412" s="2" t="inlineStr">
        <is>
          <t>Bombmurkla</t>
        </is>
      </c>
      <c r="S412">
        <f>HYPERLINK("https://klasma.github.io/Logging_1737/artfynd/A 51288-2022 artfynd.xlsx", "A 51288-2022")</f>
        <v/>
      </c>
      <c r="T412">
        <f>HYPERLINK("https://klasma.github.io/Logging_1737/kartor/A 51288-2022 karta.png", "A 51288-2022")</f>
        <v/>
      </c>
      <c r="V412">
        <f>HYPERLINK("https://klasma.github.io/Logging_1737/klagomål/A 51288-2022 FSC-klagomål.docx", "A 51288-2022")</f>
        <v/>
      </c>
      <c r="W412">
        <f>HYPERLINK("https://klasma.github.io/Logging_1737/klagomålsmail/A 51288-2022 FSC-klagomål mail.docx", "A 51288-2022")</f>
        <v/>
      </c>
      <c r="X412">
        <f>HYPERLINK("https://klasma.github.io/Logging_1737/tillsyn/A 51288-2022 tillsynsbegäran.docx", "A 51288-2022")</f>
        <v/>
      </c>
      <c r="Y412">
        <f>HYPERLINK("https://klasma.github.io/Logging_1737/tillsynsmail/A 51288-2022 tillsynsbegäran mail.docx", "A 51288-2022")</f>
        <v/>
      </c>
    </row>
    <row r="413" ht="15" customHeight="1">
      <c r="A413" t="inlineStr">
        <is>
          <t>A 51522-2022</t>
        </is>
      </c>
      <c r="B413" s="1" t="n">
        <v>44869</v>
      </c>
      <c r="C413" s="1" t="n">
        <v>45353</v>
      </c>
      <c r="D413" t="inlineStr">
        <is>
          <t>VÄRMLANDS LÄN</t>
        </is>
      </c>
      <c r="E413" t="inlineStr">
        <is>
          <t>FILIPSTAD</t>
        </is>
      </c>
      <c r="G413" t="n">
        <v>4.1</v>
      </c>
      <c r="H413" t="n">
        <v>0</v>
      </c>
      <c r="I413" t="n">
        <v>1</v>
      </c>
      <c r="J413" t="n">
        <v>0</v>
      </c>
      <c r="K413" t="n">
        <v>0</v>
      </c>
      <c r="L413" t="n">
        <v>0</v>
      </c>
      <c r="M413" t="n">
        <v>0</v>
      </c>
      <c r="N413" t="n">
        <v>0</v>
      </c>
      <c r="O413" t="n">
        <v>0</v>
      </c>
      <c r="P413" t="n">
        <v>0</v>
      </c>
      <c r="Q413" t="n">
        <v>1</v>
      </c>
      <c r="R413" s="2" t="inlineStr">
        <is>
          <t>Tibast</t>
        </is>
      </c>
      <c r="S413">
        <f>HYPERLINK("https://klasma.github.io/Logging_1782/artfynd/A 51522-2022 artfynd.xlsx", "A 51522-2022")</f>
        <v/>
      </c>
      <c r="T413">
        <f>HYPERLINK("https://klasma.github.io/Logging_1782/kartor/A 51522-2022 karta.png", "A 51522-2022")</f>
        <v/>
      </c>
      <c r="V413">
        <f>HYPERLINK("https://klasma.github.io/Logging_1782/klagomål/A 51522-2022 FSC-klagomål.docx", "A 51522-2022")</f>
        <v/>
      </c>
      <c r="W413">
        <f>HYPERLINK("https://klasma.github.io/Logging_1782/klagomålsmail/A 51522-2022 FSC-klagomål mail.docx", "A 51522-2022")</f>
        <v/>
      </c>
      <c r="X413">
        <f>HYPERLINK("https://klasma.github.io/Logging_1782/tillsyn/A 51522-2022 tillsynsbegäran.docx", "A 51522-2022")</f>
        <v/>
      </c>
      <c r="Y413">
        <f>HYPERLINK("https://klasma.github.io/Logging_1782/tillsynsmail/A 51522-2022 tillsynsbegäran mail.docx", "A 51522-2022")</f>
        <v/>
      </c>
    </row>
    <row r="414" ht="15" customHeight="1">
      <c r="A414" t="inlineStr">
        <is>
          <t>A 51965-2022</t>
        </is>
      </c>
      <c r="B414" s="1" t="n">
        <v>44872</v>
      </c>
      <c r="C414" s="1" t="n">
        <v>45353</v>
      </c>
      <c r="D414" t="inlineStr">
        <is>
          <t>VÄRMLANDS LÄN</t>
        </is>
      </c>
      <c r="E414" t="inlineStr">
        <is>
          <t>ÅRJÄNG</t>
        </is>
      </c>
      <c r="G414" t="n">
        <v>0.6</v>
      </c>
      <c r="H414" t="n">
        <v>0</v>
      </c>
      <c r="I414" t="n">
        <v>0</v>
      </c>
      <c r="J414" t="n">
        <v>1</v>
      </c>
      <c r="K414" t="n">
        <v>0</v>
      </c>
      <c r="L414" t="n">
        <v>0</v>
      </c>
      <c r="M414" t="n">
        <v>0</v>
      </c>
      <c r="N414" t="n">
        <v>0</v>
      </c>
      <c r="O414" t="n">
        <v>1</v>
      </c>
      <c r="P414" t="n">
        <v>0</v>
      </c>
      <c r="Q414" t="n">
        <v>1</v>
      </c>
      <c r="R414" s="2" t="inlineStr">
        <is>
          <t>Gammelekslav</t>
        </is>
      </c>
      <c r="S414">
        <f>HYPERLINK("https://klasma.github.io/Logging_1765/artfynd/A 51965-2022 artfynd.xlsx", "A 51965-2022")</f>
        <v/>
      </c>
      <c r="T414">
        <f>HYPERLINK("https://klasma.github.io/Logging_1765/kartor/A 51965-2022 karta.png", "A 51965-2022")</f>
        <v/>
      </c>
      <c r="V414">
        <f>HYPERLINK("https://klasma.github.io/Logging_1765/klagomål/A 51965-2022 FSC-klagomål.docx", "A 51965-2022")</f>
        <v/>
      </c>
      <c r="W414">
        <f>HYPERLINK("https://klasma.github.io/Logging_1765/klagomålsmail/A 51965-2022 FSC-klagomål mail.docx", "A 51965-2022")</f>
        <v/>
      </c>
      <c r="X414">
        <f>HYPERLINK("https://klasma.github.io/Logging_1765/tillsyn/A 51965-2022 tillsynsbegäran.docx", "A 51965-2022")</f>
        <v/>
      </c>
      <c r="Y414">
        <f>HYPERLINK("https://klasma.github.io/Logging_1765/tillsynsmail/A 51965-2022 tillsynsbegäran mail.docx", "A 51965-2022")</f>
        <v/>
      </c>
    </row>
    <row r="415" ht="15" customHeight="1">
      <c r="A415" t="inlineStr">
        <is>
          <t>A 52166-2022</t>
        </is>
      </c>
      <c r="B415" s="1" t="n">
        <v>44873</v>
      </c>
      <c r="C415" s="1" t="n">
        <v>45353</v>
      </c>
      <c r="D415" t="inlineStr">
        <is>
          <t>VÄRMLANDS LÄN</t>
        </is>
      </c>
      <c r="E415" t="inlineStr">
        <is>
          <t>ÅRJÄNG</t>
        </is>
      </c>
      <c r="G415" t="n">
        <v>12.9</v>
      </c>
      <c r="H415" t="n">
        <v>1</v>
      </c>
      <c r="I415" t="n">
        <v>0</v>
      </c>
      <c r="J415" t="n">
        <v>0</v>
      </c>
      <c r="K415" t="n">
        <v>0</v>
      </c>
      <c r="L415" t="n">
        <v>0</v>
      </c>
      <c r="M415" t="n">
        <v>0</v>
      </c>
      <c r="N415" t="n">
        <v>0</v>
      </c>
      <c r="O415" t="n">
        <v>0</v>
      </c>
      <c r="P415" t="n">
        <v>0</v>
      </c>
      <c r="Q415" t="n">
        <v>1</v>
      </c>
      <c r="R415" s="2" t="inlineStr">
        <is>
          <t>Blåsippa</t>
        </is>
      </c>
      <c r="S415">
        <f>HYPERLINK("https://klasma.github.io/Logging_1765/artfynd/A 52166-2022 artfynd.xlsx", "A 52166-2022")</f>
        <v/>
      </c>
      <c r="T415">
        <f>HYPERLINK("https://klasma.github.io/Logging_1765/kartor/A 52166-2022 karta.png", "A 52166-2022")</f>
        <v/>
      </c>
      <c r="V415">
        <f>HYPERLINK("https://klasma.github.io/Logging_1765/klagomål/A 52166-2022 FSC-klagomål.docx", "A 52166-2022")</f>
        <v/>
      </c>
      <c r="W415">
        <f>HYPERLINK("https://klasma.github.io/Logging_1765/klagomålsmail/A 52166-2022 FSC-klagomål mail.docx", "A 52166-2022")</f>
        <v/>
      </c>
      <c r="X415">
        <f>HYPERLINK("https://klasma.github.io/Logging_1765/tillsyn/A 52166-2022 tillsynsbegäran.docx", "A 52166-2022")</f>
        <v/>
      </c>
      <c r="Y415">
        <f>HYPERLINK("https://klasma.github.io/Logging_1765/tillsynsmail/A 52166-2022 tillsynsbegäran mail.docx", "A 52166-2022")</f>
        <v/>
      </c>
    </row>
    <row r="416" ht="15" customHeight="1">
      <c r="A416" t="inlineStr">
        <is>
          <t>A 54957-2022</t>
        </is>
      </c>
      <c r="B416" s="1" t="n">
        <v>44886</v>
      </c>
      <c r="C416" s="1" t="n">
        <v>45353</v>
      </c>
      <c r="D416" t="inlineStr">
        <is>
          <t>VÄRMLANDS LÄN</t>
        </is>
      </c>
      <c r="E416" t="inlineStr">
        <is>
          <t>SÄFFLE</t>
        </is>
      </c>
      <c r="G416" t="n">
        <v>3.6</v>
      </c>
      <c r="H416" t="n">
        <v>0</v>
      </c>
      <c r="I416" t="n">
        <v>1</v>
      </c>
      <c r="J416" t="n">
        <v>0</v>
      </c>
      <c r="K416" t="n">
        <v>0</v>
      </c>
      <c r="L416" t="n">
        <v>0</v>
      </c>
      <c r="M416" t="n">
        <v>0</v>
      </c>
      <c r="N416" t="n">
        <v>0</v>
      </c>
      <c r="O416" t="n">
        <v>0</v>
      </c>
      <c r="P416" t="n">
        <v>0</v>
      </c>
      <c r="Q416" t="n">
        <v>1</v>
      </c>
      <c r="R416" s="2" t="inlineStr">
        <is>
          <t>Vätteros</t>
        </is>
      </c>
      <c r="S416">
        <f>HYPERLINK("https://klasma.github.io/Logging_1785/artfynd/A 54957-2022 artfynd.xlsx", "A 54957-2022")</f>
        <v/>
      </c>
      <c r="T416">
        <f>HYPERLINK("https://klasma.github.io/Logging_1785/kartor/A 54957-2022 karta.png", "A 54957-2022")</f>
        <v/>
      </c>
      <c r="V416">
        <f>HYPERLINK("https://klasma.github.io/Logging_1785/klagomål/A 54957-2022 FSC-klagomål.docx", "A 54957-2022")</f>
        <v/>
      </c>
      <c r="W416">
        <f>HYPERLINK("https://klasma.github.io/Logging_1785/klagomålsmail/A 54957-2022 FSC-klagomål mail.docx", "A 54957-2022")</f>
        <v/>
      </c>
      <c r="X416">
        <f>HYPERLINK("https://klasma.github.io/Logging_1785/tillsyn/A 54957-2022 tillsynsbegäran.docx", "A 54957-2022")</f>
        <v/>
      </c>
      <c r="Y416">
        <f>HYPERLINK("https://klasma.github.io/Logging_1785/tillsynsmail/A 54957-2022 tillsynsbegäran mail.docx", "A 54957-2022")</f>
        <v/>
      </c>
    </row>
    <row r="417" ht="15" customHeight="1">
      <c r="A417" t="inlineStr">
        <is>
          <t>A 56083-2022</t>
        </is>
      </c>
      <c r="B417" s="1" t="n">
        <v>44889</v>
      </c>
      <c r="C417" s="1" t="n">
        <v>45353</v>
      </c>
      <c r="D417" t="inlineStr">
        <is>
          <t>VÄRMLANDS LÄN</t>
        </is>
      </c>
      <c r="E417" t="inlineStr">
        <is>
          <t>HAGFORS</t>
        </is>
      </c>
      <c r="F417" t="inlineStr">
        <is>
          <t>Bergvik skog väst AB</t>
        </is>
      </c>
      <c r="G417" t="n">
        <v>19.1</v>
      </c>
      <c r="H417" t="n">
        <v>0</v>
      </c>
      <c r="I417" t="n">
        <v>1</v>
      </c>
      <c r="J417" t="n">
        <v>0</v>
      </c>
      <c r="K417" t="n">
        <v>0</v>
      </c>
      <c r="L417" t="n">
        <v>0</v>
      </c>
      <c r="M417" t="n">
        <v>0</v>
      </c>
      <c r="N417" t="n">
        <v>0</v>
      </c>
      <c r="O417" t="n">
        <v>0</v>
      </c>
      <c r="P417" t="n">
        <v>0</v>
      </c>
      <c r="Q417" t="n">
        <v>1</v>
      </c>
      <c r="R417" s="2" t="inlineStr">
        <is>
          <t>Dropptaggsvamp</t>
        </is>
      </c>
      <c r="S417">
        <f>HYPERLINK("https://klasma.github.io/Logging_1783/artfynd/A 56083-2022 artfynd.xlsx", "A 56083-2022")</f>
        <v/>
      </c>
      <c r="T417">
        <f>HYPERLINK("https://klasma.github.io/Logging_1783/kartor/A 56083-2022 karta.png", "A 56083-2022")</f>
        <v/>
      </c>
      <c r="V417">
        <f>HYPERLINK("https://klasma.github.io/Logging_1783/klagomål/A 56083-2022 FSC-klagomål.docx", "A 56083-2022")</f>
        <v/>
      </c>
      <c r="W417">
        <f>HYPERLINK("https://klasma.github.io/Logging_1783/klagomålsmail/A 56083-2022 FSC-klagomål mail.docx", "A 56083-2022")</f>
        <v/>
      </c>
      <c r="X417">
        <f>HYPERLINK("https://klasma.github.io/Logging_1783/tillsyn/A 56083-2022 tillsynsbegäran.docx", "A 56083-2022")</f>
        <v/>
      </c>
      <c r="Y417">
        <f>HYPERLINK("https://klasma.github.io/Logging_1783/tillsynsmail/A 56083-2022 tillsynsbegäran mail.docx", "A 56083-2022")</f>
        <v/>
      </c>
    </row>
    <row r="418" ht="15" customHeight="1">
      <c r="A418" t="inlineStr">
        <is>
          <t>A 56676-2022</t>
        </is>
      </c>
      <c r="B418" s="1" t="n">
        <v>44893</v>
      </c>
      <c r="C418" s="1" t="n">
        <v>45353</v>
      </c>
      <c r="D418" t="inlineStr">
        <is>
          <t>VÄRMLANDS LÄN</t>
        </is>
      </c>
      <c r="E418" t="inlineStr">
        <is>
          <t>ARVIKA</t>
        </is>
      </c>
      <c r="F418" t="inlineStr">
        <is>
          <t>Övriga Aktiebolag</t>
        </is>
      </c>
      <c r="G418" t="n">
        <v>5.2</v>
      </c>
      <c r="H418" t="n">
        <v>1</v>
      </c>
      <c r="I418" t="n">
        <v>0</v>
      </c>
      <c r="J418" t="n">
        <v>0</v>
      </c>
      <c r="K418" t="n">
        <v>1</v>
      </c>
      <c r="L418" t="n">
        <v>0</v>
      </c>
      <c r="M418" t="n">
        <v>0</v>
      </c>
      <c r="N418" t="n">
        <v>0</v>
      </c>
      <c r="O418" t="n">
        <v>1</v>
      </c>
      <c r="P418" t="n">
        <v>1</v>
      </c>
      <c r="Q418" t="n">
        <v>1</v>
      </c>
      <c r="R418" s="2" t="inlineStr">
        <is>
          <t>Knärot</t>
        </is>
      </c>
      <c r="S418">
        <f>HYPERLINK("https://klasma.github.io/Logging_1784/artfynd/A 56676-2022 artfynd.xlsx", "A 56676-2022")</f>
        <v/>
      </c>
      <c r="T418">
        <f>HYPERLINK("https://klasma.github.io/Logging_1784/kartor/A 56676-2022 karta.png", "A 56676-2022")</f>
        <v/>
      </c>
      <c r="U418">
        <f>HYPERLINK("https://klasma.github.io/Logging_1784/knärot/A 56676-2022 karta knärot.png", "A 56676-2022")</f>
        <v/>
      </c>
      <c r="V418">
        <f>HYPERLINK("https://klasma.github.io/Logging_1784/klagomål/A 56676-2022 FSC-klagomål.docx", "A 56676-2022")</f>
        <v/>
      </c>
      <c r="W418">
        <f>HYPERLINK("https://klasma.github.io/Logging_1784/klagomålsmail/A 56676-2022 FSC-klagomål mail.docx", "A 56676-2022")</f>
        <v/>
      </c>
      <c r="X418">
        <f>HYPERLINK("https://klasma.github.io/Logging_1784/tillsyn/A 56676-2022 tillsynsbegäran.docx", "A 56676-2022")</f>
        <v/>
      </c>
      <c r="Y418">
        <f>HYPERLINK("https://klasma.github.io/Logging_1784/tillsynsmail/A 56676-2022 tillsynsbegäran mail.docx", "A 56676-2022")</f>
        <v/>
      </c>
    </row>
    <row r="419" ht="15" customHeight="1">
      <c r="A419" t="inlineStr">
        <is>
          <t>A 56590-2022</t>
        </is>
      </c>
      <c r="B419" s="1" t="n">
        <v>44893</v>
      </c>
      <c r="C419" s="1" t="n">
        <v>45353</v>
      </c>
      <c r="D419" t="inlineStr">
        <is>
          <t>VÄRMLANDS LÄN</t>
        </is>
      </c>
      <c r="E419" t="inlineStr">
        <is>
          <t>KRISTINEHAMN</t>
        </is>
      </c>
      <c r="F419" t="inlineStr">
        <is>
          <t>Sveaskog</t>
        </is>
      </c>
      <c r="G419" t="n">
        <v>3.6</v>
      </c>
      <c r="H419" t="n">
        <v>1</v>
      </c>
      <c r="I419" t="n">
        <v>0</v>
      </c>
      <c r="J419" t="n">
        <v>0</v>
      </c>
      <c r="K419" t="n">
        <v>0</v>
      </c>
      <c r="L419" t="n">
        <v>0</v>
      </c>
      <c r="M419" t="n">
        <v>0</v>
      </c>
      <c r="N419" t="n">
        <v>0</v>
      </c>
      <c r="O419" t="n">
        <v>0</v>
      </c>
      <c r="P419" t="n">
        <v>0</v>
      </c>
      <c r="Q419" t="n">
        <v>1</v>
      </c>
      <c r="R419" s="2" t="inlineStr">
        <is>
          <t>Kopparödla</t>
        </is>
      </c>
      <c r="S419">
        <f>HYPERLINK("https://klasma.github.io/Logging_1781/artfynd/A 56590-2022 artfynd.xlsx", "A 56590-2022")</f>
        <v/>
      </c>
      <c r="T419">
        <f>HYPERLINK("https://klasma.github.io/Logging_1781/kartor/A 56590-2022 karta.png", "A 56590-2022")</f>
        <v/>
      </c>
      <c r="V419">
        <f>HYPERLINK("https://klasma.github.io/Logging_1781/klagomål/A 56590-2022 FSC-klagomål.docx", "A 56590-2022")</f>
        <v/>
      </c>
      <c r="W419">
        <f>HYPERLINK("https://klasma.github.io/Logging_1781/klagomålsmail/A 56590-2022 FSC-klagomål mail.docx", "A 56590-2022")</f>
        <v/>
      </c>
      <c r="X419">
        <f>HYPERLINK("https://klasma.github.io/Logging_1781/tillsyn/A 56590-2022 tillsynsbegäran.docx", "A 56590-2022")</f>
        <v/>
      </c>
      <c r="Y419">
        <f>HYPERLINK("https://klasma.github.io/Logging_1781/tillsynsmail/A 56590-2022 tillsynsbegäran mail.docx", "A 56590-2022")</f>
        <v/>
      </c>
    </row>
    <row r="420" ht="15" customHeight="1">
      <c r="A420" t="inlineStr">
        <is>
          <t>A 56642-2022</t>
        </is>
      </c>
      <c r="B420" s="1" t="n">
        <v>44893</v>
      </c>
      <c r="C420" s="1" t="n">
        <v>45353</v>
      </c>
      <c r="D420" t="inlineStr">
        <is>
          <t>VÄRMLANDS LÄN</t>
        </is>
      </c>
      <c r="E420" t="inlineStr">
        <is>
          <t>KIL</t>
        </is>
      </c>
      <c r="F420" t="inlineStr">
        <is>
          <t>Bergvik skog väst AB</t>
        </is>
      </c>
      <c r="G420" t="n">
        <v>2.5</v>
      </c>
      <c r="H420" t="n">
        <v>0</v>
      </c>
      <c r="I420" t="n">
        <v>1</v>
      </c>
      <c r="J420" t="n">
        <v>0</v>
      </c>
      <c r="K420" t="n">
        <v>0</v>
      </c>
      <c r="L420" t="n">
        <v>0</v>
      </c>
      <c r="M420" t="n">
        <v>0</v>
      </c>
      <c r="N420" t="n">
        <v>0</v>
      </c>
      <c r="O420" t="n">
        <v>0</v>
      </c>
      <c r="P420" t="n">
        <v>0</v>
      </c>
      <c r="Q420" t="n">
        <v>1</v>
      </c>
      <c r="R420" s="2" t="inlineStr">
        <is>
          <t>Svart trolldruva</t>
        </is>
      </c>
      <c r="S420">
        <f>HYPERLINK("https://klasma.github.io/Logging_1715/artfynd/A 56642-2022 artfynd.xlsx", "A 56642-2022")</f>
        <v/>
      </c>
      <c r="T420">
        <f>HYPERLINK("https://klasma.github.io/Logging_1715/kartor/A 56642-2022 karta.png", "A 56642-2022")</f>
        <v/>
      </c>
      <c r="V420">
        <f>HYPERLINK("https://klasma.github.io/Logging_1715/klagomål/A 56642-2022 FSC-klagomål.docx", "A 56642-2022")</f>
        <v/>
      </c>
      <c r="W420">
        <f>HYPERLINK("https://klasma.github.io/Logging_1715/klagomålsmail/A 56642-2022 FSC-klagomål mail.docx", "A 56642-2022")</f>
        <v/>
      </c>
      <c r="X420">
        <f>HYPERLINK("https://klasma.github.io/Logging_1715/tillsyn/A 56642-2022 tillsynsbegäran.docx", "A 56642-2022")</f>
        <v/>
      </c>
      <c r="Y420">
        <f>HYPERLINK("https://klasma.github.io/Logging_1715/tillsynsmail/A 56642-2022 tillsynsbegäran mail.docx", "A 56642-2022")</f>
        <v/>
      </c>
    </row>
    <row r="421" ht="15" customHeight="1">
      <c r="A421" t="inlineStr">
        <is>
          <t>A 56794-2022</t>
        </is>
      </c>
      <c r="B421" s="1" t="n">
        <v>44894</v>
      </c>
      <c r="C421" s="1" t="n">
        <v>45353</v>
      </c>
      <c r="D421" t="inlineStr">
        <is>
          <t>VÄRMLANDS LÄN</t>
        </is>
      </c>
      <c r="E421" t="inlineStr">
        <is>
          <t>SÄFFLE</t>
        </is>
      </c>
      <c r="F421" t="inlineStr">
        <is>
          <t>Bergvik skog väst AB</t>
        </is>
      </c>
      <c r="G421" t="n">
        <v>21.8</v>
      </c>
      <c r="H421" t="n">
        <v>0</v>
      </c>
      <c r="I421" t="n">
        <v>0</v>
      </c>
      <c r="J421" t="n">
        <v>1</v>
      </c>
      <c r="K421" t="n">
        <v>0</v>
      </c>
      <c r="L421" t="n">
        <v>0</v>
      </c>
      <c r="M421" t="n">
        <v>0</v>
      </c>
      <c r="N421" t="n">
        <v>0</v>
      </c>
      <c r="O421" t="n">
        <v>1</v>
      </c>
      <c r="P421" t="n">
        <v>0</v>
      </c>
      <c r="Q421" t="n">
        <v>1</v>
      </c>
      <c r="R421" s="2" t="inlineStr">
        <is>
          <t>Skogsklocka</t>
        </is>
      </c>
      <c r="S421">
        <f>HYPERLINK("https://klasma.github.io/Logging_1785/artfynd/A 56794-2022 artfynd.xlsx", "A 56794-2022")</f>
        <v/>
      </c>
      <c r="T421">
        <f>HYPERLINK("https://klasma.github.io/Logging_1785/kartor/A 56794-2022 karta.png", "A 56794-2022")</f>
        <v/>
      </c>
      <c r="V421">
        <f>HYPERLINK("https://klasma.github.io/Logging_1785/klagomål/A 56794-2022 FSC-klagomål.docx", "A 56794-2022")</f>
        <v/>
      </c>
      <c r="W421">
        <f>HYPERLINK("https://klasma.github.io/Logging_1785/klagomålsmail/A 56794-2022 FSC-klagomål mail.docx", "A 56794-2022")</f>
        <v/>
      </c>
      <c r="X421">
        <f>HYPERLINK("https://klasma.github.io/Logging_1785/tillsyn/A 56794-2022 tillsynsbegäran.docx", "A 56794-2022")</f>
        <v/>
      </c>
      <c r="Y421">
        <f>HYPERLINK("https://klasma.github.io/Logging_1785/tillsynsmail/A 56794-2022 tillsynsbegäran mail.docx", "A 56794-2022")</f>
        <v/>
      </c>
    </row>
    <row r="422" ht="15" customHeight="1">
      <c r="A422" t="inlineStr">
        <is>
          <t>A 59323-2022</t>
        </is>
      </c>
      <c r="B422" s="1" t="n">
        <v>44904</v>
      </c>
      <c r="C422" s="1" t="n">
        <v>45353</v>
      </c>
      <c r="D422" t="inlineStr">
        <is>
          <t>VÄRMLANDS LÄN</t>
        </is>
      </c>
      <c r="E422" t="inlineStr">
        <is>
          <t>SUNNE</t>
        </is>
      </c>
      <c r="G422" t="n">
        <v>1.6</v>
      </c>
      <c r="H422" t="n">
        <v>1</v>
      </c>
      <c r="I422" t="n">
        <v>0</v>
      </c>
      <c r="J422" t="n">
        <v>1</v>
      </c>
      <c r="K422" t="n">
        <v>0</v>
      </c>
      <c r="L422" t="n">
        <v>0</v>
      </c>
      <c r="M422" t="n">
        <v>0</v>
      </c>
      <c r="N422" t="n">
        <v>0</v>
      </c>
      <c r="O422" t="n">
        <v>1</v>
      </c>
      <c r="P422" t="n">
        <v>0</v>
      </c>
      <c r="Q422" t="n">
        <v>1</v>
      </c>
      <c r="R422" s="2" t="inlineStr">
        <is>
          <t>Tretåig hackspett</t>
        </is>
      </c>
      <c r="S422">
        <f>HYPERLINK("https://klasma.github.io/Logging_1766/artfynd/A 59323-2022 artfynd.xlsx", "A 59323-2022")</f>
        <v/>
      </c>
      <c r="T422">
        <f>HYPERLINK("https://klasma.github.io/Logging_1766/kartor/A 59323-2022 karta.png", "A 59323-2022")</f>
        <v/>
      </c>
      <c r="V422">
        <f>HYPERLINK("https://klasma.github.io/Logging_1766/klagomål/A 59323-2022 FSC-klagomål.docx", "A 59323-2022")</f>
        <v/>
      </c>
      <c r="W422">
        <f>HYPERLINK("https://klasma.github.io/Logging_1766/klagomålsmail/A 59323-2022 FSC-klagomål mail.docx", "A 59323-2022")</f>
        <v/>
      </c>
      <c r="X422">
        <f>HYPERLINK("https://klasma.github.io/Logging_1766/tillsyn/A 59323-2022 tillsynsbegäran.docx", "A 59323-2022")</f>
        <v/>
      </c>
      <c r="Y422">
        <f>HYPERLINK("https://klasma.github.io/Logging_1766/tillsynsmail/A 59323-2022 tillsynsbegäran mail.docx", "A 59323-2022")</f>
        <v/>
      </c>
      <c r="Z422">
        <f>HYPERLINK("https://klasma.github.io/Logging_1766/fåglar/A 59323-2022 prioriterade fågelarter.docx", "A 59323-2022")</f>
        <v/>
      </c>
    </row>
    <row r="423" ht="15" customHeight="1">
      <c r="A423" t="inlineStr">
        <is>
          <t>A 60736-2022</t>
        </is>
      </c>
      <c r="B423" s="1" t="n">
        <v>44913</v>
      </c>
      <c r="C423" s="1" t="n">
        <v>45353</v>
      </c>
      <c r="D423" t="inlineStr">
        <is>
          <t>VÄRMLANDS LÄN</t>
        </is>
      </c>
      <c r="E423" t="inlineStr">
        <is>
          <t>FORSHAGA</t>
        </is>
      </c>
      <c r="G423" t="n">
        <v>1.1</v>
      </c>
      <c r="H423" t="n">
        <v>1</v>
      </c>
      <c r="I423" t="n">
        <v>0</v>
      </c>
      <c r="J423" t="n">
        <v>1</v>
      </c>
      <c r="K423" t="n">
        <v>0</v>
      </c>
      <c r="L423" t="n">
        <v>0</v>
      </c>
      <c r="M423" t="n">
        <v>0</v>
      </c>
      <c r="N423" t="n">
        <v>0</v>
      </c>
      <c r="O423" t="n">
        <v>1</v>
      </c>
      <c r="P423" t="n">
        <v>0</v>
      </c>
      <c r="Q423" t="n">
        <v>1</v>
      </c>
      <c r="R423" s="2" t="inlineStr">
        <is>
          <t>Mindre hackspett</t>
        </is>
      </c>
      <c r="S423">
        <f>HYPERLINK("https://klasma.github.io/Logging_1763/artfynd/A 60736-2022 artfynd.xlsx", "A 60736-2022")</f>
        <v/>
      </c>
      <c r="T423">
        <f>HYPERLINK("https://klasma.github.io/Logging_1763/kartor/A 60736-2022 karta.png", "A 60736-2022")</f>
        <v/>
      </c>
      <c r="V423">
        <f>HYPERLINK("https://klasma.github.io/Logging_1763/klagomål/A 60736-2022 FSC-klagomål.docx", "A 60736-2022")</f>
        <v/>
      </c>
      <c r="W423">
        <f>HYPERLINK("https://klasma.github.io/Logging_1763/klagomålsmail/A 60736-2022 FSC-klagomål mail.docx", "A 60736-2022")</f>
        <v/>
      </c>
      <c r="X423">
        <f>HYPERLINK("https://klasma.github.io/Logging_1763/tillsyn/A 60736-2022 tillsynsbegäran.docx", "A 60736-2022")</f>
        <v/>
      </c>
      <c r="Y423">
        <f>HYPERLINK("https://klasma.github.io/Logging_1763/tillsynsmail/A 60736-2022 tillsynsbegäran mail.docx", "A 60736-2022")</f>
        <v/>
      </c>
      <c r="Z423">
        <f>HYPERLINK("https://klasma.github.io/Logging_1763/fåglar/A 60736-2022 prioriterade fågelarter.docx", "A 60736-2022")</f>
        <v/>
      </c>
    </row>
    <row r="424" ht="15" customHeight="1">
      <c r="A424" t="inlineStr">
        <is>
          <t>A 62010-2022</t>
        </is>
      </c>
      <c r="B424" s="1" t="n">
        <v>44914</v>
      </c>
      <c r="C424" s="1" t="n">
        <v>45353</v>
      </c>
      <c r="D424" t="inlineStr">
        <is>
          <t>VÄRMLANDS LÄN</t>
        </is>
      </c>
      <c r="E424" t="inlineStr">
        <is>
          <t>KIL</t>
        </is>
      </c>
      <c r="G424" t="n">
        <v>7.8</v>
      </c>
      <c r="H424" t="n">
        <v>0</v>
      </c>
      <c r="I424" t="n">
        <v>1</v>
      </c>
      <c r="J424" t="n">
        <v>0</v>
      </c>
      <c r="K424" t="n">
        <v>0</v>
      </c>
      <c r="L424" t="n">
        <v>0</v>
      </c>
      <c r="M424" t="n">
        <v>0</v>
      </c>
      <c r="N424" t="n">
        <v>0</v>
      </c>
      <c r="O424" t="n">
        <v>0</v>
      </c>
      <c r="P424" t="n">
        <v>0</v>
      </c>
      <c r="Q424" t="n">
        <v>1</v>
      </c>
      <c r="R424" s="2" t="inlineStr">
        <is>
          <t>Ögonpyrola</t>
        </is>
      </c>
      <c r="S424">
        <f>HYPERLINK("https://klasma.github.io/Logging_1715/artfynd/A 62010-2022 artfynd.xlsx", "A 62010-2022")</f>
        <v/>
      </c>
      <c r="T424">
        <f>HYPERLINK("https://klasma.github.io/Logging_1715/kartor/A 62010-2022 karta.png", "A 62010-2022")</f>
        <v/>
      </c>
      <c r="V424">
        <f>HYPERLINK("https://klasma.github.io/Logging_1715/klagomål/A 62010-2022 FSC-klagomål.docx", "A 62010-2022")</f>
        <v/>
      </c>
      <c r="W424">
        <f>HYPERLINK("https://klasma.github.io/Logging_1715/klagomålsmail/A 62010-2022 FSC-klagomål mail.docx", "A 62010-2022")</f>
        <v/>
      </c>
      <c r="X424">
        <f>HYPERLINK("https://klasma.github.io/Logging_1715/tillsyn/A 62010-2022 tillsynsbegäran.docx", "A 62010-2022")</f>
        <v/>
      </c>
      <c r="Y424">
        <f>HYPERLINK("https://klasma.github.io/Logging_1715/tillsynsmail/A 62010-2022 tillsynsbegäran mail.docx", "A 62010-2022")</f>
        <v/>
      </c>
    </row>
    <row r="425" ht="15" customHeight="1">
      <c r="A425" t="inlineStr">
        <is>
          <t>A 1823-2023</t>
        </is>
      </c>
      <c r="B425" s="1" t="n">
        <v>44938</v>
      </c>
      <c r="C425" s="1" t="n">
        <v>45353</v>
      </c>
      <c r="D425" t="inlineStr">
        <is>
          <t>VÄRMLANDS LÄN</t>
        </is>
      </c>
      <c r="E425" t="inlineStr">
        <is>
          <t>SÄFFLE</t>
        </is>
      </c>
      <c r="G425" t="n">
        <v>4.4</v>
      </c>
      <c r="H425" t="n">
        <v>0</v>
      </c>
      <c r="I425" t="n">
        <v>0</v>
      </c>
      <c r="J425" t="n">
        <v>1</v>
      </c>
      <c r="K425" t="n">
        <v>0</v>
      </c>
      <c r="L425" t="n">
        <v>0</v>
      </c>
      <c r="M425" t="n">
        <v>0</v>
      </c>
      <c r="N425" t="n">
        <v>0</v>
      </c>
      <c r="O425" t="n">
        <v>1</v>
      </c>
      <c r="P425" t="n">
        <v>0</v>
      </c>
      <c r="Q425" t="n">
        <v>1</v>
      </c>
      <c r="R425" s="2" t="inlineStr">
        <is>
          <t>Skogsklocka</t>
        </is>
      </c>
      <c r="S425">
        <f>HYPERLINK("https://klasma.github.io/Logging_1785/artfynd/A 1823-2023 artfynd.xlsx", "A 1823-2023")</f>
        <v/>
      </c>
      <c r="T425">
        <f>HYPERLINK("https://klasma.github.io/Logging_1785/kartor/A 1823-2023 karta.png", "A 1823-2023")</f>
        <v/>
      </c>
      <c r="V425">
        <f>HYPERLINK("https://klasma.github.io/Logging_1785/klagomål/A 1823-2023 FSC-klagomål.docx", "A 1823-2023")</f>
        <v/>
      </c>
      <c r="W425">
        <f>HYPERLINK("https://klasma.github.io/Logging_1785/klagomålsmail/A 1823-2023 FSC-klagomål mail.docx", "A 1823-2023")</f>
        <v/>
      </c>
      <c r="X425">
        <f>HYPERLINK("https://klasma.github.io/Logging_1785/tillsyn/A 1823-2023 tillsynsbegäran.docx", "A 1823-2023")</f>
        <v/>
      </c>
      <c r="Y425">
        <f>HYPERLINK("https://klasma.github.io/Logging_1785/tillsynsmail/A 1823-2023 tillsynsbegäran mail.docx", "A 1823-2023")</f>
        <v/>
      </c>
    </row>
    <row r="426" ht="15" customHeight="1">
      <c r="A426" t="inlineStr">
        <is>
          <t>A 6661-2023</t>
        </is>
      </c>
      <c r="B426" s="1" t="n">
        <v>44963</v>
      </c>
      <c r="C426" s="1" t="n">
        <v>45353</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45353</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45353</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45353</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45353</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45353</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45353</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45353</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45353</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45353</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45353</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45353</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45353</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45353</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45353</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45353</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45353</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45353</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24239-2023</t>
        </is>
      </c>
      <c r="B444" s="1" t="n">
        <v>45079</v>
      </c>
      <c r="C444" s="1" t="n">
        <v>45353</v>
      </c>
      <c r="D444" t="inlineStr">
        <is>
          <t>VÄRMLANDS LÄN</t>
        </is>
      </c>
      <c r="E444" t="inlineStr">
        <is>
          <t>ARVIKA</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HYPERLINK("https://klasma.github.io/Logging_1784/artfynd/A 24239-2023 artfynd.xlsx", "A 24239-2023")</f>
        <v/>
      </c>
      <c r="T444">
        <f>HYPERLINK("https://klasma.github.io/Logging_1784/kartor/A 24239-2023 karta.png", "A 24239-2023")</f>
        <v/>
      </c>
      <c r="U444">
        <f>HYPERLINK("https://klasma.github.io/Logging_1784/knärot/A 24239-2023 karta knärot.png", "A 24239-2023")</f>
        <v/>
      </c>
      <c r="V444">
        <f>HYPERLINK("https://klasma.github.io/Logging_1784/klagomål/A 24239-2023 FSC-klagomål.docx", "A 24239-2023")</f>
        <v/>
      </c>
      <c r="W444">
        <f>HYPERLINK("https://klasma.github.io/Logging_1784/klagomålsmail/A 24239-2023 FSC-klagomål mail.docx", "A 24239-2023")</f>
        <v/>
      </c>
      <c r="X444">
        <f>HYPERLINK("https://klasma.github.io/Logging_1784/tillsyn/A 24239-2023 tillsynsbegäran.docx", "A 24239-2023")</f>
        <v/>
      </c>
      <c r="Y444">
        <f>HYPERLINK("https://klasma.github.io/Logging_1784/tillsynsmail/A 24239-2023 tillsynsbegäran mail.docx", "A 24239-2023")</f>
        <v/>
      </c>
    </row>
    <row r="445" ht="15" customHeight="1">
      <c r="A445" t="inlineStr">
        <is>
          <t>A 25144-2023</t>
        </is>
      </c>
      <c r="B445" s="1" t="n">
        <v>45086</v>
      </c>
      <c r="C445" s="1" t="n">
        <v>45353</v>
      </c>
      <c r="D445" t="inlineStr">
        <is>
          <t>VÄRMLANDS LÄN</t>
        </is>
      </c>
      <c r="E445" t="inlineStr">
        <is>
          <t>KARLSTAD</t>
        </is>
      </c>
      <c r="F445" t="inlineStr">
        <is>
          <t>Kyrkan</t>
        </is>
      </c>
      <c r="G445" t="n">
        <v>7.6</v>
      </c>
      <c r="H445" t="n">
        <v>1</v>
      </c>
      <c r="I445" t="n">
        <v>0</v>
      </c>
      <c r="J445" t="n">
        <v>0</v>
      </c>
      <c r="K445" t="n">
        <v>0</v>
      </c>
      <c r="L445" t="n">
        <v>0</v>
      </c>
      <c r="M445" t="n">
        <v>0</v>
      </c>
      <c r="N445" t="n">
        <v>0</v>
      </c>
      <c r="O445" t="n">
        <v>0</v>
      </c>
      <c r="P445" t="n">
        <v>0</v>
      </c>
      <c r="Q445" t="n">
        <v>1</v>
      </c>
      <c r="R445" s="2" t="inlineStr">
        <is>
          <t>Nattviol</t>
        </is>
      </c>
      <c r="S445">
        <f>HYPERLINK("https://klasma.github.io/Logging_1780/artfynd/A 25144-2023 artfynd.xlsx", "A 25144-2023")</f>
        <v/>
      </c>
      <c r="T445">
        <f>HYPERLINK("https://klasma.github.io/Logging_1780/kartor/A 25144-2023 karta.png", "A 25144-2023")</f>
        <v/>
      </c>
      <c r="V445">
        <f>HYPERLINK("https://klasma.github.io/Logging_1780/klagomål/A 25144-2023 FSC-klagomål.docx", "A 25144-2023")</f>
        <v/>
      </c>
      <c r="W445">
        <f>HYPERLINK("https://klasma.github.io/Logging_1780/klagomålsmail/A 25144-2023 FSC-klagomål mail.docx", "A 25144-2023")</f>
        <v/>
      </c>
      <c r="X445">
        <f>HYPERLINK("https://klasma.github.io/Logging_1780/tillsyn/A 25144-2023 tillsynsbegäran.docx", "A 25144-2023")</f>
        <v/>
      </c>
      <c r="Y445">
        <f>HYPERLINK("https://klasma.github.io/Logging_1780/tillsynsmail/A 25144-2023 tillsynsbegäran mail.docx", "A 25144-2023")</f>
        <v/>
      </c>
    </row>
    <row r="446" ht="15" customHeight="1">
      <c r="A446" t="inlineStr">
        <is>
          <t>A 26747-2023</t>
        </is>
      </c>
      <c r="B446" s="1" t="n">
        <v>45090</v>
      </c>
      <c r="C446" s="1" t="n">
        <v>45353</v>
      </c>
      <c r="D446" t="inlineStr">
        <is>
          <t>VÄRMLANDS LÄN</t>
        </is>
      </c>
      <c r="E446" t="inlineStr">
        <is>
          <t>TORSBY</t>
        </is>
      </c>
      <c r="F446" t="inlineStr">
        <is>
          <t>Övriga statliga verk och myndigheter</t>
        </is>
      </c>
      <c r="G446" t="n">
        <v>4.5</v>
      </c>
      <c r="H446" t="n">
        <v>0</v>
      </c>
      <c r="I446" t="n">
        <v>0</v>
      </c>
      <c r="J446" t="n">
        <v>1</v>
      </c>
      <c r="K446" t="n">
        <v>0</v>
      </c>
      <c r="L446" t="n">
        <v>0</v>
      </c>
      <c r="M446" t="n">
        <v>0</v>
      </c>
      <c r="N446" t="n">
        <v>0</v>
      </c>
      <c r="O446" t="n">
        <v>1</v>
      </c>
      <c r="P446" t="n">
        <v>0</v>
      </c>
      <c r="Q446" t="n">
        <v>1</v>
      </c>
      <c r="R446" s="2" t="inlineStr">
        <is>
          <t>Garnlav</t>
        </is>
      </c>
      <c r="S446">
        <f>HYPERLINK("https://klasma.github.io/Logging_1737/artfynd/A 26747-2023 artfynd.xlsx", "A 26747-2023")</f>
        <v/>
      </c>
      <c r="T446">
        <f>HYPERLINK("https://klasma.github.io/Logging_1737/kartor/A 26747-2023 karta.png", "A 26747-2023")</f>
        <v/>
      </c>
      <c r="V446">
        <f>HYPERLINK("https://klasma.github.io/Logging_1737/klagomål/A 26747-2023 FSC-klagomål.docx", "A 26747-2023")</f>
        <v/>
      </c>
      <c r="W446">
        <f>HYPERLINK("https://klasma.github.io/Logging_1737/klagomålsmail/A 26747-2023 FSC-klagomål mail.docx", "A 26747-2023")</f>
        <v/>
      </c>
      <c r="X446">
        <f>HYPERLINK("https://klasma.github.io/Logging_1737/tillsyn/A 26747-2023 tillsynsbegäran.docx", "A 26747-2023")</f>
        <v/>
      </c>
      <c r="Y446">
        <f>HYPERLINK("https://klasma.github.io/Logging_1737/tillsynsmail/A 26747-2023 tillsynsbegäran mail.docx", "A 26747-2023")</f>
        <v/>
      </c>
    </row>
    <row r="447" ht="15" customHeight="1">
      <c r="A447" t="inlineStr">
        <is>
          <t>A 29560-2023</t>
        </is>
      </c>
      <c r="B447" s="1" t="n">
        <v>45106</v>
      </c>
      <c r="C447" s="1" t="n">
        <v>45353</v>
      </c>
      <c r="D447" t="inlineStr">
        <is>
          <t>VÄRMLANDS LÄN</t>
        </is>
      </c>
      <c r="E447" t="inlineStr">
        <is>
          <t>TORSBY</t>
        </is>
      </c>
      <c r="G447" t="n">
        <v>10.3</v>
      </c>
      <c r="H447" t="n">
        <v>1</v>
      </c>
      <c r="I447" t="n">
        <v>0</v>
      </c>
      <c r="J447" t="n">
        <v>1</v>
      </c>
      <c r="K447" t="n">
        <v>0</v>
      </c>
      <c r="L447" t="n">
        <v>0</v>
      </c>
      <c r="M447" t="n">
        <v>0</v>
      </c>
      <c r="N447" t="n">
        <v>0</v>
      </c>
      <c r="O447" t="n">
        <v>1</v>
      </c>
      <c r="P447" t="n">
        <v>0</v>
      </c>
      <c r="Q447" t="n">
        <v>1</v>
      </c>
      <c r="R447" s="2" t="inlineStr">
        <is>
          <t>Spillkråka</t>
        </is>
      </c>
      <c r="S447">
        <f>HYPERLINK("https://klasma.github.io/Logging_1737/artfynd/A 29560-2023 artfynd.xlsx", "A 29560-2023")</f>
        <v/>
      </c>
      <c r="T447">
        <f>HYPERLINK("https://klasma.github.io/Logging_1737/kartor/A 29560-2023 karta.png", "A 29560-2023")</f>
        <v/>
      </c>
      <c r="V447">
        <f>HYPERLINK("https://klasma.github.io/Logging_1737/klagomål/A 29560-2023 FSC-klagomål.docx", "A 29560-2023")</f>
        <v/>
      </c>
      <c r="W447">
        <f>HYPERLINK("https://klasma.github.io/Logging_1737/klagomålsmail/A 29560-2023 FSC-klagomål mail.docx", "A 29560-2023")</f>
        <v/>
      </c>
      <c r="X447">
        <f>HYPERLINK("https://klasma.github.io/Logging_1737/tillsyn/A 29560-2023 tillsynsbegäran.docx", "A 29560-2023")</f>
        <v/>
      </c>
      <c r="Y447">
        <f>HYPERLINK("https://klasma.github.io/Logging_1737/tillsynsmail/A 29560-2023 tillsynsbegäran mail.docx", "A 29560-2023")</f>
        <v/>
      </c>
      <c r="Z447">
        <f>HYPERLINK("https://klasma.github.io/Logging_1737/fåglar/A 29560-2023 prioriterade fågelarter.docx", "A 29560-2023")</f>
        <v/>
      </c>
    </row>
    <row r="448" ht="15" customHeight="1">
      <c r="A448" t="inlineStr">
        <is>
          <t>A 30202-2023</t>
        </is>
      </c>
      <c r="B448" s="1" t="n">
        <v>45110</v>
      </c>
      <c r="C448" s="1" t="n">
        <v>45353</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45353</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45353</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45353</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45353</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45353</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45353</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39983-2023</t>
        </is>
      </c>
      <c r="B455" s="1" t="n">
        <v>45168</v>
      </c>
      <c r="C455" s="1" t="n">
        <v>45353</v>
      </c>
      <c r="D455" t="inlineStr">
        <is>
          <t>VÄRMLANDS LÄN</t>
        </is>
      </c>
      <c r="E455" t="inlineStr">
        <is>
          <t>TORSBY</t>
        </is>
      </c>
      <c r="G455" t="n">
        <v>17.2</v>
      </c>
      <c r="H455" t="n">
        <v>1</v>
      </c>
      <c r="I455" t="n">
        <v>0</v>
      </c>
      <c r="J455" t="n">
        <v>1</v>
      </c>
      <c r="K455" t="n">
        <v>0</v>
      </c>
      <c r="L455" t="n">
        <v>0</v>
      </c>
      <c r="M455" t="n">
        <v>0</v>
      </c>
      <c r="N455" t="n">
        <v>0</v>
      </c>
      <c r="O455" t="n">
        <v>1</v>
      </c>
      <c r="P455" t="n">
        <v>0</v>
      </c>
      <c r="Q455" t="n">
        <v>1</v>
      </c>
      <c r="R455" s="2" t="inlineStr">
        <is>
          <t>Kråka</t>
        </is>
      </c>
      <c r="S455">
        <f>HYPERLINK("https://klasma.github.io/Logging_1737/artfynd/A 39983-2023 artfynd.xlsx", "A 39983-2023")</f>
        <v/>
      </c>
      <c r="T455">
        <f>HYPERLINK("https://klasma.github.io/Logging_1737/kartor/A 39983-2023 karta.png", "A 39983-2023")</f>
        <v/>
      </c>
      <c r="V455">
        <f>HYPERLINK("https://klasma.github.io/Logging_1737/klagomål/A 39983-2023 FSC-klagomål.docx", "A 39983-2023")</f>
        <v/>
      </c>
      <c r="W455">
        <f>HYPERLINK("https://klasma.github.io/Logging_1737/klagomålsmail/A 39983-2023 FSC-klagomål mail.docx", "A 39983-2023")</f>
        <v/>
      </c>
      <c r="X455">
        <f>HYPERLINK("https://klasma.github.io/Logging_1737/tillsyn/A 39983-2023 tillsynsbegäran.docx", "A 39983-2023")</f>
        <v/>
      </c>
      <c r="Y455">
        <f>HYPERLINK("https://klasma.github.io/Logging_1737/tillsynsmail/A 39983-2023 tillsynsbegäran mail.docx", "A 39983-2023")</f>
        <v/>
      </c>
    </row>
    <row r="456" ht="15" customHeight="1">
      <c r="A456" t="inlineStr">
        <is>
          <t>A 41484-2023</t>
        </is>
      </c>
      <c r="B456" s="1" t="n">
        <v>45175</v>
      </c>
      <c r="C456" s="1" t="n">
        <v>45353</v>
      </c>
      <c r="D456" t="inlineStr">
        <is>
          <t>VÄRMLANDS LÄN</t>
        </is>
      </c>
      <c r="E456" t="inlineStr">
        <is>
          <t>KARLSTAD</t>
        </is>
      </c>
      <c r="G456" t="n">
        <v>8.699999999999999</v>
      </c>
      <c r="H456" t="n">
        <v>1</v>
      </c>
      <c r="I456" t="n">
        <v>0</v>
      </c>
      <c r="J456" t="n">
        <v>1</v>
      </c>
      <c r="K456" t="n">
        <v>0</v>
      </c>
      <c r="L456" t="n">
        <v>0</v>
      </c>
      <c r="M456" t="n">
        <v>0</v>
      </c>
      <c r="N456" t="n">
        <v>0</v>
      </c>
      <c r="O456" t="n">
        <v>1</v>
      </c>
      <c r="P456" t="n">
        <v>0</v>
      </c>
      <c r="Q456" t="n">
        <v>1</v>
      </c>
      <c r="R456" s="2" t="inlineStr">
        <is>
          <t>Spillkråka</t>
        </is>
      </c>
      <c r="S456">
        <f>HYPERLINK("https://klasma.github.io/Logging_1780/artfynd/A 41484-2023 artfynd.xlsx", "A 41484-2023")</f>
        <v/>
      </c>
      <c r="T456">
        <f>HYPERLINK("https://klasma.github.io/Logging_1780/kartor/A 41484-2023 karta.png", "A 41484-2023")</f>
        <v/>
      </c>
      <c r="V456">
        <f>HYPERLINK("https://klasma.github.io/Logging_1780/klagomål/A 41484-2023 FSC-klagomål.docx", "A 41484-2023")</f>
        <v/>
      </c>
      <c r="W456">
        <f>HYPERLINK("https://klasma.github.io/Logging_1780/klagomålsmail/A 41484-2023 FSC-klagomål mail.docx", "A 41484-2023")</f>
        <v/>
      </c>
      <c r="X456">
        <f>HYPERLINK("https://klasma.github.io/Logging_1780/tillsyn/A 41484-2023 tillsynsbegäran.docx", "A 41484-2023")</f>
        <v/>
      </c>
      <c r="Y456">
        <f>HYPERLINK("https://klasma.github.io/Logging_1780/tillsynsmail/A 41484-2023 tillsynsbegäran mail.docx", "A 41484-2023")</f>
        <v/>
      </c>
      <c r="Z456">
        <f>HYPERLINK("https://klasma.github.io/Logging_1780/fåglar/A 41484-2023 prioriterade fågelarter.docx", "A 41484-2023")</f>
        <v/>
      </c>
    </row>
    <row r="457" ht="15" customHeight="1">
      <c r="A457" t="inlineStr">
        <is>
          <t>A 41526-2023</t>
        </is>
      </c>
      <c r="B457" s="1" t="n">
        <v>45175</v>
      </c>
      <c r="C457" s="1" t="n">
        <v>45353</v>
      </c>
      <c r="D457" t="inlineStr">
        <is>
          <t>VÄRMLANDS LÄN</t>
        </is>
      </c>
      <c r="E457" t="inlineStr">
        <is>
          <t>KIL</t>
        </is>
      </c>
      <c r="F457" t="inlineStr">
        <is>
          <t>Kyrkan</t>
        </is>
      </c>
      <c r="G457" t="n">
        <v>1.1</v>
      </c>
      <c r="H457" t="n">
        <v>1</v>
      </c>
      <c r="I457" t="n">
        <v>0</v>
      </c>
      <c r="J457" t="n">
        <v>0</v>
      </c>
      <c r="K457" t="n">
        <v>0</v>
      </c>
      <c r="L457" t="n">
        <v>0</v>
      </c>
      <c r="M457" t="n">
        <v>0</v>
      </c>
      <c r="N457" t="n">
        <v>0</v>
      </c>
      <c r="O457" t="n">
        <v>0</v>
      </c>
      <c r="P457" t="n">
        <v>0</v>
      </c>
      <c r="Q457" t="n">
        <v>1</v>
      </c>
      <c r="R457" s="2" t="inlineStr">
        <is>
          <t>Hökuggla</t>
        </is>
      </c>
      <c r="S457">
        <f>HYPERLINK("https://klasma.github.io/Logging_1715/artfynd/A 41526-2023 artfynd.xlsx", "A 41526-2023")</f>
        <v/>
      </c>
      <c r="T457">
        <f>HYPERLINK("https://klasma.github.io/Logging_1715/kartor/A 41526-2023 karta.png", "A 41526-2023")</f>
        <v/>
      </c>
      <c r="V457">
        <f>HYPERLINK("https://klasma.github.io/Logging_1715/klagomål/A 41526-2023 FSC-klagomål.docx", "A 41526-2023")</f>
        <v/>
      </c>
      <c r="W457">
        <f>HYPERLINK("https://klasma.github.io/Logging_1715/klagomålsmail/A 41526-2023 FSC-klagomål mail.docx", "A 41526-2023")</f>
        <v/>
      </c>
      <c r="X457">
        <f>HYPERLINK("https://klasma.github.io/Logging_1715/tillsyn/A 41526-2023 tillsynsbegäran.docx", "A 41526-2023")</f>
        <v/>
      </c>
      <c r="Y457">
        <f>HYPERLINK("https://klasma.github.io/Logging_1715/tillsynsmail/A 41526-2023 tillsynsbegäran mail.docx", "A 41526-2023")</f>
        <v/>
      </c>
      <c r="Z457">
        <f>HYPERLINK("https://klasma.github.io/Logging_1715/fåglar/A 41526-2023 prioriterade fågelarter.docx", "A 41526-2023")</f>
        <v/>
      </c>
    </row>
    <row r="458" ht="15" customHeight="1">
      <c r="A458" t="inlineStr">
        <is>
          <t>A 43388-2023</t>
        </is>
      </c>
      <c r="B458" s="1" t="n">
        <v>45183</v>
      </c>
      <c r="C458" s="1" t="n">
        <v>45353</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43388-2023 artfynd.xlsx", "A 43388-2023")</f>
        <v/>
      </c>
      <c r="T458">
        <f>HYPERLINK("https://klasma.github.io/Logging_1784/kartor/A 43388-2023 karta.png", "A 43388-2023")</f>
        <v/>
      </c>
      <c r="U458">
        <f>HYPERLINK("https://klasma.github.io/Logging_1784/knärot/A 43388-2023 karta knärot.png", "A 43388-2023")</f>
        <v/>
      </c>
      <c r="V458">
        <f>HYPERLINK("https://klasma.github.io/Logging_1784/klagomål/A 43388-2023 FSC-klagomål.docx", "A 43388-2023")</f>
        <v/>
      </c>
      <c r="W458">
        <f>HYPERLINK("https://klasma.github.io/Logging_1784/klagomålsmail/A 43388-2023 FSC-klagomål mail.docx", "A 43388-2023")</f>
        <v/>
      </c>
      <c r="X458">
        <f>HYPERLINK("https://klasma.github.io/Logging_1784/tillsyn/A 43388-2023 tillsynsbegäran.docx", "A 43388-2023")</f>
        <v/>
      </c>
      <c r="Y458">
        <f>HYPERLINK("https://klasma.github.io/Logging_1784/tillsynsmail/A 43388-2023 tillsynsbegäran mail.docx", "A 43388-2023")</f>
        <v/>
      </c>
    </row>
    <row r="459" ht="15" customHeight="1">
      <c r="A459" t="inlineStr">
        <is>
          <t>A 44095-2023</t>
        </is>
      </c>
      <c r="B459" s="1" t="n">
        <v>45188</v>
      </c>
      <c r="C459" s="1" t="n">
        <v>45353</v>
      </c>
      <c r="D459" t="inlineStr">
        <is>
          <t>VÄRMLANDS LÄN</t>
        </is>
      </c>
      <c r="E459" t="inlineStr">
        <is>
          <t>HAGFORS</t>
        </is>
      </c>
      <c r="G459" t="n">
        <v>3.6</v>
      </c>
      <c r="H459" t="n">
        <v>1</v>
      </c>
      <c r="I459" t="n">
        <v>0</v>
      </c>
      <c r="J459" t="n">
        <v>1</v>
      </c>
      <c r="K459" t="n">
        <v>0</v>
      </c>
      <c r="L459" t="n">
        <v>0</v>
      </c>
      <c r="M459" t="n">
        <v>0</v>
      </c>
      <c r="N459" t="n">
        <v>0</v>
      </c>
      <c r="O459" t="n">
        <v>1</v>
      </c>
      <c r="P459" t="n">
        <v>0</v>
      </c>
      <c r="Q459" t="n">
        <v>1</v>
      </c>
      <c r="R459" s="2" t="inlineStr">
        <is>
          <t>Utter</t>
        </is>
      </c>
      <c r="S459">
        <f>HYPERLINK("https://klasma.github.io/Logging_1783/artfynd/A 44095-2023 artfynd.xlsx", "A 44095-2023")</f>
        <v/>
      </c>
      <c r="T459">
        <f>HYPERLINK("https://klasma.github.io/Logging_1783/kartor/A 44095-2023 karta.png", "A 44095-2023")</f>
        <v/>
      </c>
      <c r="V459">
        <f>HYPERLINK("https://klasma.github.io/Logging_1783/klagomål/A 44095-2023 FSC-klagomål.docx", "A 44095-2023")</f>
        <v/>
      </c>
      <c r="W459">
        <f>HYPERLINK("https://klasma.github.io/Logging_1783/klagomålsmail/A 44095-2023 FSC-klagomål mail.docx", "A 44095-2023")</f>
        <v/>
      </c>
      <c r="X459">
        <f>HYPERLINK("https://klasma.github.io/Logging_1783/tillsyn/A 44095-2023 tillsynsbegäran.docx", "A 44095-2023")</f>
        <v/>
      </c>
      <c r="Y459">
        <f>HYPERLINK("https://klasma.github.io/Logging_1783/tillsynsmail/A 44095-2023 tillsynsbegäran mail.docx", "A 44095-2023")</f>
        <v/>
      </c>
    </row>
    <row r="460" ht="15" customHeight="1">
      <c r="A460" t="inlineStr">
        <is>
          <t>A 44111-2023</t>
        </is>
      </c>
      <c r="B460" s="1" t="n">
        <v>45188</v>
      </c>
      <c r="C460" s="1" t="n">
        <v>45353</v>
      </c>
      <c r="D460" t="inlineStr">
        <is>
          <t>VÄRMLANDS LÄN</t>
        </is>
      </c>
      <c r="E460" t="inlineStr">
        <is>
          <t>MUNKFORS</t>
        </is>
      </c>
      <c r="G460" t="n">
        <v>7</v>
      </c>
      <c r="H460" t="n">
        <v>0</v>
      </c>
      <c r="I460" t="n">
        <v>0</v>
      </c>
      <c r="J460" t="n">
        <v>1</v>
      </c>
      <c r="K460" t="n">
        <v>0</v>
      </c>
      <c r="L460" t="n">
        <v>0</v>
      </c>
      <c r="M460" t="n">
        <v>0</v>
      </c>
      <c r="N460" t="n">
        <v>0</v>
      </c>
      <c r="O460" t="n">
        <v>1</v>
      </c>
      <c r="P460" t="n">
        <v>0</v>
      </c>
      <c r="Q460" t="n">
        <v>1</v>
      </c>
      <c r="R460" s="2" t="inlineStr">
        <is>
          <t>Bågsäv</t>
        </is>
      </c>
      <c r="S460">
        <f>HYPERLINK("https://klasma.github.io/Logging_1762/artfynd/A 44111-2023 artfynd.xlsx", "A 44111-2023")</f>
        <v/>
      </c>
      <c r="T460">
        <f>HYPERLINK("https://klasma.github.io/Logging_1762/kartor/A 44111-2023 karta.png", "A 44111-2023")</f>
        <v/>
      </c>
      <c r="V460">
        <f>HYPERLINK("https://klasma.github.io/Logging_1762/klagomål/A 44111-2023 FSC-klagomål.docx", "A 44111-2023")</f>
        <v/>
      </c>
      <c r="W460">
        <f>HYPERLINK("https://klasma.github.io/Logging_1762/klagomålsmail/A 44111-2023 FSC-klagomål mail.docx", "A 44111-2023")</f>
        <v/>
      </c>
      <c r="X460">
        <f>HYPERLINK("https://klasma.github.io/Logging_1762/tillsyn/A 44111-2023 tillsynsbegäran.docx", "A 44111-2023")</f>
        <v/>
      </c>
      <c r="Y460">
        <f>HYPERLINK("https://klasma.github.io/Logging_1762/tillsynsmail/A 44111-2023 tillsynsbegäran mail.docx", "A 44111-2023")</f>
        <v/>
      </c>
    </row>
    <row r="461" ht="15" customHeight="1">
      <c r="A461" t="inlineStr">
        <is>
          <t>A 45484-2023</t>
        </is>
      </c>
      <c r="B461" s="1" t="n">
        <v>45188</v>
      </c>
      <c r="C461" s="1" t="n">
        <v>45353</v>
      </c>
      <c r="D461" t="inlineStr">
        <is>
          <t>VÄRMLANDS LÄN</t>
        </is>
      </c>
      <c r="E461" t="inlineStr">
        <is>
          <t>FORSHAGA</t>
        </is>
      </c>
      <c r="G461" t="n">
        <v>2.7</v>
      </c>
      <c r="H461" t="n">
        <v>0</v>
      </c>
      <c r="I461" t="n">
        <v>1</v>
      </c>
      <c r="J461" t="n">
        <v>0</v>
      </c>
      <c r="K461" t="n">
        <v>0</v>
      </c>
      <c r="L461" t="n">
        <v>0</v>
      </c>
      <c r="M461" t="n">
        <v>0</v>
      </c>
      <c r="N461" t="n">
        <v>0</v>
      </c>
      <c r="O461" t="n">
        <v>0</v>
      </c>
      <c r="P461" t="n">
        <v>0</v>
      </c>
      <c r="Q461" t="n">
        <v>1</v>
      </c>
      <c r="R461" s="2" t="inlineStr">
        <is>
          <t>Scharlakansvårskål agg.</t>
        </is>
      </c>
      <c r="S461">
        <f>HYPERLINK("https://klasma.github.io/Logging_1763/artfynd/A 45484-2023 artfynd.xlsx", "A 45484-2023")</f>
        <v/>
      </c>
      <c r="T461">
        <f>HYPERLINK("https://klasma.github.io/Logging_1763/kartor/A 45484-2023 karta.png", "A 45484-2023")</f>
        <v/>
      </c>
      <c r="V461">
        <f>HYPERLINK("https://klasma.github.io/Logging_1763/klagomål/A 45484-2023 FSC-klagomål.docx", "A 45484-2023")</f>
        <v/>
      </c>
      <c r="W461">
        <f>HYPERLINK("https://klasma.github.io/Logging_1763/klagomålsmail/A 45484-2023 FSC-klagomål mail.docx", "A 45484-2023")</f>
        <v/>
      </c>
      <c r="X461">
        <f>HYPERLINK("https://klasma.github.io/Logging_1763/tillsyn/A 45484-2023 tillsynsbegäran.docx", "A 45484-2023")</f>
        <v/>
      </c>
      <c r="Y461">
        <f>HYPERLINK("https://klasma.github.io/Logging_1763/tillsynsmail/A 45484-2023 tillsynsbegäran mail.docx", "A 45484-2023")</f>
        <v/>
      </c>
    </row>
    <row r="462" ht="15" customHeight="1">
      <c r="A462" t="inlineStr">
        <is>
          <t>A 46099-2023</t>
        </is>
      </c>
      <c r="B462" s="1" t="n">
        <v>45196</v>
      </c>
      <c r="C462" s="1" t="n">
        <v>45353</v>
      </c>
      <c r="D462" t="inlineStr">
        <is>
          <t>VÄRMLANDS LÄN</t>
        </is>
      </c>
      <c r="E462" t="inlineStr">
        <is>
          <t>TORSBY</t>
        </is>
      </c>
      <c r="G462" t="n">
        <v>8.4</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46099-2023 artfynd.xlsx", "A 46099-2023")</f>
        <v/>
      </c>
      <c r="T462">
        <f>HYPERLINK("https://klasma.github.io/Logging_1737/kartor/A 46099-2023 karta.png", "A 46099-2023")</f>
        <v/>
      </c>
      <c r="V462">
        <f>HYPERLINK("https://klasma.github.io/Logging_1737/klagomål/A 46099-2023 FSC-klagomål.docx", "A 46099-2023")</f>
        <v/>
      </c>
      <c r="W462">
        <f>HYPERLINK("https://klasma.github.io/Logging_1737/klagomålsmail/A 46099-2023 FSC-klagomål mail.docx", "A 46099-2023")</f>
        <v/>
      </c>
      <c r="X462">
        <f>HYPERLINK("https://klasma.github.io/Logging_1737/tillsyn/A 46099-2023 tillsynsbegäran.docx", "A 46099-2023")</f>
        <v/>
      </c>
      <c r="Y462">
        <f>HYPERLINK("https://klasma.github.io/Logging_1737/tillsynsmail/A 46099-2023 tillsynsbegäran mail.docx", "A 46099-2023")</f>
        <v/>
      </c>
    </row>
    <row r="463" ht="15" customHeight="1">
      <c r="A463" t="inlineStr">
        <is>
          <t>A 47141-2023</t>
        </is>
      </c>
      <c r="B463" s="1" t="n">
        <v>45201</v>
      </c>
      <c r="C463" s="1" t="n">
        <v>45353</v>
      </c>
      <c r="D463" t="inlineStr">
        <is>
          <t>VÄRMLANDS LÄN</t>
        </is>
      </c>
      <c r="E463" t="inlineStr">
        <is>
          <t>ARVIKA</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HYPERLINK("https://klasma.github.io/Logging_1784/artfynd/A 47141-2023 artfynd.xlsx", "A 47141-2023")</f>
        <v/>
      </c>
      <c r="T463">
        <f>HYPERLINK("https://klasma.github.io/Logging_1784/kartor/A 47141-2023 karta.png", "A 47141-2023")</f>
        <v/>
      </c>
      <c r="U463">
        <f>HYPERLINK("https://klasma.github.io/Logging_1784/knärot/A 47141-2023 karta knärot.png", "A 47141-2023")</f>
        <v/>
      </c>
      <c r="V463">
        <f>HYPERLINK("https://klasma.github.io/Logging_1784/klagomål/A 47141-2023 FSC-klagomål.docx", "A 47141-2023")</f>
        <v/>
      </c>
      <c r="W463">
        <f>HYPERLINK("https://klasma.github.io/Logging_1784/klagomålsmail/A 47141-2023 FSC-klagomål mail.docx", "A 47141-2023")</f>
        <v/>
      </c>
      <c r="X463">
        <f>HYPERLINK("https://klasma.github.io/Logging_1784/tillsyn/A 47141-2023 tillsynsbegäran.docx", "A 47141-2023")</f>
        <v/>
      </c>
      <c r="Y463">
        <f>HYPERLINK("https://klasma.github.io/Logging_1784/tillsynsmail/A 47141-2023 tillsynsbegäran mail.docx", "A 47141-2023")</f>
        <v/>
      </c>
    </row>
    <row r="464" ht="15" customHeight="1">
      <c r="A464" t="inlineStr">
        <is>
          <t>A 48464-2023</t>
        </is>
      </c>
      <c r="B464" s="1" t="n">
        <v>45206</v>
      </c>
      <c r="C464" s="1" t="n">
        <v>45353</v>
      </c>
      <c r="D464" t="inlineStr">
        <is>
          <t>VÄRMLANDS LÄN</t>
        </is>
      </c>
      <c r="E464" t="inlineStr">
        <is>
          <t>ARVIKA</t>
        </is>
      </c>
      <c r="G464" t="n">
        <v>7.9</v>
      </c>
      <c r="H464" t="n">
        <v>1</v>
      </c>
      <c r="I464" t="n">
        <v>0</v>
      </c>
      <c r="J464" t="n">
        <v>0</v>
      </c>
      <c r="K464" t="n">
        <v>1</v>
      </c>
      <c r="L464" t="n">
        <v>0</v>
      </c>
      <c r="M464" t="n">
        <v>0</v>
      </c>
      <c r="N464" t="n">
        <v>0</v>
      </c>
      <c r="O464" t="n">
        <v>1</v>
      </c>
      <c r="P464" t="n">
        <v>1</v>
      </c>
      <c r="Q464" t="n">
        <v>1</v>
      </c>
      <c r="R464" s="2" t="inlineStr">
        <is>
          <t>Knärot</t>
        </is>
      </c>
      <c r="S464">
        <f>HYPERLINK("https://klasma.github.io/Logging_1784/artfynd/A 48464-2023 artfynd.xlsx", "A 48464-2023")</f>
        <v/>
      </c>
      <c r="T464">
        <f>HYPERLINK("https://klasma.github.io/Logging_1784/kartor/A 48464-2023 karta.png", "A 48464-2023")</f>
        <v/>
      </c>
      <c r="U464">
        <f>HYPERLINK("https://klasma.github.io/Logging_1784/knärot/A 48464-2023 karta knärot.png", "A 48464-2023")</f>
        <v/>
      </c>
      <c r="V464">
        <f>HYPERLINK("https://klasma.github.io/Logging_1784/klagomål/A 48464-2023 FSC-klagomål.docx", "A 48464-2023")</f>
        <v/>
      </c>
      <c r="W464">
        <f>HYPERLINK("https://klasma.github.io/Logging_1784/klagomålsmail/A 48464-2023 FSC-klagomål mail.docx", "A 48464-2023")</f>
        <v/>
      </c>
      <c r="X464">
        <f>HYPERLINK("https://klasma.github.io/Logging_1784/tillsyn/A 48464-2023 tillsynsbegäran.docx", "A 48464-2023")</f>
        <v/>
      </c>
      <c r="Y464">
        <f>HYPERLINK("https://klasma.github.io/Logging_1784/tillsynsmail/A 48464-2023 tillsynsbegäran mail.docx", "A 48464-2023")</f>
        <v/>
      </c>
    </row>
    <row r="465" ht="15" customHeight="1">
      <c r="A465" t="inlineStr">
        <is>
          <t>A 49724-2023</t>
        </is>
      </c>
      <c r="B465" s="1" t="n">
        <v>45208</v>
      </c>
      <c r="C465" s="1" t="n">
        <v>45353</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Garnlav</t>
        </is>
      </c>
      <c r="S465">
        <f>HYPERLINK("https://klasma.github.io/Logging_1737/artfynd/A 49724-2023 artfynd.xlsx", "A 49724-2023")</f>
        <v/>
      </c>
      <c r="T465">
        <f>HYPERLINK("https://klasma.github.io/Logging_1737/kartor/A 49724-2023 karta.png", "A 49724-2023")</f>
        <v/>
      </c>
      <c r="V465">
        <f>HYPERLINK("https://klasma.github.io/Logging_1737/klagomål/A 49724-2023 FSC-klagomål.docx", "A 49724-2023")</f>
        <v/>
      </c>
      <c r="W465">
        <f>HYPERLINK("https://klasma.github.io/Logging_1737/klagomålsmail/A 49724-2023 FSC-klagomål mail.docx", "A 49724-2023")</f>
        <v/>
      </c>
      <c r="X465">
        <f>HYPERLINK("https://klasma.github.io/Logging_1737/tillsyn/A 49724-2023 tillsynsbegäran.docx", "A 49724-2023")</f>
        <v/>
      </c>
      <c r="Y465">
        <f>HYPERLINK("https://klasma.github.io/Logging_1737/tillsynsmail/A 49724-2023 tillsynsbegäran mail.docx", "A 49724-2023")</f>
        <v/>
      </c>
    </row>
    <row r="466" ht="15" customHeight="1">
      <c r="A466" t="inlineStr">
        <is>
          <t>A 53630-2023</t>
        </is>
      </c>
      <c r="B466" s="1" t="n">
        <v>45230</v>
      </c>
      <c r="C466" s="1" t="n">
        <v>45353</v>
      </c>
      <c r="D466" t="inlineStr">
        <is>
          <t>VÄRMLANDS LÄN</t>
        </is>
      </c>
      <c r="E466" t="inlineStr">
        <is>
          <t>ARVIKA</t>
        </is>
      </c>
      <c r="G466" t="n">
        <v>3.2</v>
      </c>
      <c r="H466" t="n">
        <v>0</v>
      </c>
      <c r="I466" t="n">
        <v>0</v>
      </c>
      <c r="J466" t="n">
        <v>1</v>
      </c>
      <c r="K466" t="n">
        <v>0</v>
      </c>
      <c r="L466" t="n">
        <v>0</v>
      </c>
      <c r="M466" t="n">
        <v>0</v>
      </c>
      <c r="N466" t="n">
        <v>0</v>
      </c>
      <c r="O466" t="n">
        <v>1</v>
      </c>
      <c r="P466" t="n">
        <v>0</v>
      </c>
      <c r="Q466" t="n">
        <v>1</v>
      </c>
      <c r="R466" s="2" t="inlineStr">
        <is>
          <t>Lunglav</t>
        </is>
      </c>
      <c r="S466">
        <f>HYPERLINK("https://klasma.github.io/Logging_1784/artfynd/A 53630-2023 artfynd.xlsx", "A 53630-2023")</f>
        <v/>
      </c>
      <c r="T466">
        <f>HYPERLINK("https://klasma.github.io/Logging_1784/kartor/A 53630-2023 karta.png", "A 53630-2023")</f>
        <v/>
      </c>
      <c r="V466">
        <f>HYPERLINK("https://klasma.github.io/Logging_1784/klagomål/A 53630-2023 FSC-klagomål.docx", "A 53630-2023")</f>
        <v/>
      </c>
      <c r="W466">
        <f>HYPERLINK("https://klasma.github.io/Logging_1784/klagomålsmail/A 53630-2023 FSC-klagomål mail.docx", "A 53630-2023")</f>
        <v/>
      </c>
      <c r="X466">
        <f>HYPERLINK("https://klasma.github.io/Logging_1784/tillsyn/A 53630-2023 tillsynsbegäran.docx", "A 53630-2023")</f>
        <v/>
      </c>
      <c r="Y466">
        <f>HYPERLINK("https://klasma.github.io/Logging_1784/tillsynsmail/A 53630-2023 tillsynsbegäran mail.docx", "A 53630-2023")</f>
        <v/>
      </c>
    </row>
    <row r="467" ht="15" customHeight="1">
      <c r="A467" t="inlineStr">
        <is>
          <t>A 55068-2023</t>
        </is>
      </c>
      <c r="B467" s="1" t="n">
        <v>45237</v>
      </c>
      <c r="C467" s="1" t="n">
        <v>45353</v>
      </c>
      <c r="D467" t="inlineStr">
        <is>
          <t>VÄRMLANDS LÄN</t>
        </is>
      </c>
      <c r="E467" t="inlineStr">
        <is>
          <t>HAMMARÖ</t>
        </is>
      </c>
      <c r="F467" t="inlineStr">
        <is>
          <t>Kommuner</t>
        </is>
      </c>
      <c r="G467" t="n">
        <v>2.4</v>
      </c>
      <c r="H467" t="n">
        <v>0</v>
      </c>
      <c r="I467" t="n">
        <v>0</v>
      </c>
      <c r="J467" t="n">
        <v>1</v>
      </c>
      <c r="K467" t="n">
        <v>0</v>
      </c>
      <c r="L467" t="n">
        <v>0</v>
      </c>
      <c r="M467" t="n">
        <v>0</v>
      </c>
      <c r="N467" t="n">
        <v>0</v>
      </c>
      <c r="O467" t="n">
        <v>1</v>
      </c>
      <c r="P467" t="n">
        <v>0</v>
      </c>
      <c r="Q467" t="n">
        <v>1</v>
      </c>
      <c r="R467" s="2" t="inlineStr">
        <is>
          <t>Motaggsvamp</t>
        </is>
      </c>
      <c r="S467">
        <f>HYPERLINK("https://klasma.github.io/Logging_1761/artfynd/A 55068-2023 artfynd.xlsx", "A 55068-2023")</f>
        <v/>
      </c>
      <c r="T467">
        <f>HYPERLINK("https://klasma.github.io/Logging_1761/kartor/A 55068-2023 karta.png", "A 55068-2023")</f>
        <v/>
      </c>
      <c r="V467">
        <f>HYPERLINK("https://klasma.github.io/Logging_1761/klagomål/A 55068-2023 FSC-klagomål.docx", "A 55068-2023")</f>
        <v/>
      </c>
      <c r="W467">
        <f>HYPERLINK("https://klasma.github.io/Logging_1761/klagomålsmail/A 55068-2023 FSC-klagomål mail.docx", "A 55068-2023")</f>
        <v/>
      </c>
      <c r="X467">
        <f>HYPERLINK("https://klasma.github.io/Logging_1761/tillsyn/A 55068-2023 tillsynsbegäran.docx", "A 55068-2023")</f>
        <v/>
      </c>
      <c r="Y467">
        <f>HYPERLINK("https://klasma.github.io/Logging_1761/tillsynsmail/A 55068-2023 tillsynsbegäran mail.docx", "A 55068-2023")</f>
        <v/>
      </c>
    </row>
    <row r="468" ht="15" customHeight="1">
      <c r="A468" t="inlineStr">
        <is>
          <t>A 56489-2023</t>
        </is>
      </c>
      <c r="B468" s="1" t="n">
        <v>45237</v>
      </c>
      <c r="C468" s="1" t="n">
        <v>45353</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55969-2023</t>
        </is>
      </c>
      <c r="B469" s="1" t="n">
        <v>45240</v>
      </c>
      <c r="C469" s="1" t="n">
        <v>45353</v>
      </c>
      <c r="D469" t="inlineStr">
        <is>
          <t>VÄRMLANDS LÄN</t>
        </is>
      </c>
      <c r="E469" t="inlineStr">
        <is>
          <t>KARLSTAD</t>
        </is>
      </c>
      <c r="G469" t="n">
        <v>12.8</v>
      </c>
      <c r="H469" t="n">
        <v>1</v>
      </c>
      <c r="I469" t="n">
        <v>0</v>
      </c>
      <c r="J469" t="n">
        <v>1</v>
      </c>
      <c r="K469" t="n">
        <v>0</v>
      </c>
      <c r="L469" t="n">
        <v>0</v>
      </c>
      <c r="M469" t="n">
        <v>0</v>
      </c>
      <c r="N469" t="n">
        <v>0</v>
      </c>
      <c r="O469" t="n">
        <v>1</v>
      </c>
      <c r="P469" t="n">
        <v>0</v>
      </c>
      <c r="Q469" t="n">
        <v>1</v>
      </c>
      <c r="R469" s="2" t="inlineStr">
        <is>
          <t>Järpe</t>
        </is>
      </c>
      <c r="S469">
        <f>HYPERLINK("https://klasma.github.io/Logging_1780/artfynd/A 55969-2023 artfynd.xlsx", "A 55969-2023")</f>
        <v/>
      </c>
      <c r="T469">
        <f>HYPERLINK("https://klasma.github.io/Logging_1780/kartor/A 55969-2023 karta.png", "A 55969-2023")</f>
        <v/>
      </c>
      <c r="V469">
        <f>HYPERLINK("https://klasma.github.io/Logging_1780/klagomål/A 55969-2023 FSC-klagomål.docx", "A 55969-2023")</f>
        <v/>
      </c>
      <c r="W469">
        <f>HYPERLINK("https://klasma.github.io/Logging_1780/klagomålsmail/A 55969-2023 FSC-klagomål mail.docx", "A 55969-2023")</f>
        <v/>
      </c>
      <c r="X469">
        <f>HYPERLINK("https://klasma.github.io/Logging_1780/tillsyn/A 55969-2023 tillsynsbegäran.docx", "A 55969-2023")</f>
        <v/>
      </c>
      <c r="Y469">
        <f>HYPERLINK("https://klasma.github.io/Logging_1780/tillsynsmail/A 55969-2023 tillsynsbegäran mail.docx", "A 55969-2023")</f>
        <v/>
      </c>
      <c r="Z469">
        <f>HYPERLINK("https://klasma.github.io/Logging_1780/fåglar/A 55969-2023 prioriterade fågelarter.docx", "A 55969-2023")</f>
        <v/>
      </c>
    </row>
    <row r="470" ht="15" customHeight="1">
      <c r="A470" t="inlineStr">
        <is>
          <t>A 56492-2023</t>
        </is>
      </c>
      <c r="B470" s="1" t="n">
        <v>45243</v>
      </c>
      <c r="C470" s="1" t="n">
        <v>45353</v>
      </c>
      <c r="D470" t="inlineStr">
        <is>
          <t>VÄRMLANDS LÄN</t>
        </is>
      </c>
      <c r="E470" t="inlineStr">
        <is>
          <t>EDA</t>
        </is>
      </c>
      <c r="G470" t="n">
        <v>3.5</v>
      </c>
      <c r="H470" t="n">
        <v>0</v>
      </c>
      <c r="I470" t="n">
        <v>0</v>
      </c>
      <c r="J470" t="n">
        <v>1</v>
      </c>
      <c r="K470" t="n">
        <v>0</v>
      </c>
      <c r="L470" t="n">
        <v>0</v>
      </c>
      <c r="M470" t="n">
        <v>0</v>
      </c>
      <c r="N470" t="n">
        <v>0</v>
      </c>
      <c r="O470" t="n">
        <v>1</v>
      </c>
      <c r="P470" t="n">
        <v>0</v>
      </c>
      <c r="Q470" t="n">
        <v>1</v>
      </c>
      <c r="R470" s="2" t="inlineStr">
        <is>
          <t>Vedtrappmossa</t>
        </is>
      </c>
      <c r="S470">
        <f>HYPERLINK("https://klasma.github.io/Logging_1730/artfynd/A 56492-2023 artfynd.xlsx", "A 56492-2023")</f>
        <v/>
      </c>
      <c r="T470">
        <f>HYPERLINK("https://klasma.github.io/Logging_1730/kartor/A 56492-2023 karta.png", "A 56492-2023")</f>
        <v/>
      </c>
      <c r="V470">
        <f>HYPERLINK("https://klasma.github.io/Logging_1730/klagomål/A 56492-2023 FSC-klagomål.docx", "A 56492-2023")</f>
        <v/>
      </c>
      <c r="W470">
        <f>HYPERLINK("https://klasma.github.io/Logging_1730/klagomålsmail/A 56492-2023 FSC-klagomål mail.docx", "A 56492-2023")</f>
        <v/>
      </c>
      <c r="X470">
        <f>HYPERLINK("https://klasma.github.io/Logging_1730/tillsyn/A 56492-2023 tillsynsbegäran.docx", "A 56492-2023")</f>
        <v/>
      </c>
      <c r="Y470">
        <f>HYPERLINK("https://klasma.github.io/Logging_1730/tillsynsmail/A 56492-2023 tillsynsbegäran mail.docx", "A 56492-2023")</f>
        <v/>
      </c>
    </row>
    <row r="471" ht="15" customHeight="1">
      <c r="A471" t="inlineStr">
        <is>
          <t>A 57971-2023</t>
        </is>
      </c>
      <c r="B471" s="1" t="n">
        <v>45247</v>
      </c>
      <c r="C471" s="1" t="n">
        <v>45353</v>
      </c>
      <c r="D471" t="inlineStr">
        <is>
          <t>VÄRMLANDS LÄN</t>
        </is>
      </c>
      <c r="E471" t="inlineStr">
        <is>
          <t>TORSBY</t>
        </is>
      </c>
      <c r="G471" t="n">
        <v>12.4</v>
      </c>
      <c r="H471" t="n">
        <v>0</v>
      </c>
      <c r="I471" t="n">
        <v>0</v>
      </c>
      <c r="J471" t="n">
        <v>1</v>
      </c>
      <c r="K471" t="n">
        <v>0</v>
      </c>
      <c r="L471" t="n">
        <v>0</v>
      </c>
      <c r="M471" t="n">
        <v>0</v>
      </c>
      <c r="N471" t="n">
        <v>0</v>
      </c>
      <c r="O471" t="n">
        <v>1</v>
      </c>
      <c r="P471" t="n">
        <v>0</v>
      </c>
      <c r="Q471" t="n">
        <v>1</v>
      </c>
      <c r="R471" s="2" t="inlineStr">
        <is>
          <t>Garnlav</t>
        </is>
      </c>
      <c r="S471">
        <f>HYPERLINK("https://klasma.github.io/Logging_1737/artfynd/A 57971-2023 artfynd.xlsx", "A 57971-2023")</f>
        <v/>
      </c>
      <c r="T471">
        <f>HYPERLINK("https://klasma.github.io/Logging_1737/kartor/A 57971-2023 karta.png", "A 57971-2023")</f>
        <v/>
      </c>
      <c r="V471">
        <f>HYPERLINK("https://klasma.github.io/Logging_1737/klagomål/A 57971-2023 FSC-klagomål.docx", "A 57971-2023")</f>
        <v/>
      </c>
      <c r="W471">
        <f>HYPERLINK("https://klasma.github.io/Logging_1737/klagomålsmail/A 57971-2023 FSC-klagomål mail.docx", "A 57971-2023")</f>
        <v/>
      </c>
      <c r="X471">
        <f>HYPERLINK("https://klasma.github.io/Logging_1737/tillsyn/A 57971-2023 tillsynsbegäran.docx", "A 57971-2023")</f>
        <v/>
      </c>
      <c r="Y471">
        <f>HYPERLINK("https://klasma.github.io/Logging_1737/tillsynsmail/A 57971-2023 tillsynsbegäran mail.docx", "A 57971-2023")</f>
        <v/>
      </c>
    </row>
    <row r="472" ht="15" customHeight="1">
      <c r="A472" t="inlineStr">
        <is>
          <t>A 60741-2023</t>
        </is>
      </c>
      <c r="B472" s="1" t="n">
        <v>45260</v>
      </c>
      <c r="C472" s="1" t="n">
        <v>45353</v>
      </c>
      <c r="D472" t="inlineStr">
        <is>
          <t>VÄRMLANDS LÄN</t>
        </is>
      </c>
      <c r="E472" t="inlineStr">
        <is>
          <t>ÅRJÄNG</t>
        </is>
      </c>
      <c r="G472" t="n">
        <v>2.7</v>
      </c>
      <c r="H472" t="n">
        <v>0</v>
      </c>
      <c r="I472" t="n">
        <v>0</v>
      </c>
      <c r="J472" t="n">
        <v>1</v>
      </c>
      <c r="K472" t="n">
        <v>0</v>
      </c>
      <c r="L472" t="n">
        <v>0</v>
      </c>
      <c r="M472" t="n">
        <v>0</v>
      </c>
      <c r="N472" t="n">
        <v>0</v>
      </c>
      <c r="O472" t="n">
        <v>1</v>
      </c>
      <c r="P472" t="n">
        <v>0</v>
      </c>
      <c r="Q472" t="n">
        <v>1</v>
      </c>
      <c r="R472" s="2" t="inlineStr">
        <is>
          <t>Vedskivlav</t>
        </is>
      </c>
      <c r="S472">
        <f>HYPERLINK("https://klasma.github.io/Logging_1765/artfynd/A 60741-2023 artfynd.xlsx", "A 60741-2023")</f>
        <v/>
      </c>
      <c r="T472">
        <f>HYPERLINK("https://klasma.github.io/Logging_1765/kartor/A 60741-2023 karta.png", "A 60741-2023")</f>
        <v/>
      </c>
      <c r="V472">
        <f>HYPERLINK("https://klasma.github.io/Logging_1765/klagomål/A 60741-2023 FSC-klagomål.docx", "A 60741-2023")</f>
        <v/>
      </c>
      <c r="W472">
        <f>HYPERLINK("https://klasma.github.io/Logging_1765/klagomålsmail/A 60741-2023 FSC-klagomål mail.docx", "A 60741-2023")</f>
        <v/>
      </c>
      <c r="X472">
        <f>HYPERLINK("https://klasma.github.io/Logging_1765/tillsyn/A 60741-2023 tillsynsbegäran.docx", "A 60741-2023")</f>
        <v/>
      </c>
      <c r="Y472">
        <f>HYPERLINK("https://klasma.github.io/Logging_1765/tillsynsmail/A 60741-2023 tillsynsbegäran mail.docx", "A 60741-2023")</f>
        <v/>
      </c>
    </row>
    <row r="473" ht="15" customHeight="1">
      <c r="A473" t="inlineStr">
        <is>
          <t>A 61004-2023</t>
        </is>
      </c>
      <c r="B473" s="1" t="n">
        <v>45261</v>
      </c>
      <c r="C473" s="1" t="n">
        <v>45353</v>
      </c>
      <c r="D473" t="inlineStr">
        <is>
          <t>VÄRMLANDS LÄN</t>
        </is>
      </c>
      <c r="E473" t="inlineStr">
        <is>
          <t>ARVIKA</t>
        </is>
      </c>
      <c r="G473" t="n">
        <v>3.6</v>
      </c>
      <c r="H473" t="n">
        <v>1</v>
      </c>
      <c r="I473" t="n">
        <v>0</v>
      </c>
      <c r="J473" t="n">
        <v>0</v>
      </c>
      <c r="K473" t="n">
        <v>1</v>
      </c>
      <c r="L473" t="n">
        <v>0</v>
      </c>
      <c r="M473" t="n">
        <v>0</v>
      </c>
      <c r="N473" t="n">
        <v>0</v>
      </c>
      <c r="O473" t="n">
        <v>1</v>
      </c>
      <c r="P473" t="n">
        <v>1</v>
      </c>
      <c r="Q473" t="n">
        <v>1</v>
      </c>
      <c r="R473" s="2" t="inlineStr">
        <is>
          <t>Knärot</t>
        </is>
      </c>
      <c r="S473">
        <f>HYPERLINK("https://klasma.github.io/Logging_1784/artfynd/A 61004-2023 artfynd.xlsx", "A 61004-2023")</f>
        <v/>
      </c>
      <c r="T473">
        <f>HYPERLINK("https://klasma.github.io/Logging_1784/kartor/A 61004-2023 karta.png", "A 61004-2023")</f>
        <v/>
      </c>
      <c r="U473">
        <f>HYPERLINK("https://klasma.github.io/Logging_1784/knärot/A 61004-2023 karta knärot.png", "A 61004-2023")</f>
        <v/>
      </c>
      <c r="V473">
        <f>HYPERLINK("https://klasma.github.io/Logging_1784/klagomål/A 61004-2023 FSC-klagomål.docx", "A 61004-2023")</f>
        <v/>
      </c>
      <c r="W473">
        <f>HYPERLINK("https://klasma.github.io/Logging_1784/klagomålsmail/A 61004-2023 FSC-klagomål mail.docx", "A 61004-2023")</f>
        <v/>
      </c>
      <c r="X473">
        <f>HYPERLINK("https://klasma.github.io/Logging_1784/tillsyn/A 61004-2023 tillsynsbegäran.docx", "A 61004-2023")</f>
        <v/>
      </c>
      <c r="Y473">
        <f>HYPERLINK("https://klasma.github.io/Logging_1784/tillsynsmail/A 61004-2023 tillsynsbegäran mail.docx", "A 61004-2023")</f>
        <v/>
      </c>
    </row>
    <row r="474" ht="15" customHeight="1">
      <c r="A474" t="inlineStr">
        <is>
          <t>A 61722-2023</t>
        </is>
      </c>
      <c r="B474" s="1" t="n">
        <v>45265</v>
      </c>
      <c r="C474" s="1" t="n">
        <v>45353</v>
      </c>
      <c r="D474" t="inlineStr">
        <is>
          <t>VÄRMLANDS LÄN</t>
        </is>
      </c>
      <c r="E474" t="inlineStr">
        <is>
          <t>FORSHAGA</t>
        </is>
      </c>
      <c r="G474" t="n">
        <v>1.7</v>
      </c>
      <c r="H474" t="n">
        <v>1</v>
      </c>
      <c r="I474" t="n">
        <v>0</v>
      </c>
      <c r="J474" t="n">
        <v>0</v>
      </c>
      <c r="K474" t="n">
        <v>0</v>
      </c>
      <c r="L474" t="n">
        <v>0</v>
      </c>
      <c r="M474" t="n">
        <v>0</v>
      </c>
      <c r="N474" t="n">
        <v>0</v>
      </c>
      <c r="O474" t="n">
        <v>0</v>
      </c>
      <c r="P474" t="n">
        <v>0</v>
      </c>
      <c r="Q474" t="n">
        <v>1</v>
      </c>
      <c r="R474" s="2" t="inlineStr">
        <is>
          <t>Vanlig groda</t>
        </is>
      </c>
      <c r="S474">
        <f>HYPERLINK("https://klasma.github.io/Logging_1763/artfynd/A 61722-2023 artfynd.xlsx", "A 61722-2023")</f>
        <v/>
      </c>
      <c r="T474">
        <f>HYPERLINK("https://klasma.github.io/Logging_1763/kartor/A 61722-2023 karta.png", "A 61722-2023")</f>
        <v/>
      </c>
      <c r="V474">
        <f>HYPERLINK("https://klasma.github.io/Logging_1763/klagomål/A 61722-2023 FSC-klagomål.docx", "A 61722-2023")</f>
        <v/>
      </c>
      <c r="W474">
        <f>HYPERLINK("https://klasma.github.io/Logging_1763/klagomålsmail/A 61722-2023 FSC-klagomål mail.docx", "A 61722-2023")</f>
        <v/>
      </c>
      <c r="X474">
        <f>HYPERLINK("https://klasma.github.io/Logging_1763/tillsyn/A 61722-2023 tillsynsbegäran.docx", "A 61722-2023")</f>
        <v/>
      </c>
      <c r="Y474">
        <f>HYPERLINK("https://klasma.github.io/Logging_1763/tillsynsmail/A 61722-2023 tillsynsbegäran mail.docx", "A 61722-2023")</f>
        <v/>
      </c>
    </row>
    <row r="475" ht="15" customHeight="1">
      <c r="A475" t="inlineStr">
        <is>
          <t>A 61654-2023</t>
        </is>
      </c>
      <c r="B475" s="1" t="n">
        <v>45265</v>
      </c>
      <c r="C475" s="1" t="n">
        <v>45353</v>
      </c>
      <c r="D475" t="inlineStr">
        <is>
          <t>VÄRMLANDS LÄN</t>
        </is>
      </c>
      <c r="E475" t="inlineStr">
        <is>
          <t>KARLSTAD</t>
        </is>
      </c>
      <c r="G475" t="n">
        <v>0.7</v>
      </c>
      <c r="H475" t="n">
        <v>1</v>
      </c>
      <c r="I475" t="n">
        <v>0</v>
      </c>
      <c r="J475" t="n">
        <v>1</v>
      </c>
      <c r="K475" t="n">
        <v>0</v>
      </c>
      <c r="L475" t="n">
        <v>0</v>
      </c>
      <c r="M475" t="n">
        <v>0</v>
      </c>
      <c r="N475" t="n">
        <v>0</v>
      </c>
      <c r="O475" t="n">
        <v>1</v>
      </c>
      <c r="P475" t="n">
        <v>0</v>
      </c>
      <c r="Q475" t="n">
        <v>1</v>
      </c>
      <c r="R475" s="2" t="inlineStr">
        <is>
          <t>Kråka</t>
        </is>
      </c>
      <c r="S475">
        <f>HYPERLINK("https://klasma.github.io/Logging_1780/artfynd/A 61654-2023 artfynd.xlsx", "A 61654-2023")</f>
        <v/>
      </c>
      <c r="T475">
        <f>HYPERLINK("https://klasma.github.io/Logging_1780/kartor/A 61654-2023 karta.png", "A 61654-2023")</f>
        <v/>
      </c>
      <c r="V475">
        <f>HYPERLINK("https://klasma.github.io/Logging_1780/klagomål/A 61654-2023 FSC-klagomål.docx", "A 61654-2023")</f>
        <v/>
      </c>
      <c r="W475">
        <f>HYPERLINK("https://klasma.github.io/Logging_1780/klagomålsmail/A 61654-2023 FSC-klagomål mail.docx", "A 61654-2023")</f>
        <v/>
      </c>
      <c r="X475">
        <f>HYPERLINK("https://klasma.github.io/Logging_1780/tillsyn/A 61654-2023 tillsynsbegäran.docx", "A 61654-2023")</f>
        <v/>
      </c>
      <c r="Y475">
        <f>HYPERLINK("https://klasma.github.io/Logging_1780/tillsynsmail/A 61654-2023 tillsynsbegäran mail.docx", "A 61654-2023")</f>
        <v/>
      </c>
    </row>
    <row r="476" ht="15" customHeight="1">
      <c r="A476" t="inlineStr">
        <is>
          <t>A 61911-2023</t>
        </is>
      </c>
      <c r="B476" s="1" t="n">
        <v>45266</v>
      </c>
      <c r="C476" s="1" t="n">
        <v>45353</v>
      </c>
      <c r="D476" t="inlineStr">
        <is>
          <t>VÄRMLANDS LÄN</t>
        </is>
      </c>
      <c r="E476" t="inlineStr">
        <is>
          <t>TORSBY</t>
        </is>
      </c>
      <c r="F476" t="inlineStr">
        <is>
          <t>Kommuner</t>
        </is>
      </c>
      <c r="G476" t="n">
        <v>9.1</v>
      </c>
      <c r="H476" t="n">
        <v>0</v>
      </c>
      <c r="I476" t="n">
        <v>0</v>
      </c>
      <c r="J476" t="n">
        <v>1</v>
      </c>
      <c r="K476" t="n">
        <v>0</v>
      </c>
      <c r="L476" t="n">
        <v>0</v>
      </c>
      <c r="M476" t="n">
        <v>0</v>
      </c>
      <c r="N476" t="n">
        <v>0</v>
      </c>
      <c r="O476" t="n">
        <v>1</v>
      </c>
      <c r="P476" t="n">
        <v>0</v>
      </c>
      <c r="Q476" t="n">
        <v>1</v>
      </c>
      <c r="R476" s="2" t="inlineStr">
        <is>
          <t>Dvärgbägarlav</t>
        </is>
      </c>
      <c r="S476">
        <f>HYPERLINK("https://klasma.github.io/Logging_1737/artfynd/A 61911-2023 artfynd.xlsx", "A 61911-2023")</f>
        <v/>
      </c>
      <c r="T476">
        <f>HYPERLINK("https://klasma.github.io/Logging_1737/kartor/A 61911-2023 karta.png", "A 61911-2023")</f>
        <v/>
      </c>
      <c r="V476">
        <f>HYPERLINK("https://klasma.github.io/Logging_1737/klagomål/A 61911-2023 FSC-klagomål.docx", "A 61911-2023")</f>
        <v/>
      </c>
      <c r="W476">
        <f>HYPERLINK("https://klasma.github.io/Logging_1737/klagomålsmail/A 61911-2023 FSC-klagomål mail.docx", "A 61911-2023")</f>
        <v/>
      </c>
      <c r="X476">
        <f>HYPERLINK("https://klasma.github.io/Logging_1737/tillsyn/A 61911-2023 tillsynsbegäran.docx", "A 61911-2023")</f>
        <v/>
      </c>
      <c r="Y476">
        <f>HYPERLINK("https://klasma.github.io/Logging_1737/tillsynsmail/A 61911-2023 tillsynsbegäran mail.docx", "A 61911-2023")</f>
        <v/>
      </c>
    </row>
    <row r="477" ht="15" customHeight="1">
      <c r="A477" t="inlineStr">
        <is>
          <t>A 62900-2023</t>
        </is>
      </c>
      <c r="B477" s="1" t="n">
        <v>45272</v>
      </c>
      <c r="C477" s="1" t="n">
        <v>45353</v>
      </c>
      <c r="D477" t="inlineStr">
        <is>
          <t>VÄRMLANDS LÄN</t>
        </is>
      </c>
      <c r="E477" t="inlineStr">
        <is>
          <t>ARVIKA</t>
        </is>
      </c>
      <c r="G477" t="n">
        <v>12.1</v>
      </c>
      <c r="H477" t="n">
        <v>1</v>
      </c>
      <c r="I477" t="n">
        <v>0</v>
      </c>
      <c r="J477" t="n">
        <v>0</v>
      </c>
      <c r="K477" t="n">
        <v>1</v>
      </c>
      <c r="L477" t="n">
        <v>0</v>
      </c>
      <c r="M477" t="n">
        <v>0</v>
      </c>
      <c r="N477" t="n">
        <v>0</v>
      </c>
      <c r="O477" t="n">
        <v>1</v>
      </c>
      <c r="P477" t="n">
        <v>1</v>
      </c>
      <c r="Q477" t="n">
        <v>1</v>
      </c>
      <c r="R477" s="2" t="inlineStr">
        <is>
          <t>Knärot</t>
        </is>
      </c>
      <c r="S477">
        <f>HYPERLINK("https://klasma.github.io/Logging_1784/artfynd/A 62900-2023 artfynd.xlsx", "A 62900-2023")</f>
        <v/>
      </c>
      <c r="T477">
        <f>HYPERLINK("https://klasma.github.io/Logging_1784/kartor/A 62900-2023 karta.png", "A 62900-2023")</f>
        <v/>
      </c>
      <c r="U477">
        <f>HYPERLINK("https://klasma.github.io/Logging_1784/knärot/A 62900-2023 karta knärot.png", "A 62900-2023")</f>
        <v/>
      </c>
      <c r="V477">
        <f>HYPERLINK("https://klasma.github.io/Logging_1784/klagomål/A 62900-2023 FSC-klagomål.docx", "A 62900-2023")</f>
        <v/>
      </c>
      <c r="W477">
        <f>HYPERLINK("https://klasma.github.io/Logging_1784/klagomålsmail/A 62900-2023 FSC-klagomål mail.docx", "A 62900-2023")</f>
        <v/>
      </c>
      <c r="X477">
        <f>HYPERLINK("https://klasma.github.io/Logging_1784/tillsyn/A 62900-2023 tillsynsbegäran.docx", "A 62900-2023")</f>
        <v/>
      </c>
      <c r="Y477">
        <f>HYPERLINK("https://klasma.github.io/Logging_1784/tillsynsmail/A 62900-2023 tillsynsbegäran mail.docx", "A 62900-2023")</f>
        <v/>
      </c>
    </row>
    <row r="478" ht="15" customHeight="1">
      <c r="A478" t="inlineStr">
        <is>
          <t>A 65201-2023</t>
        </is>
      </c>
      <c r="B478" s="1" t="n">
        <v>45289</v>
      </c>
      <c r="C478" s="1" t="n">
        <v>45353</v>
      </c>
      <c r="D478" t="inlineStr">
        <is>
          <t>VÄRMLANDS LÄN</t>
        </is>
      </c>
      <c r="E478" t="inlineStr">
        <is>
          <t>FILIPSTAD</t>
        </is>
      </c>
      <c r="F478" t="inlineStr">
        <is>
          <t>Bergvik skog väst AB</t>
        </is>
      </c>
      <c r="G478" t="n">
        <v>7.5</v>
      </c>
      <c r="H478" t="n">
        <v>1</v>
      </c>
      <c r="I478" t="n">
        <v>0</v>
      </c>
      <c r="J478" t="n">
        <v>0</v>
      </c>
      <c r="K478" t="n">
        <v>0</v>
      </c>
      <c r="L478" t="n">
        <v>0</v>
      </c>
      <c r="M478" t="n">
        <v>0</v>
      </c>
      <c r="N478" t="n">
        <v>0</v>
      </c>
      <c r="O478" t="n">
        <v>0</v>
      </c>
      <c r="P478" t="n">
        <v>0</v>
      </c>
      <c r="Q478" t="n">
        <v>1</v>
      </c>
      <c r="R478" s="2" t="inlineStr">
        <is>
          <t>Blåsippa</t>
        </is>
      </c>
      <c r="S478">
        <f>HYPERLINK("https://klasma.github.io/Logging_1782/artfynd/A 65201-2023 artfynd.xlsx", "A 65201-2023")</f>
        <v/>
      </c>
      <c r="T478">
        <f>HYPERLINK("https://klasma.github.io/Logging_1782/kartor/A 65201-2023 karta.png", "A 65201-2023")</f>
        <v/>
      </c>
      <c r="V478">
        <f>HYPERLINK("https://klasma.github.io/Logging_1782/klagomål/A 65201-2023 FSC-klagomål.docx", "A 65201-2023")</f>
        <v/>
      </c>
      <c r="W478">
        <f>HYPERLINK("https://klasma.github.io/Logging_1782/klagomålsmail/A 65201-2023 FSC-klagomål mail.docx", "A 65201-2023")</f>
        <v/>
      </c>
      <c r="X478">
        <f>HYPERLINK("https://klasma.github.io/Logging_1782/tillsyn/A 65201-2023 tillsynsbegäran.docx", "A 65201-2023")</f>
        <v/>
      </c>
      <c r="Y478">
        <f>HYPERLINK("https://klasma.github.io/Logging_1782/tillsynsmail/A 65201-2023 tillsynsbegäran mail.docx", "A 65201-2023")</f>
        <v/>
      </c>
    </row>
    <row r="479" ht="15" customHeight="1">
      <c r="A479" t="inlineStr">
        <is>
          <t>A 538-2024</t>
        </is>
      </c>
      <c r="B479" s="1" t="n">
        <v>45299</v>
      </c>
      <c r="C479" s="1" t="n">
        <v>45353</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1811-2024</t>
        </is>
      </c>
      <c r="B480" s="1" t="n">
        <v>45307</v>
      </c>
      <c r="C480" s="1" t="n">
        <v>45353</v>
      </c>
      <c r="D480" t="inlineStr">
        <is>
          <t>VÄRMLANDS LÄN</t>
        </is>
      </c>
      <c r="E480" t="inlineStr">
        <is>
          <t>TORSBY</t>
        </is>
      </c>
      <c r="G480" t="n">
        <v>12.1</v>
      </c>
      <c r="H480" t="n">
        <v>1</v>
      </c>
      <c r="I480" t="n">
        <v>0</v>
      </c>
      <c r="J480" t="n">
        <v>0</v>
      </c>
      <c r="K480" t="n">
        <v>0</v>
      </c>
      <c r="L480" t="n">
        <v>0</v>
      </c>
      <c r="M480" t="n">
        <v>0</v>
      </c>
      <c r="N480" t="n">
        <v>0</v>
      </c>
      <c r="O480" t="n">
        <v>0</v>
      </c>
      <c r="P480" t="n">
        <v>0</v>
      </c>
      <c r="Q480" t="n">
        <v>1</v>
      </c>
      <c r="R480" s="2" t="inlineStr">
        <is>
          <t>Revlummer</t>
        </is>
      </c>
      <c r="S480">
        <f>HYPERLINK("https://klasma.github.io/Logging_1737/artfynd/A 1811-2024 artfynd.xlsx", "A 1811-2024")</f>
        <v/>
      </c>
      <c r="T480">
        <f>HYPERLINK("https://klasma.github.io/Logging_1737/kartor/A 1811-2024 karta.png", "A 1811-2024")</f>
        <v/>
      </c>
      <c r="V480">
        <f>HYPERLINK("https://klasma.github.io/Logging_1737/klagomål/A 1811-2024 FSC-klagomål.docx", "A 1811-2024")</f>
        <v/>
      </c>
      <c r="W480">
        <f>HYPERLINK("https://klasma.github.io/Logging_1737/klagomålsmail/A 1811-2024 FSC-klagomål mail.docx", "A 1811-2024")</f>
        <v/>
      </c>
      <c r="X480">
        <f>HYPERLINK("https://klasma.github.io/Logging_1737/tillsyn/A 1811-2024 tillsynsbegäran.docx", "A 1811-2024")</f>
        <v/>
      </c>
      <c r="Y480">
        <f>HYPERLINK("https://klasma.github.io/Logging_1737/tillsynsmail/A 1811-2024 tillsynsbegäran mail.docx", "A 1811-2024")</f>
        <v/>
      </c>
    </row>
    <row r="481" ht="15" customHeight="1">
      <c r="A481" t="inlineStr">
        <is>
          <t>A 2039-2024</t>
        </is>
      </c>
      <c r="B481" s="1" t="n">
        <v>45308</v>
      </c>
      <c r="C481" s="1" t="n">
        <v>45353</v>
      </c>
      <c r="D481" t="inlineStr">
        <is>
          <t>VÄRMLANDS LÄN</t>
        </is>
      </c>
      <c r="E481" t="inlineStr">
        <is>
          <t>TORSBY</t>
        </is>
      </c>
      <c r="G481" t="n">
        <v>6.4</v>
      </c>
      <c r="H481" t="n">
        <v>1</v>
      </c>
      <c r="I481" t="n">
        <v>0</v>
      </c>
      <c r="J481" t="n">
        <v>1</v>
      </c>
      <c r="K481" t="n">
        <v>0</v>
      </c>
      <c r="L481" t="n">
        <v>0</v>
      </c>
      <c r="M481" t="n">
        <v>0</v>
      </c>
      <c r="N481" t="n">
        <v>0</v>
      </c>
      <c r="O481" t="n">
        <v>1</v>
      </c>
      <c r="P481" t="n">
        <v>0</v>
      </c>
      <c r="Q481" t="n">
        <v>1</v>
      </c>
      <c r="R481" s="2" t="inlineStr">
        <is>
          <t>Kungsörn</t>
        </is>
      </c>
      <c r="S481">
        <f>HYPERLINK("https://klasma.github.io/Logging_1737/artfynd/A 2039-2024 artfynd.xlsx", "A 2039-2024")</f>
        <v/>
      </c>
      <c r="T481">
        <f>HYPERLINK("https://klasma.github.io/Logging_1737/kartor/A 2039-2024 karta.png", "A 2039-2024")</f>
        <v/>
      </c>
      <c r="V481">
        <f>HYPERLINK("https://klasma.github.io/Logging_1737/klagomål/A 2039-2024 FSC-klagomål.docx", "A 2039-2024")</f>
        <v/>
      </c>
      <c r="W481">
        <f>HYPERLINK("https://klasma.github.io/Logging_1737/klagomålsmail/A 2039-2024 FSC-klagomål mail.docx", "A 2039-2024")</f>
        <v/>
      </c>
      <c r="X481">
        <f>HYPERLINK("https://klasma.github.io/Logging_1737/tillsyn/A 2039-2024 tillsynsbegäran.docx", "A 2039-2024")</f>
        <v/>
      </c>
      <c r="Y481">
        <f>HYPERLINK("https://klasma.github.io/Logging_1737/tillsynsmail/A 2039-2024 tillsynsbegäran mail.docx", "A 2039-2024")</f>
        <v/>
      </c>
      <c r="Z481">
        <f>HYPERLINK("https://klasma.github.io/Logging_1737/fåglar/A 2039-2024 prioriterade fågelarter.docx", "A 2039-2024")</f>
        <v/>
      </c>
    </row>
    <row r="482" ht="15" customHeight="1">
      <c r="A482" t="inlineStr">
        <is>
          <t>A 2383-2024</t>
        </is>
      </c>
      <c r="B482" s="1" t="n">
        <v>45310</v>
      </c>
      <c r="C482" s="1" t="n">
        <v>45353</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4134-2024</t>
        </is>
      </c>
      <c r="B483" s="1" t="n">
        <v>45323</v>
      </c>
      <c r="C483" s="1" t="n">
        <v>45353</v>
      </c>
      <c r="D483" t="inlineStr">
        <is>
          <t>VÄRMLANDS LÄN</t>
        </is>
      </c>
      <c r="E483" t="inlineStr">
        <is>
          <t>SÄFFLE</t>
        </is>
      </c>
      <c r="G483" t="n">
        <v>4.1</v>
      </c>
      <c r="H483" t="n">
        <v>0</v>
      </c>
      <c r="I483" t="n">
        <v>0</v>
      </c>
      <c r="J483" t="n">
        <v>0</v>
      </c>
      <c r="K483" t="n">
        <v>0</v>
      </c>
      <c r="L483" t="n">
        <v>1</v>
      </c>
      <c r="M483" t="n">
        <v>0</v>
      </c>
      <c r="N483" t="n">
        <v>0</v>
      </c>
      <c r="O483" t="n">
        <v>1</v>
      </c>
      <c r="P483" t="n">
        <v>1</v>
      </c>
      <c r="Q483" t="n">
        <v>1</v>
      </c>
      <c r="R483" s="2" t="inlineStr">
        <is>
          <t>Ryl</t>
        </is>
      </c>
      <c r="S483">
        <f>HYPERLINK("https://klasma.github.io/Logging_1785/artfynd/A 4134-2024 artfynd.xlsx", "A 4134-2024")</f>
        <v/>
      </c>
      <c r="T483">
        <f>HYPERLINK("https://klasma.github.io/Logging_1785/kartor/A 4134-2024 karta.png", "A 4134-2024")</f>
        <v/>
      </c>
      <c r="V483">
        <f>HYPERLINK("https://klasma.github.io/Logging_1785/klagomål/A 4134-2024 FSC-klagomål.docx", "A 4134-2024")</f>
        <v/>
      </c>
      <c r="W483">
        <f>HYPERLINK("https://klasma.github.io/Logging_1785/klagomålsmail/A 4134-2024 FSC-klagomål mail.docx", "A 4134-2024")</f>
        <v/>
      </c>
      <c r="X483">
        <f>HYPERLINK("https://klasma.github.io/Logging_1785/tillsyn/A 4134-2024 tillsynsbegäran.docx", "A 4134-2024")</f>
        <v/>
      </c>
      <c r="Y483">
        <f>HYPERLINK("https://klasma.github.io/Logging_1785/tillsynsmail/A 4134-2024 tillsynsbegäran mail.docx", "A 4134-2024")</f>
        <v/>
      </c>
    </row>
    <row r="484" ht="15" customHeight="1">
      <c r="A484" t="inlineStr">
        <is>
          <t>A 4985-2024</t>
        </is>
      </c>
      <c r="B484" s="1" t="n">
        <v>45329</v>
      </c>
      <c r="C484" s="1" t="n">
        <v>45353</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Garnlav</t>
        </is>
      </c>
      <c r="S484">
        <f>HYPERLINK("https://klasma.github.io/Logging_1737/artfynd/A 4985-2024 artfynd.xlsx", "A 4985-2024")</f>
        <v/>
      </c>
      <c r="T484">
        <f>HYPERLINK("https://klasma.github.io/Logging_1737/kartor/A 4985-2024 karta.png", "A 4985-2024")</f>
        <v/>
      </c>
      <c r="V484">
        <f>HYPERLINK("https://klasma.github.io/Logging_1737/klagomål/A 4985-2024 FSC-klagomål.docx", "A 4985-2024")</f>
        <v/>
      </c>
      <c r="W484">
        <f>HYPERLINK("https://klasma.github.io/Logging_1737/klagomålsmail/A 4985-2024 FSC-klagomål mail.docx", "A 4985-2024")</f>
        <v/>
      </c>
      <c r="X484">
        <f>HYPERLINK("https://klasma.github.io/Logging_1737/tillsyn/A 4985-2024 tillsynsbegäran.docx", "A 4985-2024")</f>
        <v/>
      </c>
      <c r="Y484">
        <f>HYPERLINK("https://klasma.github.io/Logging_1737/tillsynsmail/A 4985-2024 tillsynsbegäran mail.docx", "A 4985-2024")</f>
        <v/>
      </c>
    </row>
    <row r="485" ht="15" customHeight="1">
      <c r="A485" t="inlineStr">
        <is>
          <t>A 6132-2024</t>
        </is>
      </c>
      <c r="B485" s="1" t="n">
        <v>45337</v>
      </c>
      <c r="C485" s="1" t="n">
        <v>45353</v>
      </c>
      <c r="D485" t="inlineStr">
        <is>
          <t>VÄRMLANDS LÄN</t>
        </is>
      </c>
      <c r="E485" t="inlineStr">
        <is>
          <t>HAGFORS</t>
        </is>
      </c>
      <c r="G485" t="n">
        <v>3.6</v>
      </c>
      <c r="H485" t="n">
        <v>0</v>
      </c>
      <c r="I485" t="n">
        <v>1</v>
      </c>
      <c r="J485" t="n">
        <v>0</v>
      </c>
      <c r="K485" t="n">
        <v>0</v>
      </c>
      <c r="L485" t="n">
        <v>0</v>
      </c>
      <c r="M485" t="n">
        <v>0</v>
      </c>
      <c r="N485" t="n">
        <v>0</v>
      </c>
      <c r="O485" t="n">
        <v>0</v>
      </c>
      <c r="P485" t="n">
        <v>0</v>
      </c>
      <c r="Q485" t="n">
        <v>1</v>
      </c>
      <c r="R485" s="2" t="inlineStr">
        <is>
          <t>Mindre märgborre</t>
        </is>
      </c>
      <c r="S485">
        <f>HYPERLINK("https://klasma.github.io/Logging_1783/artfynd/A 6132-2024 artfynd.xlsx", "A 6132-2024")</f>
        <v/>
      </c>
      <c r="T485">
        <f>HYPERLINK("https://klasma.github.io/Logging_1783/kartor/A 6132-2024 karta.png", "A 6132-2024")</f>
        <v/>
      </c>
      <c r="V485">
        <f>HYPERLINK("https://klasma.github.io/Logging_1783/klagomål/A 6132-2024 FSC-klagomål.docx", "A 6132-2024")</f>
        <v/>
      </c>
      <c r="W485">
        <f>HYPERLINK("https://klasma.github.io/Logging_1783/klagomålsmail/A 6132-2024 FSC-klagomål mail.docx", "A 6132-2024")</f>
        <v/>
      </c>
      <c r="X485">
        <f>HYPERLINK("https://klasma.github.io/Logging_1783/tillsyn/A 6132-2024 tillsynsbegäran.docx", "A 6132-2024")</f>
        <v/>
      </c>
      <c r="Y485">
        <f>HYPERLINK("https://klasma.github.io/Logging_1783/tillsynsmail/A 6132-2024 tillsynsbegäran mail.docx", "A 6132-2024")</f>
        <v/>
      </c>
    </row>
    <row r="486" ht="15" customHeight="1">
      <c r="A486" t="inlineStr">
        <is>
          <t>A 33955-2018</t>
        </is>
      </c>
      <c r="B486" s="1" t="n">
        <v>43314</v>
      </c>
      <c r="C486" s="1" t="n">
        <v>45353</v>
      </c>
      <c r="D486" t="inlineStr">
        <is>
          <t>VÄRMLANDS LÄN</t>
        </is>
      </c>
      <c r="E486" t="inlineStr">
        <is>
          <t>TORSBY</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34353-2018</t>
        </is>
      </c>
      <c r="B487" s="1" t="n">
        <v>43318</v>
      </c>
      <c r="C487" s="1" t="n">
        <v>45353</v>
      </c>
      <c r="D487" t="inlineStr">
        <is>
          <t>VÄRMLANDS LÄN</t>
        </is>
      </c>
      <c r="E487" t="inlineStr">
        <is>
          <t>FILIPSTAD</t>
        </is>
      </c>
      <c r="G487" t="n">
        <v>2.2</v>
      </c>
      <c r="H487" t="n">
        <v>0</v>
      </c>
      <c r="I487" t="n">
        <v>0</v>
      </c>
      <c r="J487" t="n">
        <v>0</v>
      </c>
      <c r="K487" t="n">
        <v>0</v>
      </c>
      <c r="L487" t="n">
        <v>0</v>
      </c>
      <c r="M487" t="n">
        <v>0</v>
      </c>
      <c r="N487" t="n">
        <v>0</v>
      </c>
      <c r="O487" t="n">
        <v>0</v>
      </c>
      <c r="P487" t="n">
        <v>0</v>
      </c>
      <c r="Q487" t="n">
        <v>0</v>
      </c>
      <c r="R487" s="2" t="inlineStr"/>
    </row>
    <row r="488" ht="15" customHeight="1">
      <c r="A488" t="inlineStr">
        <is>
          <t>A 34371-2018</t>
        </is>
      </c>
      <c r="B488" s="1" t="n">
        <v>43319</v>
      </c>
      <c r="C488" s="1" t="n">
        <v>45353</v>
      </c>
      <c r="D488" t="inlineStr">
        <is>
          <t>VÄRMLANDS LÄN</t>
        </is>
      </c>
      <c r="E488" t="inlineStr">
        <is>
          <t>SÄFFLE</t>
        </is>
      </c>
      <c r="G488" t="n">
        <v>0.4</v>
      </c>
      <c r="H488" t="n">
        <v>0</v>
      </c>
      <c r="I488" t="n">
        <v>0</v>
      </c>
      <c r="J488" t="n">
        <v>0</v>
      </c>
      <c r="K488" t="n">
        <v>0</v>
      </c>
      <c r="L488" t="n">
        <v>0</v>
      </c>
      <c r="M488" t="n">
        <v>0</v>
      </c>
      <c r="N488" t="n">
        <v>0</v>
      </c>
      <c r="O488" t="n">
        <v>0</v>
      </c>
      <c r="P488" t="n">
        <v>0</v>
      </c>
      <c r="Q488" t="n">
        <v>0</v>
      </c>
      <c r="R488" s="2" t="inlineStr"/>
    </row>
    <row r="489" ht="15" customHeight="1">
      <c r="A489" t="inlineStr">
        <is>
          <t>A 34378-2018</t>
        </is>
      </c>
      <c r="B489" s="1" t="n">
        <v>43319</v>
      </c>
      <c r="C489" s="1" t="n">
        <v>45353</v>
      </c>
      <c r="D489" t="inlineStr">
        <is>
          <t>VÄRMLANDS LÄN</t>
        </is>
      </c>
      <c r="E489" t="inlineStr">
        <is>
          <t>SÄFFLE</t>
        </is>
      </c>
      <c r="G489" t="n">
        <v>1.1</v>
      </c>
      <c r="H489" t="n">
        <v>0</v>
      </c>
      <c r="I489" t="n">
        <v>0</v>
      </c>
      <c r="J489" t="n">
        <v>0</v>
      </c>
      <c r="K489" t="n">
        <v>0</v>
      </c>
      <c r="L489" t="n">
        <v>0</v>
      </c>
      <c r="M489" t="n">
        <v>0</v>
      </c>
      <c r="N489" t="n">
        <v>0</v>
      </c>
      <c r="O489" t="n">
        <v>0</v>
      </c>
      <c r="P489" t="n">
        <v>0</v>
      </c>
      <c r="Q489" t="n">
        <v>0</v>
      </c>
      <c r="R489" s="2" t="inlineStr"/>
    </row>
    <row r="490" ht="15" customHeight="1">
      <c r="A490" t="inlineStr">
        <is>
          <t>A 34562-2018</t>
        </is>
      </c>
      <c r="B490" s="1" t="n">
        <v>43320</v>
      </c>
      <c r="C490" s="1" t="n">
        <v>45353</v>
      </c>
      <c r="D490" t="inlineStr">
        <is>
          <t>VÄRMLANDS LÄN</t>
        </is>
      </c>
      <c r="E490" t="inlineStr">
        <is>
          <t>TORSBY</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34557-2018</t>
        </is>
      </c>
      <c r="B491" s="1" t="n">
        <v>43320</v>
      </c>
      <c r="C491" s="1" t="n">
        <v>45353</v>
      </c>
      <c r="D491" t="inlineStr">
        <is>
          <t>VÄRMLANDS LÄN</t>
        </is>
      </c>
      <c r="E491" t="inlineStr">
        <is>
          <t>HAGFORS</t>
        </is>
      </c>
      <c r="F491" t="inlineStr">
        <is>
          <t>Kyrkan</t>
        </is>
      </c>
      <c r="G491" t="n">
        <v>20.4</v>
      </c>
      <c r="H491" t="n">
        <v>0</v>
      </c>
      <c r="I491" t="n">
        <v>0</v>
      </c>
      <c r="J491" t="n">
        <v>0</v>
      </c>
      <c r="K491" t="n">
        <v>0</v>
      </c>
      <c r="L491" t="n">
        <v>0</v>
      </c>
      <c r="M491" t="n">
        <v>0</v>
      </c>
      <c r="N491" t="n">
        <v>0</v>
      </c>
      <c r="O491" t="n">
        <v>0</v>
      </c>
      <c r="P491" t="n">
        <v>0</v>
      </c>
      <c r="Q491" t="n">
        <v>0</v>
      </c>
      <c r="R491" s="2" t="inlineStr"/>
    </row>
    <row r="492" ht="15" customHeight="1">
      <c r="A492" t="inlineStr">
        <is>
          <t>A 35034-2018</t>
        </is>
      </c>
      <c r="B492" s="1" t="n">
        <v>43322</v>
      </c>
      <c r="C492" s="1" t="n">
        <v>45353</v>
      </c>
      <c r="D492" t="inlineStr">
        <is>
          <t>VÄRMLANDS LÄN</t>
        </is>
      </c>
      <c r="E492" t="inlineStr">
        <is>
          <t>SUNNE</t>
        </is>
      </c>
      <c r="G492" t="n">
        <v>9.1</v>
      </c>
      <c r="H492" t="n">
        <v>0</v>
      </c>
      <c r="I492" t="n">
        <v>0</v>
      </c>
      <c r="J492" t="n">
        <v>0</v>
      </c>
      <c r="K492" t="n">
        <v>0</v>
      </c>
      <c r="L492" t="n">
        <v>0</v>
      </c>
      <c r="M492" t="n">
        <v>0</v>
      </c>
      <c r="N492" t="n">
        <v>0</v>
      </c>
      <c r="O492" t="n">
        <v>0</v>
      </c>
      <c r="P492" t="n">
        <v>0</v>
      </c>
      <c r="Q492" t="n">
        <v>0</v>
      </c>
      <c r="R492" s="2" t="inlineStr"/>
    </row>
    <row r="493" ht="15" customHeight="1">
      <c r="A493" t="inlineStr">
        <is>
          <t>A 35617-2018</t>
        </is>
      </c>
      <c r="B493" s="1" t="n">
        <v>43322</v>
      </c>
      <c r="C493" s="1" t="n">
        <v>45353</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35622-2018</t>
        </is>
      </c>
      <c r="B494" s="1" t="n">
        <v>43322</v>
      </c>
      <c r="C494" s="1" t="n">
        <v>45353</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35608-2018</t>
        </is>
      </c>
      <c r="B495" s="1" t="n">
        <v>43325</v>
      </c>
      <c r="C495" s="1" t="n">
        <v>45353</v>
      </c>
      <c r="D495" t="inlineStr">
        <is>
          <t>VÄRMLANDS LÄN</t>
        </is>
      </c>
      <c r="E495" t="inlineStr">
        <is>
          <t>SUNNE</t>
        </is>
      </c>
      <c r="G495" t="n">
        <v>2.5</v>
      </c>
      <c r="H495" t="n">
        <v>0</v>
      </c>
      <c r="I495" t="n">
        <v>0</v>
      </c>
      <c r="J495" t="n">
        <v>0</v>
      </c>
      <c r="K495" t="n">
        <v>0</v>
      </c>
      <c r="L495" t="n">
        <v>0</v>
      </c>
      <c r="M495" t="n">
        <v>0</v>
      </c>
      <c r="N495" t="n">
        <v>0</v>
      </c>
      <c r="O495" t="n">
        <v>0</v>
      </c>
      <c r="P495" t="n">
        <v>0</v>
      </c>
      <c r="Q495" t="n">
        <v>0</v>
      </c>
      <c r="R495" s="2" t="inlineStr"/>
    </row>
    <row r="496" ht="15" customHeight="1">
      <c r="A496" t="inlineStr">
        <is>
          <t>A 35728-2018</t>
        </is>
      </c>
      <c r="B496" s="1" t="n">
        <v>43325</v>
      </c>
      <c r="C496" s="1" t="n">
        <v>45353</v>
      </c>
      <c r="D496" t="inlineStr">
        <is>
          <t>VÄRMLANDS LÄN</t>
        </is>
      </c>
      <c r="E496" t="inlineStr">
        <is>
          <t>SÄFFLE</t>
        </is>
      </c>
      <c r="G496" t="n">
        <v>2.5</v>
      </c>
      <c r="H496" t="n">
        <v>0</v>
      </c>
      <c r="I496" t="n">
        <v>0</v>
      </c>
      <c r="J496" t="n">
        <v>0</v>
      </c>
      <c r="K496" t="n">
        <v>0</v>
      </c>
      <c r="L496" t="n">
        <v>0</v>
      </c>
      <c r="M496" t="n">
        <v>0</v>
      </c>
      <c r="N496" t="n">
        <v>0</v>
      </c>
      <c r="O496" t="n">
        <v>0</v>
      </c>
      <c r="P496" t="n">
        <v>0</v>
      </c>
      <c r="Q496" t="n">
        <v>0</v>
      </c>
      <c r="R496" s="2" t="inlineStr"/>
    </row>
    <row r="497" ht="15" customHeight="1">
      <c r="A497" t="inlineStr">
        <is>
          <t>A 35642-2018</t>
        </is>
      </c>
      <c r="B497" s="1" t="n">
        <v>43325</v>
      </c>
      <c r="C497" s="1" t="n">
        <v>45353</v>
      </c>
      <c r="D497" t="inlineStr">
        <is>
          <t>VÄRMLANDS LÄN</t>
        </is>
      </c>
      <c r="E497" t="inlineStr">
        <is>
          <t>ARVIKA</t>
        </is>
      </c>
      <c r="G497" t="n">
        <v>4.6</v>
      </c>
      <c r="H497" t="n">
        <v>0</v>
      </c>
      <c r="I497" t="n">
        <v>0</v>
      </c>
      <c r="J497" t="n">
        <v>0</v>
      </c>
      <c r="K497" t="n">
        <v>0</v>
      </c>
      <c r="L497" t="n">
        <v>0</v>
      </c>
      <c r="M497" t="n">
        <v>0</v>
      </c>
      <c r="N497" t="n">
        <v>0</v>
      </c>
      <c r="O497" t="n">
        <v>0</v>
      </c>
      <c r="P497" t="n">
        <v>0</v>
      </c>
      <c r="Q497" t="n">
        <v>0</v>
      </c>
      <c r="R497" s="2" t="inlineStr"/>
    </row>
    <row r="498" ht="15" customHeight="1">
      <c r="A498" t="inlineStr">
        <is>
          <t>A 35872-2018</t>
        </is>
      </c>
      <c r="B498" s="1" t="n">
        <v>43326</v>
      </c>
      <c r="C498" s="1" t="n">
        <v>45353</v>
      </c>
      <c r="D498" t="inlineStr">
        <is>
          <t>VÄRMLANDS LÄN</t>
        </is>
      </c>
      <c r="E498" t="inlineStr">
        <is>
          <t>KRISTINEHAMN</t>
        </is>
      </c>
      <c r="G498" t="n">
        <v>0.5</v>
      </c>
      <c r="H498" t="n">
        <v>0</v>
      </c>
      <c r="I498" t="n">
        <v>0</v>
      </c>
      <c r="J498" t="n">
        <v>0</v>
      </c>
      <c r="K498" t="n">
        <v>0</v>
      </c>
      <c r="L498" t="n">
        <v>0</v>
      </c>
      <c r="M498" t="n">
        <v>0</v>
      </c>
      <c r="N498" t="n">
        <v>0</v>
      </c>
      <c r="O498" t="n">
        <v>0</v>
      </c>
      <c r="P498" t="n">
        <v>0</v>
      </c>
      <c r="Q498" t="n">
        <v>0</v>
      </c>
      <c r="R498" s="2" t="inlineStr"/>
    </row>
    <row r="499" ht="15" customHeight="1">
      <c r="A499" t="inlineStr">
        <is>
          <t>A 35583-2018</t>
        </is>
      </c>
      <c r="B499" s="1" t="n">
        <v>43326</v>
      </c>
      <c r="C499" s="1" t="n">
        <v>45353</v>
      </c>
      <c r="D499" t="inlineStr">
        <is>
          <t>VÄRMLANDS LÄN</t>
        </is>
      </c>
      <c r="E499" t="inlineStr">
        <is>
          <t>ÅRJÄNG</t>
        </is>
      </c>
      <c r="G499" t="n">
        <v>4.2</v>
      </c>
      <c r="H499" t="n">
        <v>0</v>
      </c>
      <c r="I499" t="n">
        <v>0</v>
      </c>
      <c r="J499" t="n">
        <v>0</v>
      </c>
      <c r="K499" t="n">
        <v>0</v>
      </c>
      <c r="L499" t="n">
        <v>0</v>
      </c>
      <c r="M499" t="n">
        <v>0</v>
      </c>
      <c r="N499" t="n">
        <v>0</v>
      </c>
      <c r="O499" t="n">
        <v>0</v>
      </c>
      <c r="P499" t="n">
        <v>0</v>
      </c>
      <c r="Q499" t="n">
        <v>0</v>
      </c>
      <c r="R499" s="2" t="inlineStr"/>
    </row>
    <row r="500" ht="15" customHeight="1">
      <c r="A500" t="inlineStr">
        <is>
          <t>A 35634-2018</t>
        </is>
      </c>
      <c r="B500" s="1" t="n">
        <v>43326</v>
      </c>
      <c r="C500" s="1" t="n">
        <v>45353</v>
      </c>
      <c r="D500" t="inlineStr">
        <is>
          <t>VÄRMLANDS LÄN</t>
        </is>
      </c>
      <c r="E500" t="inlineStr">
        <is>
          <t>SUNNE</t>
        </is>
      </c>
      <c r="G500" t="n">
        <v>1</v>
      </c>
      <c r="H500" t="n">
        <v>0</v>
      </c>
      <c r="I500" t="n">
        <v>0</v>
      </c>
      <c r="J500" t="n">
        <v>0</v>
      </c>
      <c r="K500" t="n">
        <v>0</v>
      </c>
      <c r="L500" t="n">
        <v>0</v>
      </c>
      <c r="M500" t="n">
        <v>0</v>
      </c>
      <c r="N500" t="n">
        <v>0</v>
      </c>
      <c r="O500" t="n">
        <v>0</v>
      </c>
      <c r="P500" t="n">
        <v>0</v>
      </c>
      <c r="Q500" t="n">
        <v>0</v>
      </c>
      <c r="R500" s="2" t="inlineStr"/>
    </row>
    <row r="501" ht="15" customHeight="1">
      <c r="A501" t="inlineStr">
        <is>
          <t>A 35886-2018</t>
        </is>
      </c>
      <c r="B501" s="1" t="n">
        <v>43326</v>
      </c>
      <c r="C501" s="1" t="n">
        <v>45353</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35581-2018</t>
        </is>
      </c>
      <c r="B502" s="1" t="n">
        <v>43326</v>
      </c>
      <c r="C502" s="1" t="n">
        <v>45353</v>
      </c>
      <c r="D502" t="inlineStr">
        <is>
          <t>VÄRMLANDS LÄN</t>
        </is>
      </c>
      <c r="E502" t="inlineStr">
        <is>
          <t>EDA</t>
        </is>
      </c>
      <c r="G502" t="n">
        <v>11</v>
      </c>
      <c r="H502" t="n">
        <v>0</v>
      </c>
      <c r="I502" t="n">
        <v>0</v>
      </c>
      <c r="J502" t="n">
        <v>0</v>
      </c>
      <c r="K502" t="n">
        <v>0</v>
      </c>
      <c r="L502" t="n">
        <v>0</v>
      </c>
      <c r="M502" t="n">
        <v>0</v>
      </c>
      <c r="N502" t="n">
        <v>0</v>
      </c>
      <c r="O502" t="n">
        <v>0</v>
      </c>
      <c r="P502" t="n">
        <v>0</v>
      </c>
      <c r="Q502" t="n">
        <v>0</v>
      </c>
      <c r="R502" s="2" t="inlineStr"/>
    </row>
    <row r="503" ht="15" customHeight="1">
      <c r="A503" t="inlineStr">
        <is>
          <t>A 36294-2018</t>
        </is>
      </c>
      <c r="B503" s="1" t="n">
        <v>43327</v>
      </c>
      <c r="C503" s="1" t="n">
        <v>45353</v>
      </c>
      <c r="D503" t="inlineStr">
        <is>
          <t>VÄRMLANDS LÄN</t>
        </is>
      </c>
      <c r="E503" t="inlineStr">
        <is>
          <t>SÄFFLE</t>
        </is>
      </c>
      <c r="G503" t="n">
        <v>0.9</v>
      </c>
      <c r="H503" t="n">
        <v>0</v>
      </c>
      <c r="I503" t="n">
        <v>0</v>
      </c>
      <c r="J503" t="n">
        <v>0</v>
      </c>
      <c r="K503" t="n">
        <v>0</v>
      </c>
      <c r="L503" t="n">
        <v>0</v>
      </c>
      <c r="M503" t="n">
        <v>0</v>
      </c>
      <c r="N503" t="n">
        <v>0</v>
      </c>
      <c r="O503" t="n">
        <v>0</v>
      </c>
      <c r="P503" t="n">
        <v>0</v>
      </c>
      <c r="Q503" t="n">
        <v>0</v>
      </c>
      <c r="R503" s="2" t="inlineStr"/>
    </row>
    <row r="504" ht="15" customHeight="1">
      <c r="A504" t="inlineStr">
        <is>
          <t>A 36295-2018</t>
        </is>
      </c>
      <c r="B504" s="1" t="n">
        <v>43327</v>
      </c>
      <c r="C504" s="1" t="n">
        <v>45353</v>
      </c>
      <c r="D504" t="inlineStr">
        <is>
          <t>VÄRMLANDS LÄN</t>
        </is>
      </c>
      <c r="E504" t="inlineStr">
        <is>
          <t>SÄFFLE</t>
        </is>
      </c>
      <c r="G504" t="n">
        <v>1.2</v>
      </c>
      <c r="H504" t="n">
        <v>0</v>
      </c>
      <c r="I504" t="n">
        <v>0</v>
      </c>
      <c r="J504" t="n">
        <v>0</v>
      </c>
      <c r="K504" t="n">
        <v>0</v>
      </c>
      <c r="L504" t="n">
        <v>0</v>
      </c>
      <c r="M504" t="n">
        <v>0</v>
      </c>
      <c r="N504" t="n">
        <v>0</v>
      </c>
      <c r="O504" t="n">
        <v>0</v>
      </c>
      <c r="P504" t="n">
        <v>0</v>
      </c>
      <c r="Q504" t="n">
        <v>0</v>
      </c>
      <c r="R504" s="2" t="inlineStr"/>
    </row>
    <row r="505" ht="15" customHeight="1">
      <c r="A505" t="inlineStr">
        <is>
          <t>A 36166-2018</t>
        </is>
      </c>
      <c r="B505" s="1" t="n">
        <v>43328</v>
      </c>
      <c r="C505" s="1" t="n">
        <v>45353</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36179-2018</t>
        </is>
      </c>
      <c r="B506" s="1" t="n">
        <v>43328</v>
      </c>
      <c r="C506" s="1" t="n">
        <v>45353</v>
      </c>
      <c r="D506" t="inlineStr">
        <is>
          <t>VÄRMLANDS LÄN</t>
        </is>
      </c>
      <c r="E506" t="inlineStr">
        <is>
          <t>SUNNE</t>
        </is>
      </c>
      <c r="G506" t="n">
        <v>1.3</v>
      </c>
      <c r="H506" t="n">
        <v>0</v>
      </c>
      <c r="I506" t="n">
        <v>0</v>
      </c>
      <c r="J506" t="n">
        <v>0</v>
      </c>
      <c r="K506" t="n">
        <v>0</v>
      </c>
      <c r="L506" t="n">
        <v>0</v>
      </c>
      <c r="M506" t="n">
        <v>0</v>
      </c>
      <c r="N506" t="n">
        <v>0</v>
      </c>
      <c r="O506" t="n">
        <v>0</v>
      </c>
      <c r="P506" t="n">
        <v>0</v>
      </c>
      <c r="Q506" t="n">
        <v>0</v>
      </c>
      <c r="R506" s="2" t="inlineStr"/>
    </row>
    <row r="507" ht="15" customHeight="1">
      <c r="A507" t="inlineStr">
        <is>
          <t>A 36909-2018</t>
        </is>
      </c>
      <c r="B507" s="1" t="n">
        <v>43332</v>
      </c>
      <c r="C507" s="1" t="n">
        <v>45353</v>
      </c>
      <c r="D507" t="inlineStr">
        <is>
          <t>VÄRMLANDS LÄN</t>
        </is>
      </c>
      <c r="E507" t="inlineStr">
        <is>
          <t>SÄFFLE</t>
        </is>
      </c>
      <c r="G507" t="n">
        <v>1.1</v>
      </c>
      <c r="H507" t="n">
        <v>0</v>
      </c>
      <c r="I507" t="n">
        <v>0</v>
      </c>
      <c r="J507" t="n">
        <v>0</v>
      </c>
      <c r="K507" t="n">
        <v>0</v>
      </c>
      <c r="L507" t="n">
        <v>0</v>
      </c>
      <c r="M507" t="n">
        <v>0</v>
      </c>
      <c r="N507" t="n">
        <v>0</v>
      </c>
      <c r="O507" t="n">
        <v>0</v>
      </c>
      <c r="P507" t="n">
        <v>0</v>
      </c>
      <c r="Q507" t="n">
        <v>0</v>
      </c>
      <c r="R507" s="2" t="inlineStr"/>
    </row>
    <row r="508" ht="15" customHeight="1">
      <c r="A508" t="inlineStr">
        <is>
          <t>A 36930-2018</t>
        </is>
      </c>
      <c r="B508" s="1" t="n">
        <v>43332</v>
      </c>
      <c r="C508" s="1" t="n">
        <v>45353</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37081-2018</t>
        </is>
      </c>
      <c r="B509" s="1" t="n">
        <v>43332</v>
      </c>
      <c r="C509" s="1" t="n">
        <v>45353</v>
      </c>
      <c r="D509" t="inlineStr">
        <is>
          <t>VÄRMLANDS LÄN</t>
        </is>
      </c>
      <c r="E509" t="inlineStr">
        <is>
          <t>FILIPSTAD</t>
        </is>
      </c>
      <c r="G509" t="n">
        <v>1.6</v>
      </c>
      <c r="H509" t="n">
        <v>0</v>
      </c>
      <c r="I509" t="n">
        <v>0</v>
      </c>
      <c r="J509" t="n">
        <v>0</v>
      </c>
      <c r="K509" t="n">
        <v>0</v>
      </c>
      <c r="L509" t="n">
        <v>0</v>
      </c>
      <c r="M509" t="n">
        <v>0</v>
      </c>
      <c r="N509" t="n">
        <v>0</v>
      </c>
      <c r="O509" t="n">
        <v>0</v>
      </c>
      <c r="P509" t="n">
        <v>0</v>
      </c>
      <c r="Q509" t="n">
        <v>0</v>
      </c>
      <c r="R509" s="2" t="inlineStr"/>
    </row>
    <row r="510" ht="15" customHeight="1">
      <c r="A510" t="inlineStr">
        <is>
          <t>A 37710-2018</t>
        </is>
      </c>
      <c r="B510" s="1" t="n">
        <v>43332</v>
      </c>
      <c r="C510" s="1" t="n">
        <v>45353</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37172-2018</t>
        </is>
      </c>
      <c r="B511" s="1" t="n">
        <v>43333</v>
      </c>
      <c r="C511" s="1" t="n">
        <v>45353</v>
      </c>
      <c r="D511" t="inlineStr">
        <is>
          <t>VÄRMLANDS LÄN</t>
        </is>
      </c>
      <c r="E511" t="inlineStr">
        <is>
          <t>KRISTINEHAMN</t>
        </is>
      </c>
      <c r="G511" t="n">
        <v>3</v>
      </c>
      <c r="H511" t="n">
        <v>0</v>
      </c>
      <c r="I511" t="n">
        <v>0</v>
      </c>
      <c r="J511" t="n">
        <v>0</v>
      </c>
      <c r="K511" t="n">
        <v>0</v>
      </c>
      <c r="L511" t="n">
        <v>0</v>
      </c>
      <c r="M511" t="n">
        <v>0</v>
      </c>
      <c r="N511" t="n">
        <v>0</v>
      </c>
      <c r="O511" t="n">
        <v>0</v>
      </c>
      <c r="P511" t="n">
        <v>0</v>
      </c>
      <c r="Q511" t="n">
        <v>0</v>
      </c>
      <c r="R511" s="2" t="inlineStr"/>
    </row>
    <row r="512" ht="15" customHeight="1">
      <c r="A512" t="inlineStr">
        <is>
          <t>A 38283-2018</t>
        </is>
      </c>
      <c r="B512" s="1" t="n">
        <v>43335</v>
      </c>
      <c r="C512" s="1" t="n">
        <v>45353</v>
      </c>
      <c r="D512" t="inlineStr">
        <is>
          <t>VÄRMLANDS LÄN</t>
        </is>
      </c>
      <c r="E512" t="inlineStr">
        <is>
          <t>SUNNE</t>
        </is>
      </c>
      <c r="G512" t="n">
        <v>1.7</v>
      </c>
      <c r="H512" t="n">
        <v>0</v>
      </c>
      <c r="I512" t="n">
        <v>0</v>
      </c>
      <c r="J512" t="n">
        <v>0</v>
      </c>
      <c r="K512" t="n">
        <v>0</v>
      </c>
      <c r="L512" t="n">
        <v>0</v>
      </c>
      <c r="M512" t="n">
        <v>0</v>
      </c>
      <c r="N512" t="n">
        <v>0</v>
      </c>
      <c r="O512" t="n">
        <v>0</v>
      </c>
      <c r="P512" t="n">
        <v>0</v>
      </c>
      <c r="Q512" t="n">
        <v>0</v>
      </c>
      <c r="R512" s="2" t="inlineStr"/>
    </row>
    <row r="513" ht="15" customHeight="1">
      <c r="A513" t="inlineStr">
        <is>
          <t>A 38493-2018</t>
        </is>
      </c>
      <c r="B513" s="1" t="n">
        <v>43335</v>
      </c>
      <c r="C513" s="1" t="n">
        <v>45353</v>
      </c>
      <c r="D513" t="inlineStr">
        <is>
          <t>VÄRMLANDS LÄN</t>
        </is>
      </c>
      <c r="E513" t="inlineStr">
        <is>
          <t>ARVIKA</t>
        </is>
      </c>
      <c r="G513" t="n">
        <v>0.6</v>
      </c>
      <c r="H513" t="n">
        <v>0</v>
      </c>
      <c r="I513" t="n">
        <v>0</v>
      </c>
      <c r="J513" t="n">
        <v>0</v>
      </c>
      <c r="K513" t="n">
        <v>0</v>
      </c>
      <c r="L513" t="n">
        <v>0</v>
      </c>
      <c r="M513" t="n">
        <v>0</v>
      </c>
      <c r="N513" t="n">
        <v>0</v>
      </c>
      <c r="O513" t="n">
        <v>0</v>
      </c>
      <c r="P513" t="n">
        <v>0</v>
      </c>
      <c r="Q513" t="n">
        <v>0</v>
      </c>
      <c r="R513" s="2" t="inlineStr"/>
    </row>
    <row r="514" ht="15" customHeight="1">
      <c r="A514" t="inlineStr">
        <is>
          <t>A 38712-2018</t>
        </is>
      </c>
      <c r="B514" s="1" t="n">
        <v>43335</v>
      </c>
      <c r="C514" s="1" t="n">
        <v>45353</v>
      </c>
      <c r="D514" t="inlineStr">
        <is>
          <t>VÄRMLANDS LÄN</t>
        </is>
      </c>
      <c r="E514" t="inlineStr">
        <is>
          <t>KRISTINEHAMN</t>
        </is>
      </c>
      <c r="G514" t="n">
        <v>2.4</v>
      </c>
      <c r="H514" t="n">
        <v>0</v>
      </c>
      <c r="I514" t="n">
        <v>0</v>
      </c>
      <c r="J514" t="n">
        <v>0</v>
      </c>
      <c r="K514" t="n">
        <v>0</v>
      </c>
      <c r="L514" t="n">
        <v>0</v>
      </c>
      <c r="M514" t="n">
        <v>0</v>
      </c>
      <c r="N514" t="n">
        <v>0</v>
      </c>
      <c r="O514" t="n">
        <v>0</v>
      </c>
      <c r="P514" t="n">
        <v>0</v>
      </c>
      <c r="Q514" t="n">
        <v>0</v>
      </c>
      <c r="R514" s="2" t="inlineStr"/>
    </row>
    <row r="515" ht="15" customHeight="1">
      <c r="A515" t="inlineStr">
        <is>
          <t>A 40497-2018</t>
        </is>
      </c>
      <c r="B515" s="1" t="n">
        <v>43335</v>
      </c>
      <c r="C515" s="1" t="n">
        <v>45353</v>
      </c>
      <c r="D515" t="inlineStr">
        <is>
          <t>VÄRMLANDS LÄN</t>
        </is>
      </c>
      <c r="E515" t="inlineStr">
        <is>
          <t>EDA</t>
        </is>
      </c>
      <c r="G515" t="n">
        <v>0.4</v>
      </c>
      <c r="H515" t="n">
        <v>0</v>
      </c>
      <c r="I515" t="n">
        <v>0</v>
      </c>
      <c r="J515" t="n">
        <v>0</v>
      </c>
      <c r="K515" t="n">
        <v>0</v>
      </c>
      <c r="L515" t="n">
        <v>0</v>
      </c>
      <c r="M515" t="n">
        <v>0</v>
      </c>
      <c r="N515" t="n">
        <v>0</v>
      </c>
      <c r="O515" t="n">
        <v>0</v>
      </c>
      <c r="P515" t="n">
        <v>0</v>
      </c>
      <c r="Q515" t="n">
        <v>0</v>
      </c>
      <c r="R515" s="2" t="inlineStr"/>
    </row>
    <row r="516" ht="15" customHeight="1">
      <c r="A516" t="inlineStr">
        <is>
          <t>A 38359-2018</t>
        </is>
      </c>
      <c r="B516" s="1" t="n">
        <v>43335</v>
      </c>
      <c r="C516" s="1" t="n">
        <v>45353</v>
      </c>
      <c r="D516" t="inlineStr">
        <is>
          <t>VÄRMLANDS LÄN</t>
        </is>
      </c>
      <c r="E516" t="inlineStr">
        <is>
          <t>SUNNE</t>
        </is>
      </c>
      <c r="G516" t="n">
        <v>2.2</v>
      </c>
      <c r="H516" t="n">
        <v>0</v>
      </c>
      <c r="I516" t="n">
        <v>0</v>
      </c>
      <c r="J516" t="n">
        <v>0</v>
      </c>
      <c r="K516" t="n">
        <v>0</v>
      </c>
      <c r="L516" t="n">
        <v>0</v>
      </c>
      <c r="M516" t="n">
        <v>0</v>
      </c>
      <c r="N516" t="n">
        <v>0</v>
      </c>
      <c r="O516" t="n">
        <v>0</v>
      </c>
      <c r="P516" t="n">
        <v>0</v>
      </c>
      <c r="Q516" t="n">
        <v>0</v>
      </c>
      <c r="R516" s="2" t="inlineStr"/>
    </row>
    <row r="517" ht="15" customHeight="1">
      <c r="A517" t="inlineStr">
        <is>
          <t>A 38094-2018</t>
        </is>
      </c>
      <c r="B517" s="1" t="n">
        <v>43335</v>
      </c>
      <c r="C517" s="1" t="n">
        <v>45353</v>
      </c>
      <c r="D517" t="inlineStr">
        <is>
          <t>VÄRMLANDS LÄN</t>
        </is>
      </c>
      <c r="E517" t="inlineStr">
        <is>
          <t>ÅRJÄNG</t>
        </is>
      </c>
      <c r="G517" t="n">
        <v>7</v>
      </c>
      <c r="H517" t="n">
        <v>0</v>
      </c>
      <c r="I517" t="n">
        <v>0</v>
      </c>
      <c r="J517" t="n">
        <v>0</v>
      </c>
      <c r="K517" t="n">
        <v>0</v>
      </c>
      <c r="L517" t="n">
        <v>0</v>
      </c>
      <c r="M517" t="n">
        <v>0</v>
      </c>
      <c r="N517" t="n">
        <v>0</v>
      </c>
      <c r="O517" t="n">
        <v>0</v>
      </c>
      <c r="P517" t="n">
        <v>0</v>
      </c>
      <c r="Q517" t="n">
        <v>0</v>
      </c>
      <c r="R517" s="2" t="inlineStr"/>
    </row>
    <row r="518" ht="15" customHeight="1">
      <c r="A518" t="inlineStr">
        <is>
          <t>A 38714-2018</t>
        </is>
      </c>
      <c r="B518" s="1" t="n">
        <v>43335</v>
      </c>
      <c r="C518" s="1" t="n">
        <v>45353</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38114-2018</t>
        </is>
      </c>
      <c r="B519" s="1" t="n">
        <v>43335</v>
      </c>
      <c r="C519" s="1" t="n">
        <v>45353</v>
      </c>
      <c r="D519" t="inlineStr">
        <is>
          <t>VÄRMLANDS LÄN</t>
        </is>
      </c>
      <c r="E519" t="inlineStr">
        <is>
          <t>SUNNE</t>
        </is>
      </c>
      <c r="G519" t="n">
        <v>2.5</v>
      </c>
      <c r="H519" t="n">
        <v>0</v>
      </c>
      <c r="I519" t="n">
        <v>0</v>
      </c>
      <c r="J519" t="n">
        <v>0</v>
      </c>
      <c r="K519" t="n">
        <v>0</v>
      </c>
      <c r="L519" t="n">
        <v>0</v>
      </c>
      <c r="M519" t="n">
        <v>0</v>
      </c>
      <c r="N519" t="n">
        <v>0</v>
      </c>
      <c r="O519" t="n">
        <v>0</v>
      </c>
      <c r="P519" t="n">
        <v>0</v>
      </c>
      <c r="Q519" t="n">
        <v>0</v>
      </c>
      <c r="R519" s="2" t="inlineStr"/>
    </row>
    <row r="520" ht="15" customHeight="1">
      <c r="A520" t="inlineStr">
        <is>
          <t>A 38617-2018</t>
        </is>
      </c>
      <c r="B520" s="1" t="n">
        <v>43335</v>
      </c>
      <c r="C520" s="1" t="n">
        <v>45353</v>
      </c>
      <c r="D520" t="inlineStr">
        <is>
          <t>VÄRMLANDS LÄN</t>
        </is>
      </c>
      <c r="E520" t="inlineStr">
        <is>
          <t>EDA</t>
        </is>
      </c>
      <c r="G520" t="n">
        <v>1.6</v>
      </c>
      <c r="H520" t="n">
        <v>0</v>
      </c>
      <c r="I520" t="n">
        <v>0</v>
      </c>
      <c r="J520" t="n">
        <v>0</v>
      </c>
      <c r="K520" t="n">
        <v>0</v>
      </c>
      <c r="L520" t="n">
        <v>0</v>
      </c>
      <c r="M520" t="n">
        <v>0</v>
      </c>
      <c r="N520" t="n">
        <v>0</v>
      </c>
      <c r="O520" t="n">
        <v>0</v>
      </c>
      <c r="P520" t="n">
        <v>0</v>
      </c>
      <c r="Q520" t="n">
        <v>0</v>
      </c>
      <c r="R520" s="2" t="inlineStr"/>
    </row>
    <row r="521" ht="15" customHeight="1">
      <c r="A521" t="inlineStr">
        <is>
          <t>A 38717-2018</t>
        </is>
      </c>
      <c r="B521" s="1" t="n">
        <v>43335</v>
      </c>
      <c r="C521" s="1" t="n">
        <v>45353</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38737-2018</t>
        </is>
      </c>
      <c r="B522" s="1" t="n">
        <v>43336</v>
      </c>
      <c r="C522" s="1" t="n">
        <v>45353</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38812-2018</t>
        </is>
      </c>
      <c r="B523" s="1" t="n">
        <v>43336</v>
      </c>
      <c r="C523" s="1" t="n">
        <v>45353</v>
      </c>
      <c r="D523" t="inlineStr">
        <is>
          <t>VÄRMLANDS LÄN</t>
        </is>
      </c>
      <c r="E523" t="inlineStr">
        <is>
          <t>KARLSTAD</t>
        </is>
      </c>
      <c r="G523" t="n">
        <v>1.1</v>
      </c>
      <c r="H523" t="n">
        <v>0</v>
      </c>
      <c r="I523" t="n">
        <v>0</v>
      </c>
      <c r="J523" t="n">
        <v>0</v>
      </c>
      <c r="K523" t="n">
        <v>0</v>
      </c>
      <c r="L523" t="n">
        <v>0</v>
      </c>
      <c r="M523" t="n">
        <v>0</v>
      </c>
      <c r="N523" t="n">
        <v>0</v>
      </c>
      <c r="O523" t="n">
        <v>0</v>
      </c>
      <c r="P523" t="n">
        <v>0</v>
      </c>
      <c r="Q523" t="n">
        <v>0</v>
      </c>
      <c r="R523" s="2" t="inlineStr"/>
    </row>
    <row r="524" ht="15" customHeight="1">
      <c r="A524" t="inlineStr">
        <is>
          <t>A 38755-2018</t>
        </is>
      </c>
      <c r="B524" s="1" t="n">
        <v>43336</v>
      </c>
      <c r="C524" s="1" t="n">
        <v>45353</v>
      </c>
      <c r="D524" t="inlineStr">
        <is>
          <t>VÄRMLANDS LÄN</t>
        </is>
      </c>
      <c r="E524" t="inlineStr">
        <is>
          <t>SUNNE</t>
        </is>
      </c>
      <c r="G524" t="n">
        <v>3.2</v>
      </c>
      <c r="H524" t="n">
        <v>0</v>
      </c>
      <c r="I524" t="n">
        <v>0</v>
      </c>
      <c r="J524" t="n">
        <v>0</v>
      </c>
      <c r="K524" t="n">
        <v>0</v>
      </c>
      <c r="L524" t="n">
        <v>0</v>
      </c>
      <c r="M524" t="n">
        <v>0</v>
      </c>
      <c r="N524" t="n">
        <v>0</v>
      </c>
      <c r="O524" t="n">
        <v>0</v>
      </c>
      <c r="P524" t="n">
        <v>0</v>
      </c>
      <c r="Q524" t="n">
        <v>0</v>
      </c>
      <c r="R524" s="2" t="inlineStr"/>
    </row>
    <row r="525" ht="15" customHeight="1">
      <c r="A525" t="inlineStr">
        <is>
          <t>A 39128-2018</t>
        </is>
      </c>
      <c r="B525" s="1" t="n">
        <v>43339</v>
      </c>
      <c r="C525" s="1" t="n">
        <v>45353</v>
      </c>
      <c r="D525" t="inlineStr">
        <is>
          <t>VÄRMLANDS LÄN</t>
        </is>
      </c>
      <c r="E525" t="inlineStr">
        <is>
          <t>SUNNE</t>
        </is>
      </c>
      <c r="G525" t="n">
        <v>6</v>
      </c>
      <c r="H525" t="n">
        <v>0</v>
      </c>
      <c r="I525" t="n">
        <v>0</v>
      </c>
      <c r="J525" t="n">
        <v>0</v>
      </c>
      <c r="K525" t="n">
        <v>0</v>
      </c>
      <c r="L525" t="n">
        <v>0</v>
      </c>
      <c r="M525" t="n">
        <v>0</v>
      </c>
      <c r="N525" t="n">
        <v>0</v>
      </c>
      <c r="O525" t="n">
        <v>0</v>
      </c>
      <c r="P525" t="n">
        <v>0</v>
      </c>
      <c r="Q525" t="n">
        <v>0</v>
      </c>
      <c r="R525" s="2" t="inlineStr"/>
    </row>
    <row r="526" ht="15" customHeight="1">
      <c r="A526" t="inlineStr">
        <is>
          <t>A 39005-2018</t>
        </is>
      </c>
      <c r="B526" s="1" t="n">
        <v>43339</v>
      </c>
      <c r="C526" s="1" t="n">
        <v>45353</v>
      </c>
      <c r="D526" t="inlineStr">
        <is>
          <t>VÄRMLANDS LÄN</t>
        </is>
      </c>
      <c r="E526" t="inlineStr">
        <is>
          <t>ÅRJÄNG</t>
        </is>
      </c>
      <c r="G526" t="n">
        <v>11.7</v>
      </c>
      <c r="H526" t="n">
        <v>0</v>
      </c>
      <c r="I526" t="n">
        <v>0</v>
      </c>
      <c r="J526" t="n">
        <v>0</v>
      </c>
      <c r="K526" t="n">
        <v>0</v>
      </c>
      <c r="L526" t="n">
        <v>0</v>
      </c>
      <c r="M526" t="n">
        <v>0</v>
      </c>
      <c r="N526" t="n">
        <v>0</v>
      </c>
      <c r="O526" t="n">
        <v>0</v>
      </c>
      <c r="P526" t="n">
        <v>0</v>
      </c>
      <c r="Q526" t="n">
        <v>0</v>
      </c>
      <c r="R526" s="2" t="inlineStr"/>
    </row>
    <row r="527" ht="15" customHeight="1">
      <c r="A527" t="inlineStr">
        <is>
          <t>A 39250-2018</t>
        </is>
      </c>
      <c r="B527" s="1" t="n">
        <v>43339</v>
      </c>
      <c r="C527" s="1" t="n">
        <v>45353</v>
      </c>
      <c r="D527" t="inlineStr">
        <is>
          <t>VÄRMLANDS LÄN</t>
        </is>
      </c>
      <c r="E527" t="inlineStr">
        <is>
          <t>FILIPSTAD</t>
        </is>
      </c>
      <c r="G527" t="n">
        <v>3.9</v>
      </c>
      <c r="H527" t="n">
        <v>0</v>
      </c>
      <c r="I527" t="n">
        <v>0</v>
      </c>
      <c r="J527" t="n">
        <v>0</v>
      </c>
      <c r="K527" t="n">
        <v>0</v>
      </c>
      <c r="L527" t="n">
        <v>0</v>
      </c>
      <c r="M527" t="n">
        <v>0</v>
      </c>
      <c r="N527" t="n">
        <v>0</v>
      </c>
      <c r="O527" t="n">
        <v>0</v>
      </c>
      <c r="P527" t="n">
        <v>0</v>
      </c>
      <c r="Q527" t="n">
        <v>0</v>
      </c>
      <c r="R527" s="2" t="inlineStr"/>
    </row>
    <row r="528" ht="15" customHeight="1">
      <c r="A528" t="inlineStr">
        <is>
          <t>A 38826-2018</t>
        </is>
      </c>
      <c r="B528" s="1" t="n">
        <v>43340</v>
      </c>
      <c r="C528" s="1" t="n">
        <v>45353</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39489-2018</t>
        </is>
      </c>
      <c r="B529" s="1" t="n">
        <v>43340</v>
      </c>
      <c r="C529" s="1" t="n">
        <v>45353</v>
      </c>
      <c r="D529" t="inlineStr">
        <is>
          <t>VÄRMLANDS LÄN</t>
        </is>
      </c>
      <c r="E529" t="inlineStr">
        <is>
          <t>SÄFFLE</t>
        </is>
      </c>
      <c r="G529" t="n">
        <v>0.5</v>
      </c>
      <c r="H529" t="n">
        <v>0</v>
      </c>
      <c r="I529" t="n">
        <v>0</v>
      </c>
      <c r="J529" t="n">
        <v>0</v>
      </c>
      <c r="K529" t="n">
        <v>0</v>
      </c>
      <c r="L529" t="n">
        <v>0</v>
      </c>
      <c r="M529" t="n">
        <v>0</v>
      </c>
      <c r="N529" t="n">
        <v>0</v>
      </c>
      <c r="O529" t="n">
        <v>0</v>
      </c>
      <c r="P529" t="n">
        <v>0</v>
      </c>
      <c r="Q529" t="n">
        <v>0</v>
      </c>
      <c r="R529" s="2" t="inlineStr"/>
    </row>
    <row r="530" ht="15" customHeight="1">
      <c r="A530" t="inlineStr">
        <is>
          <t>A 39476-2018</t>
        </is>
      </c>
      <c r="B530" s="1" t="n">
        <v>43340</v>
      </c>
      <c r="C530" s="1" t="n">
        <v>45353</v>
      </c>
      <c r="D530" t="inlineStr">
        <is>
          <t>VÄRMLANDS LÄN</t>
        </is>
      </c>
      <c r="E530" t="inlineStr">
        <is>
          <t>SUNNE</t>
        </is>
      </c>
      <c r="G530" t="n">
        <v>1.5</v>
      </c>
      <c r="H530" t="n">
        <v>0</v>
      </c>
      <c r="I530" t="n">
        <v>0</v>
      </c>
      <c r="J530" t="n">
        <v>0</v>
      </c>
      <c r="K530" t="n">
        <v>0</v>
      </c>
      <c r="L530" t="n">
        <v>0</v>
      </c>
      <c r="M530" t="n">
        <v>0</v>
      </c>
      <c r="N530" t="n">
        <v>0</v>
      </c>
      <c r="O530" t="n">
        <v>0</v>
      </c>
      <c r="P530" t="n">
        <v>0</v>
      </c>
      <c r="Q530" t="n">
        <v>0</v>
      </c>
      <c r="R530" s="2" t="inlineStr"/>
    </row>
    <row r="531" ht="15" customHeight="1">
      <c r="A531" t="inlineStr">
        <is>
          <t>A 39491-2018</t>
        </is>
      </c>
      <c r="B531" s="1" t="n">
        <v>43340</v>
      </c>
      <c r="C531" s="1" t="n">
        <v>45353</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39282-2018</t>
        </is>
      </c>
      <c r="B532" s="1" t="n">
        <v>43341</v>
      </c>
      <c r="C532" s="1" t="n">
        <v>45353</v>
      </c>
      <c r="D532" t="inlineStr">
        <is>
          <t>VÄRMLANDS LÄN</t>
        </is>
      </c>
      <c r="E532" t="inlineStr">
        <is>
          <t>GRUMS</t>
        </is>
      </c>
      <c r="G532" t="n">
        <v>2.2</v>
      </c>
      <c r="H532" t="n">
        <v>0</v>
      </c>
      <c r="I532" t="n">
        <v>0</v>
      </c>
      <c r="J532" t="n">
        <v>0</v>
      </c>
      <c r="K532" t="n">
        <v>0</v>
      </c>
      <c r="L532" t="n">
        <v>0</v>
      </c>
      <c r="M532" t="n">
        <v>0</v>
      </c>
      <c r="N532" t="n">
        <v>0</v>
      </c>
      <c r="O532" t="n">
        <v>0</v>
      </c>
      <c r="P532" t="n">
        <v>0</v>
      </c>
      <c r="Q532" t="n">
        <v>0</v>
      </c>
      <c r="R532" s="2" t="inlineStr"/>
    </row>
    <row r="533" ht="15" customHeight="1">
      <c r="A533" t="inlineStr">
        <is>
          <t>A 39594-2018</t>
        </is>
      </c>
      <c r="B533" s="1" t="n">
        <v>43341</v>
      </c>
      <c r="C533" s="1" t="n">
        <v>45353</v>
      </c>
      <c r="D533" t="inlineStr">
        <is>
          <t>VÄRMLANDS LÄN</t>
        </is>
      </c>
      <c r="E533" t="inlineStr">
        <is>
          <t>SÄFFLE</t>
        </is>
      </c>
      <c r="G533" t="n">
        <v>1.6</v>
      </c>
      <c r="H533" t="n">
        <v>0</v>
      </c>
      <c r="I533" t="n">
        <v>0</v>
      </c>
      <c r="J533" t="n">
        <v>0</v>
      </c>
      <c r="K533" t="n">
        <v>0</v>
      </c>
      <c r="L533" t="n">
        <v>0</v>
      </c>
      <c r="M533" t="n">
        <v>0</v>
      </c>
      <c r="N533" t="n">
        <v>0</v>
      </c>
      <c r="O533" t="n">
        <v>0</v>
      </c>
      <c r="P533" t="n">
        <v>0</v>
      </c>
      <c r="Q533" t="n">
        <v>0</v>
      </c>
      <c r="R533" s="2" t="inlineStr"/>
    </row>
    <row r="534" ht="15" customHeight="1">
      <c r="A534" t="inlineStr">
        <is>
          <t>A 39161-2018</t>
        </is>
      </c>
      <c r="B534" s="1" t="n">
        <v>43341</v>
      </c>
      <c r="C534" s="1" t="n">
        <v>45353</v>
      </c>
      <c r="D534" t="inlineStr">
        <is>
          <t>VÄRMLANDS LÄN</t>
        </is>
      </c>
      <c r="E534" t="inlineStr">
        <is>
          <t>HAGFORS</t>
        </is>
      </c>
      <c r="G534" t="n">
        <v>2.7</v>
      </c>
      <c r="H534" t="n">
        <v>0</v>
      </c>
      <c r="I534" t="n">
        <v>0</v>
      </c>
      <c r="J534" t="n">
        <v>0</v>
      </c>
      <c r="K534" t="n">
        <v>0</v>
      </c>
      <c r="L534" t="n">
        <v>0</v>
      </c>
      <c r="M534" t="n">
        <v>0</v>
      </c>
      <c r="N534" t="n">
        <v>0</v>
      </c>
      <c r="O534" t="n">
        <v>0</v>
      </c>
      <c r="P534" t="n">
        <v>0</v>
      </c>
      <c r="Q534" t="n">
        <v>0</v>
      </c>
      <c r="R534" s="2" t="inlineStr"/>
    </row>
    <row r="535" ht="15" customHeight="1">
      <c r="A535" t="inlineStr">
        <is>
          <t>A 39326-2018</t>
        </is>
      </c>
      <c r="B535" s="1" t="n">
        <v>43341</v>
      </c>
      <c r="C535" s="1" t="n">
        <v>45353</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39591-2018</t>
        </is>
      </c>
      <c r="B536" s="1" t="n">
        <v>43341</v>
      </c>
      <c r="C536" s="1" t="n">
        <v>45353</v>
      </c>
      <c r="D536" t="inlineStr">
        <is>
          <t>VÄRMLANDS LÄN</t>
        </is>
      </c>
      <c r="E536" t="inlineStr">
        <is>
          <t>SUNNE</t>
        </is>
      </c>
      <c r="G536" t="n">
        <v>8</v>
      </c>
      <c r="H536" t="n">
        <v>0</v>
      </c>
      <c r="I536" t="n">
        <v>0</v>
      </c>
      <c r="J536" t="n">
        <v>0</v>
      </c>
      <c r="K536" t="n">
        <v>0</v>
      </c>
      <c r="L536" t="n">
        <v>0</v>
      </c>
      <c r="M536" t="n">
        <v>0</v>
      </c>
      <c r="N536" t="n">
        <v>0</v>
      </c>
      <c r="O536" t="n">
        <v>0</v>
      </c>
      <c r="P536" t="n">
        <v>0</v>
      </c>
      <c r="Q536" t="n">
        <v>0</v>
      </c>
      <c r="R536" s="2" t="inlineStr"/>
    </row>
    <row r="537" ht="15" customHeight="1">
      <c r="A537" t="inlineStr">
        <is>
          <t>A 39309-2018</t>
        </is>
      </c>
      <c r="B537" s="1" t="n">
        <v>43341</v>
      </c>
      <c r="C537" s="1" t="n">
        <v>45353</v>
      </c>
      <c r="D537" t="inlineStr">
        <is>
          <t>VÄRMLANDS LÄN</t>
        </is>
      </c>
      <c r="E537" t="inlineStr">
        <is>
          <t>GRUMS</t>
        </is>
      </c>
      <c r="G537" t="n">
        <v>3.5</v>
      </c>
      <c r="H537" t="n">
        <v>0</v>
      </c>
      <c r="I537" t="n">
        <v>0</v>
      </c>
      <c r="J537" t="n">
        <v>0</v>
      </c>
      <c r="K537" t="n">
        <v>0</v>
      </c>
      <c r="L537" t="n">
        <v>0</v>
      </c>
      <c r="M537" t="n">
        <v>0</v>
      </c>
      <c r="N537" t="n">
        <v>0</v>
      </c>
      <c r="O537" t="n">
        <v>0</v>
      </c>
      <c r="P537" t="n">
        <v>0</v>
      </c>
      <c r="Q537" t="n">
        <v>0</v>
      </c>
      <c r="R537" s="2" t="inlineStr"/>
    </row>
    <row r="538" ht="15" customHeight="1">
      <c r="A538" t="inlineStr">
        <is>
          <t>A 39597-2018</t>
        </is>
      </c>
      <c r="B538" s="1" t="n">
        <v>43342</v>
      </c>
      <c r="C538" s="1" t="n">
        <v>45353</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39612-2018</t>
        </is>
      </c>
      <c r="B539" s="1" t="n">
        <v>43342</v>
      </c>
      <c r="C539" s="1" t="n">
        <v>45353</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39917-2018</t>
        </is>
      </c>
      <c r="B540" s="1" t="n">
        <v>43343</v>
      </c>
      <c r="C540" s="1" t="n">
        <v>45353</v>
      </c>
      <c r="D540" t="inlineStr">
        <is>
          <t>VÄRMLANDS LÄN</t>
        </is>
      </c>
      <c r="E540" t="inlineStr">
        <is>
          <t>HAGFORS</t>
        </is>
      </c>
      <c r="G540" t="n">
        <v>9.4</v>
      </c>
      <c r="H540" t="n">
        <v>0</v>
      </c>
      <c r="I540" t="n">
        <v>0</v>
      </c>
      <c r="J540" t="n">
        <v>0</v>
      </c>
      <c r="K540" t="n">
        <v>0</v>
      </c>
      <c r="L540" t="n">
        <v>0</v>
      </c>
      <c r="M540" t="n">
        <v>0</v>
      </c>
      <c r="N540" t="n">
        <v>0</v>
      </c>
      <c r="O540" t="n">
        <v>0</v>
      </c>
      <c r="P540" t="n">
        <v>0</v>
      </c>
      <c r="Q540" t="n">
        <v>0</v>
      </c>
      <c r="R540" s="2" t="inlineStr"/>
    </row>
    <row r="541" ht="15" customHeight="1">
      <c r="A541" t="inlineStr">
        <is>
          <t>A 39963-2018</t>
        </is>
      </c>
      <c r="B541" s="1" t="n">
        <v>43343</v>
      </c>
      <c r="C541" s="1" t="n">
        <v>45353</v>
      </c>
      <c r="D541" t="inlineStr">
        <is>
          <t>VÄRMLANDS LÄN</t>
        </is>
      </c>
      <c r="E541" t="inlineStr">
        <is>
          <t>EDA</t>
        </is>
      </c>
      <c r="G541" t="n">
        <v>4.2</v>
      </c>
      <c r="H541" t="n">
        <v>0</v>
      </c>
      <c r="I541" t="n">
        <v>0</v>
      </c>
      <c r="J541" t="n">
        <v>0</v>
      </c>
      <c r="K541" t="n">
        <v>0</v>
      </c>
      <c r="L541" t="n">
        <v>0</v>
      </c>
      <c r="M541" t="n">
        <v>0</v>
      </c>
      <c r="N541" t="n">
        <v>0</v>
      </c>
      <c r="O541" t="n">
        <v>0</v>
      </c>
      <c r="P541" t="n">
        <v>0</v>
      </c>
      <c r="Q541" t="n">
        <v>0</v>
      </c>
      <c r="R541" s="2" t="inlineStr"/>
    </row>
    <row r="542" ht="15" customHeight="1">
      <c r="A542" t="inlineStr">
        <is>
          <t>A 40485-2018</t>
        </is>
      </c>
      <c r="B542" s="1" t="n">
        <v>43346</v>
      </c>
      <c r="C542" s="1" t="n">
        <v>45353</v>
      </c>
      <c r="D542" t="inlineStr">
        <is>
          <t>VÄRMLANDS LÄN</t>
        </is>
      </c>
      <c r="E542" t="inlineStr">
        <is>
          <t>KARLSTAD</t>
        </is>
      </c>
      <c r="G542" t="n">
        <v>1.5</v>
      </c>
      <c r="H542" t="n">
        <v>0</v>
      </c>
      <c r="I542" t="n">
        <v>0</v>
      </c>
      <c r="J542" t="n">
        <v>0</v>
      </c>
      <c r="K542" t="n">
        <v>0</v>
      </c>
      <c r="L542" t="n">
        <v>0</v>
      </c>
      <c r="M542" t="n">
        <v>0</v>
      </c>
      <c r="N542" t="n">
        <v>0</v>
      </c>
      <c r="O542" t="n">
        <v>0</v>
      </c>
      <c r="P542" t="n">
        <v>0</v>
      </c>
      <c r="Q542" t="n">
        <v>0</v>
      </c>
      <c r="R542" s="2" t="inlineStr"/>
    </row>
    <row r="543" ht="15" customHeight="1">
      <c r="A543" t="inlineStr">
        <is>
          <t>A 40614-2018</t>
        </is>
      </c>
      <c r="B543" s="1" t="n">
        <v>43346</v>
      </c>
      <c r="C543" s="1" t="n">
        <v>45353</v>
      </c>
      <c r="D543" t="inlineStr">
        <is>
          <t>VÄRMLANDS LÄN</t>
        </is>
      </c>
      <c r="E543" t="inlineStr">
        <is>
          <t>SÄFFLE</t>
        </is>
      </c>
      <c r="G543" t="n">
        <v>1.7</v>
      </c>
      <c r="H543" t="n">
        <v>0</v>
      </c>
      <c r="I543" t="n">
        <v>0</v>
      </c>
      <c r="J543" t="n">
        <v>0</v>
      </c>
      <c r="K543" t="n">
        <v>0</v>
      </c>
      <c r="L543" t="n">
        <v>0</v>
      </c>
      <c r="M543" t="n">
        <v>0</v>
      </c>
      <c r="N543" t="n">
        <v>0</v>
      </c>
      <c r="O543" t="n">
        <v>0</v>
      </c>
      <c r="P543" t="n">
        <v>0</v>
      </c>
      <c r="Q543" t="n">
        <v>0</v>
      </c>
      <c r="R543" s="2" t="inlineStr"/>
    </row>
    <row r="544" ht="15" customHeight="1">
      <c r="A544" t="inlineStr">
        <is>
          <t>A 40952-2018</t>
        </is>
      </c>
      <c r="B544" s="1" t="n">
        <v>43346</v>
      </c>
      <c r="C544" s="1" t="n">
        <v>45353</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42659-2018</t>
        </is>
      </c>
      <c r="B545" s="1" t="n">
        <v>43346</v>
      </c>
      <c r="C545" s="1" t="n">
        <v>45353</v>
      </c>
      <c r="D545" t="inlineStr">
        <is>
          <t>VÄRMLANDS LÄN</t>
        </is>
      </c>
      <c r="E545" t="inlineStr">
        <is>
          <t>ÅRJÄNG</t>
        </is>
      </c>
      <c r="G545" t="n">
        <v>1.3</v>
      </c>
      <c r="H545" t="n">
        <v>0</v>
      </c>
      <c r="I545" t="n">
        <v>0</v>
      </c>
      <c r="J545" t="n">
        <v>0</v>
      </c>
      <c r="K545" t="n">
        <v>0</v>
      </c>
      <c r="L545" t="n">
        <v>0</v>
      </c>
      <c r="M545" t="n">
        <v>0</v>
      </c>
      <c r="N545" t="n">
        <v>0</v>
      </c>
      <c r="O545" t="n">
        <v>0</v>
      </c>
      <c r="P545" t="n">
        <v>0</v>
      </c>
      <c r="Q545" t="n">
        <v>0</v>
      </c>
      <c r="R545" s="2" t="inlineStr"/>
    </row>
    <row r="546" ht="15" customHeight="1">
      <c r="A546" t="inlineStr">
        <is>
          <t>A 40815-2018</t>
        </is>
      </c>
      <c r="B546" s="1" t="n">
        <v>43346</v>
      </c>
      <c r="C546" s="1" t="n">
        <v>45353</v>
      </c>
      <c r="D546" t="inlineStr">
        <is>
          <t>VÄRMLANDS LÄN</t>
        </is>
      </c>
      <c r="E546" t="inlineStr">
        <is>
          <t>TORSBY</t>
        </is>
      </c>
      <c r="G546" t="n">
        <v>3.3</v>
      </c>
      <c r="H546" t="n">
        <v>0</v>
      </c>
      <c r="I546" t="n">
        <v>0</v>
      </c>
      <c r="J546" t="n">
        <v>0</v>
      </c>
      <c r="K546" t="n">
        <v>0</v>
      </c>
      <c r="L546" t="n">
        <v>0</v>
      </c>
      <c r="M546" t="n">
        <v>0</v>
      </c>
      <c r="N546" t="n">
        <v>0</v>
      </c>
      <c r="O546" t="n">
        <v>0</v>
      </c>
      <c r="P546" t="n">
        <v>0</v>
      </c>
      <c r="Q546" t="n">
        <v>0</v>
      </c>
      <c r="R546" s="2" t="inlineStr"/>
    </row>
    <row r="547" ht="15" customHeight="1">
      <c r="A547" t="inlineStr">
        <is>
          <t>A 40853-2018</t>
        </is>
      </c>
      <c r="B547" s="1" t="n">
        <v>43346</v>
      </c>
      <c r="C547" s="1" t="n">
        <v>45353</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46169-2018</t>
        </is>
      </c>
      <c r="B548" s="1" t="n">
        <v>43346</v>
      </c>
      <c r="C548" s="1" t="n">
        <v>45353</v>
      </c>
      <c r="D548" t="inlineStr">
        <is>
          <t>VÄRMLANDS LÄN</t>
        </is>
      </c>
      <c r="E548" t="inlineStr">
        <is>
          <t>SUNNE</t>
        </is>
      </c>
      <c r="G548" t="n">
        <v>0.7</v>
      </c>
      <c r="H548" t="n">
        <v>0</v>
      </c>
      <c r="I548" t="n">
        <v>0</v>
      </c>
      <c r="J548" t="n">
        <v>0</v>
      </c>
      <c r="K548" t="n">
        <v>0</v>
      </c>
      <c r="L548" t="n">
        <v>0</v>
      </c>
      <c r="M548" t="n">
        <v>0</v>
      </c>
      <c r="N548" t="n">
        <v>0</v>
      </c>
      <c r="O548" t="n">
        <v>0</v>
      </c>
      <c r="P548" t="n">
        <v>0</v>
      </c>
      <c r="Q548" t="n">
        <v>0</v>
      </c>
      <c r="R548" s="2" t="inlineStr"/>
    </row>
    <row r="549" ht="15" customHeight="1">
      <c r="A549" t="inlineStr">
        <is>
          <t>A 40838-2018</t>
        </is>
      </c>
      <c r="B549" s="1" t="n">
        <v>43346</v>
      </c>
      <c r="C549" s="1" t="n">
        <v>45353</v>
      </c>
      <c r="D549" t="inlineStr">
        <is>
          <t>VÄRMLANDS LÄN</t>
        </is>
      </c>
      <c r="E549" t="inlineStr">
        <is>
          <t>TORSBY</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40917-2018</t>
        </is>
      </c>
      <c r="B550" s="1" t="n">
        <v>43346</v>
      </c>
      <c r="C550" s="1" t="n">
        <v>45353</v>
      </c>
      <c r="D550" t="inlineStr">
        <is>
          <t>VÄRMLANDS LÄN</t>
        </is>
      </c>
      <c r="E550" t="inlineStr">
        <is>
          <t>SUNNE</t>
        </is>
      </c>
      <c r="G550" t="n">
        <v>1.4</v>
      </c>
      <c r="H550" t="n">
        <v>0</v>
      </c>
      <c r="I550" t="n">
        <v>0</v>
      </c>
      <c r="J550" t="n">
        <v>0</v>
      </c>
      <c r="K550" t="n">
        <v>0</v>
      </c>
      <c r="L550" t="n">
        <v>0</v>
      </c>
      <c r="M550" t="n">
        <v>0</v>
      </c>
      <c r="N550" t="n">
        <v>0</v>
      </c>
      <c r="O550" t="n">
        <v>0</v>
      </c>
      <c r="P550" t="n">
        <v>0</v>
      </c>
      <c r="Q550" t="n">
        <v>0</v>
      </c>
      <c r="R550" s="2" t="inlineStr"/>
    </row>
    <row r="551" ht="15" customHeight="1">
      <c r="A551" t="inlineStr">
        <is>
          <t>A 41929-2018</t>
        </is>
      </c>
      <c r="B551" s="1" t="n">
        <v>43347</v>
      </c>
      <c r="C551" s="1" t="n">
        <v>45353</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41942-2018</t>
        </is>
      </c>
      <c r="B552" s="1" t="n">
        <v>43348</v>
      </c>
      <c r="C552" s="1" t="n">
        <v>45353</v>
      </c>
      <c r="D552" t="inlineStr">
        <is>
          <t>VÄRMLANDS LÄN</t>
        </is>
      </c>
      <c r="E552" t="inlineStr">
        <is>
          <t>SÄFFLE</t>
        </is>
      </c>
      <c r="G552" t="n">
        <v>2</v>
      </c>
      <c r="H552" t="n">
        <v>0</v>
      </c>
      <c r="I552" t="n">
        <v>0</v>
      </c>
      <c r="J552" t="n">
        <v>0</v>
      </c>
      <c r="K552" t="n">
        <v>0</v>
      </c>
      <c r="L552" t="n">
        <v>0</v>
      </c>
      <c r="M552" t="n">
        <v>0</v>
      </c>
      <c r="N552" t="n">
        <v>0</v>
      </c>
      <c r="O552" t="n">
        <v>0</v>
      </c>
      <c r="P552" t="n">
        <v>0</v>
      </c>
      <c r="Q552" t="n">
        <v>0</v>
      </c>
      <c r="R552" s="2" t="inlineStr"/>
    </row>
    <row r="553" ht="15" customHeight="1">
      <c r="A553" t="inlineStr">
        <is>
          <t>A 41074-2018</t>
        </is>
      </c>
      <c r="B553" s="1" t="n">
        <v>43348</v>
      </c>
      <c r="C553" s="1" t="n">
        <v>45353</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41173-2018</t>
        </is>
      </c>
      <c r="B554" s="1" t="n">
        <v>43348</v>
      </c>
      <c r="C554" s="1" t="n">
        <v>45353</v>
      </c>
      <c r="D554" t="inlineStr">
        <is>
          <t>VÄRMLANDS LÄN</t>
        </is>
      </c>
      <c r="E554" t="inlineStr">
        <is>
          <t>ARVIKA</t>
        </is>
      </c>
      <c r="G554" t="n">
        <v>6</v>
      </c>
      <c r="H554" t="n">
        <v>0</v>
      </c>
      <c r="I554" t="n">
        <v>0</v>
      </c>
      <c r="J554" t="n">
        <v>0</v>
      </c>
      <c r="K554" t="n">
        <v>0</v>
      </c>
      <c r="L554" t="n">
        <v>0</v>
      </c>
      <c r="M554" t="n">
        <v>0</v>
      </c>
      <c r="N554" t="n">
        <v>0</v>
      </c>
      <c r="O554" t="n">
        <v>0</v>
      </c>
      <c r="P554" t="n">
        <v>0</v>
      </c>
      <c r="Q554" t="n">
        <v>0</v>
      </c>
      <c r="R554" s="2" t="inlineStr"/>
    </row>
    <row r="555" ht="15" customHeight="1">
      <c r="A555" t="inlineStr">
        <is>
          <t>A 41052-2018</t>
        </is>
      </c>
      <c r="B555" s="1" t="n">
        <v>43348</v>
      </c>
      <c r="C555" s="1" t="n">
        <v>45353</v>
      </c>
      <c r="D555" t="inlineStr">
        <is>
          <t>VÄRMLANDS LÄN</t>
        </is>
      </c>
      <c r="E555" t="inlineStr">
        <is>
          <t>EDA</t>
        </is>
      </c>
      <c r="G555" t="n">
        <v>2.1</v>
      </c>
      <c r="H555" t="n">
        <v>0</v>
      </c>
      <c r="I555" t="n">
        <v>0</v>
      </c>
      <c r="J555" t="n">
        <v>0</v>
      </c>
      <c r="K555" t="n">
        <v>0</v>
      </c>
      <c r="L555" t="n">
        <v>0</v>
      </c>
      <c r="M555" t="n">
        <v>0</v>
      </c>
      <c r="N555" t="n">
        <v>0</v>
      </c>
      <c r="O555" t="n">
        <v>0</v>
      </c>
      <c r="P555" t="n">
        <v>0</v>
      </c>
      <c r="Q555" t="n">
        <v>0</v>
      </c>
      <c r="R555" s="2" t="inlineStr"/>
    </row>
    <row r="556" ht="15" customHeight="1">
      <c r="A556" t="inlineStr">
        <is>
          <t>A 42233-2018</t>
        </is>
      </c>
      <c r="B556" s="1" t="n">
        <v>43349</v>
      </c>
      <c r="C556" s="1" t="n">
        <v>45353</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42075-2018</t>
        </is>
      </c>
      <c r="B557" s="1" t="n">
        <v>43349</v>
      </c>
      <c r="C557" s="1" t="n">
        <v>45353</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41692-2018</t>
        </is>
      </c>
      <c r="B558" s="1" t="n">
        <v>43350</v>
      </c>
      <c r="C558" s="1" t="n">
        <v>45353</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42545-2018</t>
        </is>
      </c>
      <c r="B559" s="1" t="n">
        <v>43350</v>
      </c>
      <c r="C559" s="1" t="n">
        <v>45353</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42723-2018</t>
        </is>
      </c>
      <c r="B560" s="1" t="n">
        <v>43350</v>
      </c>
      <c r="C560" s="1" t="n">
        <v>45353</v>
      </c>
      <c r="D560" t="inlineStr">
        <is>
          <t>VÄRMLANDS LÄN</t>
        </is>
      </c>
      <c r="E560" t="inlineStr">
        <is>
          <t>ARVIKA</t>
        </is>
      </c>
      <c r="G560" t="n">
        <v>3.6</v>
      </c>
      <c r="H560" t="n">
        <v>0</v>
      </c>
      <c r="I560" t="n">
        <v>0</v>
      </c>
      <c r="J560" t="n">
        <v>0</v>
      </c>
      <c r="K560" t="n">
        <v>0</v>
      </c>
      <c r="L560" t="n">
        <v>0</v>
      </c>
      <c r="M560" t="n">
        <v>0</v>
      </c>
      <c r="N560" t="n">
        <v>0</v>
      </c>
      <c r="O560" t="n">
        <v>0</v>
      </c>
      <c r="P560" t="n">
        <v>0</v>
      </c>
      <c r="Q560" t="n">
        <v>0</v>
      </c>
      <c r="R560" s="2" t="inlineStr"/>
    </row>
    <row r="561" ht="15" customHeight="1">
      <c r="A561" t="inlineStr">
        <is>
          <t>A 41839-2018</t>
        </is>
      </c>
      <c r="B561" s="1" t="n">
        <v>43350</v>
      </c>
      <c r="C561" s="1" t="n">
        <v>45353</v>
      </c>
      <c r="D561" t="inlineStr">
        <is>
          <t>VÄRMLANDS LÄN</t>
        </is>
      </c>
      <c r="E561" t="inlineStr">
        <is>
          <t>SÄFFLE</t>
        </is>
      </c>
      <c r="G561" t="n">
        <v>6.6</v>
      </c>
      <c r="H561" t="n">
        <v>0</v>
      </c>
      <c r="I561" t="n">
        <v>0</v>
      </c>
      <c r="J561" t="n">
        <v>0</v>
      </c>
      <c r="K561" t="n">
        <v>0</v>
      </c>
      <c r="L561" t="n">
        <v>0</v>
      </c>
      <c r="M561" t="n">
        <v>0</v>
      </c>
      <c r="N561" t="n">
        <v>0</v>
      </c>
      <c r="O561" t="n">
        <v>0</v>
      </c>
      <c r="P561" t="n">
        <v>0</v>
      </c>
      <c r="Q561" t="n">
        <v>0</v>
      </c>
      <c r="R561" s="2" t="inlineStr"/>
    </row>
    <row r="562" ht="15" customHeight="1">
      <c r="A562" t="inlineStr">
        <is>
          <t>A 42573-2018</t>
        </is>
      </c>
      <c r="B562" s="1" t="n">
        <v>43350</v>
      </c>
      <c r="C562" s="1" t="n">
        <v>45353</v>
      </c>
      <c r="D562" t="inlineStr">
        <is>
          <t>VÄRMLANDS LÄN</t>
        </is>
      </c>
      <c r="E562" t="inlineStr">
        <is>
          <t>SUNNE</t>
        </is>
      </c>
      <c r="G562" t="n">
        <v>3</v>
      </c>
      <c r="H562" t="n">
        <v>0</v>
      </c>
      <c r="I562" t="n">
        <v>0</v>
      </c>
      <c r="J562" t="n">
        <v>0</v>
      </c>
      <c r="K562" t="n">
        <v>0</v>
      </c>
      <c r="L562" t="n">
        <v>0</v>
      </c>
      <c r="M562" t="n">
        <v>0</v>
      </c>
      <c r="N562" t="n">
        <v>0</v>
      </c>
      <c r="O562" t="n">
        <v>0</v>
      </c>
      <c r="P562" t="n">
        <v>0</v>
      </c>
      <c r="Q562" t="n">
        <v>0</v>
      </c>
      <c r="R562" s="2" t="inlineStr"/>
    </row>
    <row r="563" ht="15" customHeight="1">
      <c r="A563" t="inlineStr">
        <is>
          <t>A 42687-2018</t>
        </is>
      </c>
      <c r="B563" s="1" t="n">
        <v>43352</v>
      </c>
      <c r="C563" s="1" t="n">
        <v>45353</v>
      </c>
      <c r="D563" t="inlineStr">
        <is>
          <t>VÄRMLANDS LÄN</t>
        </is>
      </c>
      <c r="E563" t="inlineStr">
        <is>
          <t>GRUMS</t>
        </is>
      </c>
      <c r="G563" t="n">
        <v>3</v>
      </c>
      <c r="H563" t="n">
        <v>0</v>
      </c>
      <c r="I563" t="n">
        <v>0</v>
      </c>
      <c r="J563" t="n">
        <v>0</v>
      </c>
      <c r="K563" t="n">
        <v>0</v>
      </c>
      <c r="L563" t="n">
        <v>0</v>
      </c>
      <c r="M563" t="n">
        <v>0</v>
      </c>
      <c r="N563" t="n">
        <v>0</v>
      </c>
      <c r="O563" t="n">
        <v>0</v>
      </c>
      <c r="P563" t="n">
        <v>0</v>
      </c>
      <c r="Q563" t="n">
        <v>0</v>
      </c>
      <c r="R563" s="2" t="inlineStr"/>
    </row>
    <row r="564" ht="15" customHeight="1">
      <c r="A564" t="inlineStr">
        <is>
          <t>A 42710-2018</t>
        </is>
      </c>
      <c r="B564" s="1" t="n">
        <v>43352</v>
      </c>
      <c r="C564" s="1" t="n">
        <v>45353</v>
      </c>
      <c r="D564" t="inlineStr">
        <is>
          <t>VÄRMLANDS LÄN</t>
        </is>
      </c>
      <c r="E564" t="inlineStr">
        <is>
          <t>GRUMS</t>
        </is>
      </c>
      <c r="G564" t="n">
        <v>2.1</v>
      </c>
      <c r="H564" t="n">
        <v>0</v>
      </c>
      <c r="I564" t="n">
        <v>0</v>
      </c>
      <c r="J564" t="n">
        <v>0</v>
      </c>
      <c r="K564" t="n">
        <v>0</v>
      </c>
      <c r="L564" t="n">
        <v>0</v>
      </c>
      <c r="M564" t="n">
        <v>0</v>
      </c>
      <c r="N564" t="n">
        <v>0</v>
      </c>
      <c r="O564" t="n">
        <v>0</v>
      </c>
      <c r="P564" t="n">
        <v>0</v>
      </c>
      <c r="Q564" t="n">
        <v>0</v>
      </c>
      <c r="R564" s="2" t="inlineStr"/>
    </row>
    <row r="565" ht="15" customHeight="1">
      <c r="A565" t="inlineStr">
        <is>
          <t>A 42716-2018</t>
        </is>
      </c>
      <c r="B565" s="1" t="n">
        <v>43352</v>
      </c>
      <c r="C565" s="1" t="n">
        <v>45353</v>
      </c>
      <c r="D565" t="inlineStr">
        <is>
          <t>VÄRMLANDS LÄN</t>
        </is>
      </c>
      <c r="E565" t="inlineStr">
        <is>
          <t>GRUMS</t>
        </is>
      </c>
      <c r="G565" t="n">
        <v>1.3</v>
      </c>
      <c r="H565" t="n">
        <v>0</v>
      </c>
      <c r="I565" t="n">
        <v>0</v>
      </c>
      <c r="J565" t="n">
        <v>0</v>
      </c>
      <c r="K565" t="n">
        <v>0</v>
      </c>
      <c r="L565" t="n">
        <v>0</v>
      </c>
      <c r="M565" t="n">
        <v>0</v>
      </c>
      <c r="N565" t="n">
        <v>0</v>
      </c>
      <c r="O565" t="n">
        <v>0</v>
      </c>
      <c r="P565" t="n">
        <v>0</v>
      </c>
      <c r="Q565" t="n">
        <v>0</v>
      </c>
      <c r="R565" s="2" t="inlineStr"/>
    </row>
    <row r="566" ht="15" customHeight="1">
      <c r="A566" t="inlineStr">
        <is>
          <t>A 43025-2018</t>
        </is>
      </c>
      <c r="B566" s="1" t="n">
        <v>43353</v>
      </c>
      <c r="C566" s="1" t="n">
        <v>45353</v>
      </c>
      <c r="D566" t="inlineStr">
        <is>
          <t>VÄRMLANDS LÄN</t>
        </is>
      </c>
      <c r="E566" t="inlineStr">
        <is>
          <t>SÄFFLE</t>
        </is>
      </c>
      <c r="G566" t="n">
        <v>1.4</v>
      </c>
      <c r="H566" t="n">
        <v>0</v>
      </c>
      <c r="I566" t="n">
        <v>0</v>
      </c>
      <c r="J566" t="n">
        <v>0</v>
      </c>
      <c r="K566" t="n">
        <v>0</v>
      </c>
      <c r="L566" t="n">
        <v>0</v>
      </c>
      <c r="M566" t="n">
        <v>0</v>
      </c>
      <c r="N566" t="n">
        <v>0</v>
      </c>
      <c r="O566" t="n">
        <v>0</v>
      </c>
      <c r="P566" t="n">
        <v>0</v>
      </c>
      <c r="Q566" t="n">
        <v>0</v>
      </c>
      <c r="R566" s="2" t="inlineStr"/>
    </row>
    <row r="567" ht="15" customHeight="1">
      <c r="A567" t="inlineStr">
        <is>
          <t>A 43267-2018</t>
        </is>
      </c>
      <c r="B567" s="1" t="n">
        <v>43353</v>
      </c>
      <c r="C567" s="1" t="n">
        <v>45353</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43356-2018</t>
        </is>
      </c>
      <c r="B568" s="1" t="n">
        <v>43353</v>
      </c>
      <c r="C568" s="1" t="n">
        <v>45353</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42966-2018</t>
        </is>
      </c>
      <c r="B569" s="1" t="n">
        <v>43353</v>
      </c>
      <c r="C569" s="1" t="n">
        <v>45353</v>
      </c>
      <c r="D569" t="inlineStr">
        <is>
          <t>VÄRMLANDS LÄN</t>
        </is>
      </c>
      <c r="E569" t="inlineStr">
        <is>
          <t>SÄFFLE</t>
        </is>
      </c>
      <c r="G569" t="n">
        <v>2.1</v>
      </c>
      <c r="H569" t="n">
        <v>0</v>
      </c>
      <c r="I569" t="n">
        <v>0</v>
      </c>
      <c r="J569" t="n">
        <v>0</v>
      </c>
      <c r="K569" t="n">
        <v>0</v>
      </c>
      <c r="L569" t="n">
        <v>0</v>
      </c>
      <c r="M569" t="n">
        <v>0</v>
      </c>
      <c r="N569" t="n">
        <v>0</v>
      </c>
      <c r="O569" t="n">
        <v>0</v>
      </c>
      <c r="P569" t="n">
        <v>0</v>
      </c>
      <c r="Q569" t="n">
        <v>0</v>
      </c>
      <c r="R569" s="2" t="inlineStr"/>
    </row>
    <row r="570" ht="15" customHeight="1">
      <c r="A570" t="inlineStr">
        <is>
          <t>A 43030-2018</t>
        </is>
      </c>
      <c r="B570" s="1" t="n">
        <v>43353</v>
      </c>
      <c r="C570" s="1" t="n">
        <v>45353</v>
      </c>
      <c r="D570" t="inlineStr">
        <is>
          <t>VÄRMLANDS LÄN</t>
        </is>
      </c>
      <c r="E570" t="inlineStr">
        <is>
          <t>SUNNE</t>
        </is>
      </c>
      <c r="G570" t="n">
        <v>1.9</v>
      </c>
      <c r="H570" t="n">
        <v>0</v>
      </c>
      <c r="I570" t="n">
        <v>0</v>
      </c>
      <c r="J570" t="n">
        <v>0</v>
      </c>
      <c r="K570" t="n">
        <v>0</v>
      </c>
      <c r="L570" t="n">
        <v>0</v>
      </c>
      <c r="M570" t="n">
        <v>0</v>
      </c>
      <c r="N570" t="n">
        <v>0</v>
      </c>
      <c r="O570" t="n">
        <v>0</v>
      </c>
      <c r="P570" t="n">
        <v>0</v>
      </c>
      <c r="Q570" t="n">
        <v>0</v>
      </c>
      <c r="R570" s="2" t="inlineStr"/>
    </row>
    <row r="571" ht="15" customHeight="1">
      <c r="A571" t="inlineStr">
        <is>
          <t>A 43067-2018</t>
        </is>
      </c>
      <c r="B571" s="1" t="n">
        <v>43353</v>
      </c>
      <c r="C571" s="1" t="n">
        <v>45353</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43272-2018</t>
        </is>
      </c>
      <c r="B572" s="1" t="n">
        <v>43353</v>
      </c>
      <c r="C572" s="1" t="n">
        <v>45353</v>
      </c>
      <c r="D572" t="inlineStr">
        <is>
          <t>VÄRMLANDS LÄN</t>
        </is>
      </c>
      <c r="E572" t="inlineStr">
        <is>
          <t>SÄFFLE</t>
        </is>
      </c>
      <c r="G572" t="n">
        <v>9.5</v>
      </c>
      <c r="H572" t="n">
        <v>0</v>
      </c>
      <c r="I572" t="n">
        <v>0</v>
      </c>
      <c r="J572" t="n">
        <v>0</v>
      </c>
      <c r="K572" t="n">
        <v>0</v>
      </c>
      <c r="L572" t="n">
        <v>0</v>
      </c>
      <c r="M572" t="n">
        <v>0</v>
      </c>
      <c r="N572" t="n">
        <v>0</v>
      </c>
      <c r="O572" t="n">
        <v>0</v>
      </c>
      <c r="P572" t="n">
        <v>0</v>
      </c>
      <c r="Q572" t="n">
        <v>0</v>
      </c>
      <c r="R572" s="2" t="inlineStr"/>
    </row>
    <row r="573" ht="15" customHeight="1">
      <c r="A573" t="inlineStr">
        <is>
          <t>A 43336-2018</t>
        </is>
      </c>
      <c r="B573" s="1" t="n">
        <v>43353</v>
      </c>
      <c r="C573" s="1" t="n">
        <v>45353</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43381-2018</t>
        </is>
      </c>
      <c r="B574" s="1" t="n">
        <v>43353</v>
      </c>
      <c r="C574" s="1" t="n">
        <v>45353</v>
      </c>
      <c r="D574" t="inlineStr">
        <is>
          <t>VÄRMLANDS LÄN</t>
        </is>
      </c>
      <c r="E574" t="inlineStr">
        <is>
          <t>EDA</t>
        </is>
      </c>
      <c r="G574" t="n">
        <v>1.3</v>
      </c>
      <c r="H574" t="n">
        <v>0</v>
      </c>
      <c r="I574" t="n">
        <v>0</v>
      </c>
      <c r="J574" t="n">
        <v>0</v>
      </c>
      <c r="K574" t="n">
        <v>0</v>
      </c>
      <c r="L574" t="n">
        <v>0</v>
      </c>
      <c r="M574" t="n">
        <v>0</v>
      </c>
      <c r="N574" t="n">
        <v>0</v>
      </c>
      <c r="O574" t="n">
        <v>0</v>
      </c>
      <c r="P574" t="n">
        <v>0</v>
      </c>
      <c r="Q574" t="n">
        <v>0</v>
      </c>
      <c r="R574" s="2" t="inlineStr"/>
    </row>
    <row r="575" ht="15" customHeight="1">
      <c r="A575" t="inlineStr">
        <is>
          <t>A 43352-2018</t>
        </is>
      </c>
      <c r="B575" s="1" t="n">
        <v>43353</v>
      </c>
      <c r="C575" s="1" t="n">
        <v>45353</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43384-2018</t>
        </is>
      </c>
      <c r="B576" s="1" t="n">
        <v>43354</v>
      </c>
      <c r="C576" s="1" t="n">
        <v>45353</v>
      </c>
      <c r="D576" t="inlineStr">
        <is>
          <t>VÄRMLANDS LÄN</t>
        </is>
      </c>
      <c r="E576" t="inlineStr">
        <is>
          <t>ÅRJÄNG</t>
        </is>
      </c>
      <c r="G576" t="n">
        <v>3.5</v>
      </c>
      <c r="H576" t="n">
        <v>0</v>
      </c>
      <c r="I576" t="n">
        <v>0</v>
      </c>
      <c r="J576" t="n">
        <v>0</v>
      </c>
      <c r="K576" t="n">
        <v>0</v>
      </c>
      <c r="L576" t="n">
        <v>0</v>
      </c>
      <c r="M576" t="n">
        <v>0</v>
      </c>
      <c r="N576" t="n">
        <v>0</v>
      </c>
      <c r="O576" t="n">
        <v>0</v>
      </c>
      <c r="P576" t="n">
        <v>0</v>
      </c>
      <c r="Q576" t="n">
        <v>0</v>
      </c>
      <c r="R576" s="2" t="inlineStr"/>
    </row>
    <row r="577" ht="15" customHeight="1">
      <c r="A577" t="inlineStr">
        <is>
          <t>A 43355-2018</t>
        </is>
      </c>
      <c r="B577" s="1" t="n">
        <v>43354</v>
      </c>
      <c r="C577" s="1" t="n">
        <v>45353</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43742-2018</t>
        </is>
      </c>
      <c r="B578" s="1" t="n">
        <v>43355</v>
      </c>
      <c r="C578" s="1" t="n">
        <v>45353</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44563-2018</t>
        </is>
      </c>
      <c r="B579" s="1" t="n">
        <v>43356</v>
      </c>
      <c r="C579" s="1" t="n">
        <v>45353</v>
      </c>
      <c r="D579" t="inlineStr">
        <is>
          <t>VÄRMLANDS LÄN</t>
        </is>
      </c>
      <c r="E579" t="inlineStr">
        <is>
          <t>SUNNE</t>
        </is>
      </c>
      <c r="G579" t="n">
        <v>0.5</v>
      </c>
      <c r="H579" t="n">
        <v>0</v>
      </c>
      <c r="I579" t="n">
        <v>0</v>
      </c>
      <c r="J579" t="n">
        <v>0</v>
      </c>
      <c r="K579" t="n">
        <v>0</v>
      </c>
      <c r="L579" t="n">
        <v>0</v>
      </c>
      <c r="M579" t="n">
        <v>0</v>
      </c>
      <c r="N579" t="n">
        <v>0</v>
      </c>
      <c r="O579" t="n">
        <v>0</v>
      </c>
      <c r="P579" t="n">
        <v>0</v>
      </c>
      <c r="Q579" t="n">
        <v>0</v>
      </c>
      <c r="R579" s="2" t="inlineStr"/>
    </row>
    <row r="580" ht="15" customHeight="1">
      <c r="A580" t="inlineStr">
        <is>
          <t>A 44594-2018</t>
        </is>
      </c>
      <c r="B580" s="1" t="n">
        <v>43356</v>
      </c>
      <c r="C580" s="1" t="n">
        <v>45353</v>
      </c>
      <c r="D580" t="inlineStr">
        <is>
          <t>VÄRMLANDS LÄN</t>
        </is>
      </c>
      <c r="E580" t="inlineStr">
        <is>
          <t>HAGFORS</t>
        </is>
      </c>
      <c r="G580" t="n">
        <v>5.4</v>
      </c>
      <c r="H580" t="n">
        <v>0</v>
      </c>
      <c r="I580" t="n">
        <v>0</v>
      </c>
      <c r="J580" t="n">
        <v>0</v>
      </c>
      <c r="K580" t="n">
        <v>0</v>
      </c>
      <c r="L580" t="n">
        <v>0</v>
      </c>
      <c r="M580" t="n">
        <v>0</v>
      </c>
      <c r="N580" t="n">
        <v>0</v>
      </c>
      <c r="O580" t="n">
        <v>0</v>
      </c>
      <c r="P580" t="n">
        <v>0</v>
      </c>
      <c r="Q580" t="n">
        <v>0</v>
      </c>
      <c r="R580" s="2" t="inlineStr"/>
    </row>
    <row r="581" ht="15" customHeight="1">
      <c r="A581" t="inlineStr">
        <is>
          <t>A 44997-2018</t>
        </is>
      </c>
      <c r="B581" s="1" t="n">
        <v>43360</v>
      </c>
      <c r="C581" s="1" t="n">
        <v>45353</v>
      </c>
      <c r="D581" t="inlineStr">
        <is>
          <t>VÄRMLANDS LÄN</t>
        </is>
      </c>
      <c r="E581" t="inlineStr">
        <is>
          <t>KRISTINEHAMN</t>
        </is>
      </c>
      <c r="G581" t="n">
        <v>1.5</v>
      </c>
      <c r="H581" t="n">
        <v>0</v>
      </c>
      <c r="I581" t="n">
        <v>0</v>
      </c>
      <c r="J581" t="n">
        <v>0</v>
      </c>
      <c r="K581" t="n">
        <v>0</v>
      </c>
      <c r="L581" t="n">
        <v>0</v>
      </c>
      <c r="M581" t="n">
        <v>0</v>
      </c>
      <c r="N581" t="n">
        <v>0</v>
      </c>
      <c r="O581" t="n">
        <v>0</v>
      </c>
      <c r="P581" t="n">
        <v>0</v>
      </c>
      <c r="Q581" t="n">
        <v>0</v>
      </c>
      <c r="R581" s="2" t="inlineStr"/>
    </row>
    <row r="582" ht="15" customHeight="1">
      <c r="A582" t="inlineStr">
        <is>
          <t>A 44987-2018</t>
        </is>
      </c>
      <c r="B582" s="1" t="n">
        <v>43360</v>
      </c>
      <c r="C582" s="1" t="n">
        <v>45353</v>
      </c>
      <c r="D582" t="inlineStr">
        <is>
          <t>VÄRMLANDS LÄN</t>
        </is>
      </c>
      <c r="E582" t="inlineStr">
        <is>
          <t>KARLSTAD</t>
        </is>
      </c>
      <c r="G582" t="n">
        <v>2.9</v>
      </c>
      <c r="H582" t="n">
        <v>0</v>
      </c>
      <c r="I582" t="n">
        <v>0</v>
      </c>
      <c r="J582" t="n">
        <v>0</v>
      </c>
      <c r="K582" t="n">
        <v>0</v>
      </c>
      <c r="L582" t="n">
        <v>0</v>
      </c>
      <c r="M582" t="n">
        <v>0</v>
      </c>
      <c r="N582" t="n">
        <v>0</v>
      </c>
      <c r="O582" t="n">
        <v>0</v>
      </c>
      <c r="P582" t="n">
        <v>0</v>
      </c>
      <c r="Q582" t="n">
        <v>0</v>
      </c>
      <c r="R582" s="2" t="inlineStr"/>
    </row>
    <row r="583" ht="15" customHeight="1">
      <c r="A583" t="inlineStr">
        <is>
          <t>A 45032-2018</t>
        </is>
      </c>
      <c r="B583" s="1" t="n">
        <v>43360</v>
      </c>
      <c r="C583" s="1" t="n">
        <v>45353</v>
      </c>
      <c r="D583" t="inlineStr">
        <is>
          <t>VÄRMLANDS LÄN</t>
        </is>
      </c>
      <c r="E583" t="inlineStr">
        <is>
          <t>SÄFFLE</t>
        </is>
      </c>
      <c r="G583" t="n">
        <v>2.1</v>
      </c>
      <c r="H583" t="n">
        <v>0</v>
      </c>
      <c r="I583" t="n">
        <v>0</v>
      </c>
      <c r="J583" t="n">
        <v>0</v>
      </c>
      <c r="K583" t="n">
        <v>0</v>
      </c>
      <c r="L583" t="n">
        <v>0</v>
      </c>
      <c r="M583" t="n">
        <v>0</v>
      </c>
      <c r="N583" t="n">
        <v>0</v>
      </c>
      <c r="O583" t="n">
        <v>0</v>
      </c>
      <c r="P583" t="n">
        <v>0</v>
      </c>
      <c r="Q583" t="n">
        <v>0</v>
      </c>
      <c r="R583" s="2" t="inlineStr"/>
    </row>
    <row r="584" ht="15" customHeight="1">
      <c r="A584" t="inlineStr">
        <is>
          <t>A 45123-2018</t>
        </is>
      </c>
      <c r="B584" s="1" t="n">
        <v>43361</v>
      </c>
      <c r="C584" s="1" t="n">
        <v>45353</v>
      </c>
      <c r="D584" t="inlineStr">
        <is>
          <t>VÄRMLANDS LÄN</t>
        </is>
      </c>
      <c r="E584" t="inlineStr">
        <is>
          <t>SUNNE</t>
        </is>
      </c>
      <c r="F584" t="inlineStr">
        <is>
          <t>Kyrkan</t>
        </is>
      </c>
      <c r="G584" t="n">
        <v>0.8</v>
      </c>
      <c r="H584" t="n">
        <v>0</v>
      </c>
      <c r="I584" t="n">
        <v>0</v>
      </c>
      <c r="J584" t="n">
        <v>0</v>
      </c>
      <c r="K584" t="n">
        <v>0</v>
      </c>
      <c r="L584" t="n">
        <v>0</v>
      </c>
      <c r="M584" t="n">
        <v>0</v>
      </c>
      <c r="N584" t="n">
        <v>0</v>
      </c>
      <c r="O584" t="n">
        <v>0</v>
      </c>
      <c r="P584" t="n">
        <v>0</v>
      </c>
      <c r="Q584" t="n">
        <v>0</v>
      </c>
      <c r="R584" s="2" t="inlineStr"/>
    </row>
    <row r="585" ht="15" customHeight="1">
      <c r="A585" t="inlineStr">
        <is>
          <t>A 45111-2018</t>
        </is>
      </c>
      <c r="B585" s="1" t="n">
        <v>43361</v>
      </c>
      <c r="C585" s="1" t="n">
        <v>45353</v>
      </c>
      <c r="D585" t="inlineStr">
        <is>
          <t>VÄRMLANDS LÄN</t>
        </is>
      </c>
      <c r="E585" t="inlineStr">
        <is>
          <t>SUNNE</t>
        </is>
      </c>
      <c r="F585" t="inlineStr">
        <is>
          <t>Kyrkan</t>
        </is>
      </c>
      <c r="G585" t="n">
        <v>2.1</v>
      </c>
      <c r="H585" t="n">
        <v>0</v>
      </c>
      <c r="I585" t="n">
        <v>0</v>
      </c>
      <c r="J585" t="n">
        <v>0</v>
      </c>
      <c r="K585" t="n">
        <v>0</v>
      </c>
      <c r="L585" t="n">
        <v>0</v>
      </c>
      <c r="M585" t="n">
        <v>0</v>
      </c>
      <c r="N585" t="n">
        <v>0</v>
      </c>
      <c r="O585" t="n">
        <v>0</v>
      </c>
      <c r="P585" t="n">
        <v>0</v>
      </c>
      <c r="Q585" t="n">
        <v>0</v>
      </c>
      <c r="R585" s="2" t="inlineStr"/>
    </row>
    <row r="586" ht="15" customHeight="1">
      <c r="A586" t="inlineStr">
        <is>
          <t>A 45097-2018</t>
        </is>
      </c>
      <c r="B586" s="1" t="n">
        <v>43361</v>
      </c>
      <c r="C586" s="1" t="n">
        <v>45353</v>
      </c>
      <c r="D586" t="inlineStr">
        <is>
          <t>VÄRMLANDS LÄN</t>
        </is>
      </c>
      <c r="E586" t="inlineStr">
        <is>
          <t>TORSBY</t>
        </is>
      </c>
      <c r="F586" t="inlineStr">
        <is>
          <t>Kyrkan</t>
        </is>
      </c>
      <c r="G586" t="n">
        <v>15.1</v>
      </c>
      <c r="H586" t="n">
        <v>0</v>
      </c>
      <c r="I586" t="n">
        <v>0</v>
      </c>
      <c r="J586" t="n">
        <v>0</v>
      </c>
      <c r="K586" t="n">
        <v>0</v>
      </c>
      <c r="L586" t="n">
        <v>0</v>
      </c>
      <c r="M586" t="n">
        <v>0</v>
      </c>
      <c r="N586" t="n">
        <v>0</v>
      </c>
      <c r="O586" t="n">
        <v>0</v>
      </c>
      <c r="P586" t="n">
        <v>0</v>
      </c>
      <c r="Q586" t="n">
        <v>0</v>
      </c>
      <c r="R586" s="2" t="inlineStr"/>
    </row>
    <row r="587" ht="15" customHeight="1">
      <c r="A587" t="inlineStr">
        <is>
          <t>A 45461-2018</t>
        </is>
      </c>
      <c r="B587" s="1" t="n">
        <v>43361</v>
      </c>
      <c r="C587" s="1" t="n">
        <v>45353</v>
      </c>
      <c r="D587" t="inlineStr">
        <is>
          <t>VÄRMLANDS LÄN</t>
        </is>
      </c>
      <c r="E587" t="inlineStr">
        <is>
          <t>SÄFFLE</t>
        </is>
      </c>
      <c r="G587" t="n">
        <v>3.4</v>
      </c>
      <c r="H587" t="n">
        <v>0</v>
      </c>
      <c r="I587" t="n">
        <v>0</v>
      </c>
      <c r="J587" t="n">
        <v>0</v>
      </c>
      <c r="K587" t="n">
        <v>0</v>
      </c>
      <c r="L587" t="n">
        <v>0</v>
      </c>
      <c r="M587" t="n">
        <v>0</v>
      </c>
      <c r="N587" t="n">
        <v>0</v>
      </c>
      <c r="O587" t="n">
        <v>0</v>
      </c>
      <c r="P587" t="n">
        <v>0</v>
      </c>
      <c r="Q587" t="n">
        <v>0</v>
      </c>
      <c r="R587" s="2" t="inlineStr"/>
    </row>
    <row r="588" ht="15" customHeight="1">
      <c r="A588" t="inlineStr">
        <is>
          <t>A 44927-2018</t>
        </is>
      </c>
      <c r="B588" s="1" t="n">
        <v>43362</v>
      </c>
      <c r="C588" s="1" t="n">
        <v>45353</v>
      </c>
      <c r="D588" t="inlineStr">
        <is>
          <t>VÄRMLANDS LÄN</t>
        </is>
      </c>
      <c r="E588" t="inlineStr">
        <is>
          <t>ARVIKA</t>
        </is>
      </c>
      <c r="G588" t="n">
        <v>2.3</v>
      </c>
      <c r="H588" t="n">
        <v>0</v>
      </c>
      <c r="I588" t="n">
        <v>0</v>
      </c>
      <c r="J588" t="n">
        <v>0</v>
      </c>
      <c r="K588" t="n">
        <v>0</v>
      </c>
      <c r="L588" t="n">
        <v>0</v>
      </c>
      <c r="M588" t="n">
        <v>0</v>
      </c>
      <c r="N588" t="n">
        <v>0</v>
      </c>
      <c r="O588" t="n">
        <v>0</v>
      </c>
      <c r="P588" t="n">
        <v>0</v>
      </c>
      <c r="Q588" t="n">
        <v>0</v>
      </c>
      <c r="R588" s="2" t="inlineStr"/>
    </row>
    <row r="589" ht="15" customHeight="1">
      <c r="A589" t="inlineStr">
        <is>
          <t>A 45686-2018</t>
        </is>
      </c>
      <c r="B589" s="1" t="n">
        <v>43362</v>
      </c>
      <c r="C589" s="1" t="n">
        <v>45353</v>
      </c>
      <c r="D589" t="inlineStr">
        <is>
          <t>VÄRMLANDS LÄN</t>
        </is>
      </c>
      <c r="E589" t="inlineStr">
        <is>
          <t>KARLSTAD</t>
        </is>
      </c>
      <c r="G589" t="n">
        <v>1.6</v>
      </c>
      <c r="H589" t="n">
        <v>0</v>
      </c>
      <c r="I589" t="n">
        <v>0</v>
      </c>
      <c r="J589" t="n">
        <v>0</v>
      </c>
      <c r="K589" t="n">
        <v>0</v>
      </c>
      <c r="L589" t="n">
        <v>0</v>
      </c>
      <c r="M589" t="n">
        <v>0</v>
      </c>
      <c r="N589" t="n">
        <v>0</v>
      </c>
      <c r="O589" t="n">
        <v>0</v>
      </c>
      <c r="P589" t="n">
        <v>0</v>
      </c>
      <c r="Q589" t="n">
        <v>0</v>
      </c>
      <c r="R589" s="2" t="inlineStr"/>
    </row>
    <row r="590" ht="15" customHeight="1">
      <c r="A590" t="inlineStr">
        <is>
          <t>A 45527-2018</t>
        </is>
      </c>
      <c r="B590" s="1" t="n">
        <v>43362</v>
      </c>
      <c r="C590" s="1" t="n">
        <v>45353</v>
      </c>
      <c r="D590" t="inlineStr">
        <is>
          <t>VÄRMLANDS LÄN</t>
        </is>
      </c>
      <c r="E590" t="inlineStr">
        <is>
          <t>SÄFFLE</t>
        </is>
      </c>
      <c r="G590" t="n">
        <v>1.4</v>
      </c>
      <c r="H590" t="n">
        <v>0</v>
      </c>
      <c r="I590" t="n">
        <v>0</v>
      </c>
      <c r="J590" t="n">
        <v>0</v>
      </c>
      <c r="K590" t="n">
        <v>0</v>
      </c>
      <c r="L590" t="n">
        <v>0</v>
      </c>
      <c r="M590" t="n">
        <v>0</v>
      </c>
      <c r="N590" t="n">
        <v>0</v>
      </c>
      <c r="O590" t="n">
        <v>0</v>
      </c>
      <c r="P590" t="n">
        <v>0</v>
      </c>
      <c r="Q590" t="n">
        <v>0</v>
      </c>
      <c r="R590" s="2" t="inlineStr"/>
    </row>
    <row r="591" ht="15" customHeight="1">
      <c r="A591" t="inlineStr">
        <is>
          <t>A 45569-2018</t>
        </is>
      </c>
      <c r="B591" s="1" t="n">
        <v>43362</v>
      </c>
      <c r="C591" s="1" t="n">
        <v>45353</v>
      </c>
      <c r="D591" t="inlineStr">
        <is>
          <t>VÄRMLANDS LÄN</t>
        </is>
      </c>
      <c r="E591" t="inlineStr">
        <is>
          <t>ARVIKA</t>
        </is>
      </c>
      <c r="G591" t="n">
        <v>2.4</v>
      </c>
      <c r="H591" t="n">
        <v>0</v>
      </c>
      <c r="I591" t="n">
        <v>0</v>
      </c>
      <c r="J591" t="n">
        <v>0</v>
      </c>
      <c r="K591" t="n">
        <v>0</v>
      </c>
      <c r="L591" t="n">
        <v>0</v>
      </c>
      <c r="M591" t="n">
        <v>0</v>
      </c>
      <c r="N591" t="n">
        <v>0</v>
      </c>
      <c r="O591" t="n">
        <v>0</v>
      </c>
      <c r="P591" t="n">
        <v>0</v>
      </c>
      <c r="Q591" t="n">
        <v>0</v>
      </c>
      <c r="R591" s="2" t="inlineStr"/>
    </row>
    <row r="592" ht="15" customHeight="1">
      <c r="A592" t="inlineStr">
        <is>
          <t>A 45730-2018</t>
        </is>
      </c>
      <c r="B592" s="1" t="n">
        <v>43362</v>
      </c>
      <c r="C592" s="1" t="n">
        <v>45353</v>
      </c>
      <c r="D592" t="inlineStr">
        <is>
          <t>VÄRMLANDS LÄN</t>
        </is>
      </c>
      <c r="E592" t="inlineStr">
        <is>
          <t>FORSHAGA</t>
        </is>
      </c>
      <c r="G592" t="n">
        <v>1</v>
      </c>
      <c r="H592" t="n">
        <v>0</v>
      </c>
      <c r="I592" t="n">
        <v>0</v>
      </c>
      <c r="J592" t="n">
        <v>0</v>
      </c>
      <c r="K592" t="n">
        <v>0</v>
      </c>
      <c r="L592" t="n">
        <v>0</v>
      </c>
      <c r="M592" t="n">
        <v>0</v>
      </c>
      <c r="N592" t="n">
        <v>0</v>
      </c>
      <c r="O592" t="n">
        <v>0</v>
      </c>
      <c r="P592" t="n">
        <v>0</v>
      </c>
      <c r="Q592" t="n">
        <v>0</v>
      </c>
      <c r="R592" s="2" t="inlineStr"/>
    </row>
    <row r="593" ht="15" customHeight="1">
      <c r="A593" t="inlineStr">
        <is>
          <t>A 46094-2018</t>
        </is>
      </c>
      <c r="B593" s="1" t="n">
        <v>43363</v>
      </c>
      <c r="C593" s="1" t="n">
        <v>45353</v>
      </c>
      <c r="D593" t="inlineStr">
        <is>
          <t>VÄRMLANDS LÄN</t>
        </is>
      </c>
      <c r="E593" t="inlineStr">
        <is>
          <t>ARVIKA</t>
        </is>
      </c>
      <c r="G593" t="n">
        <v>3.9</v>
      </c>
      <c r="H593" t="n">
        <v>0</v>
      </c>
      <c r="I593" t="n">
        <v>0</v>
      </c>
      <c r="J593" t="n">
        <v>0</v>
      </c>
      <c r="K593" t="n">
        <v>0</v>
      </c>
      <c r="L593" t="n">
        <v>0</v>
      </c>
      <c r="M593" t="n">
        <v>0</v>
      </c>
      <c r="N593" t="n">
        <v>0</v>
      </c>
      <c r="O593" t="n">
        <v>0</v>
      </c>
      <c r="P593" t="n">
        <v>0</v>
      </c>
      <c r="Q593" t="n">
        <v>0</v>
      </c>
      <c r="R593" s="2" t="inlineStr"/>
    </row>
    <row r="594" ht="15" customHeight="1">
      <c r="A594" t="inlineStr">
        <is>
          <t>A 46575-2018</t>
        </is>
      </c>
      <c r="B594" s="1" t="n">
        <v>43363</v>
      </c>
      <c r="C594" s="1" t="n">
        <v>45353</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45586-2018</t>
        </is>
      </c>
      <c r="B595" s="1" t="n">
        <v>43363</v>
      </c>
      <c r="C595" s="1" t="n">
        <v>45353</v>
      </c>
      <c r="D595" t="inlineStr">
        <is>
          <t>VÄRMLANDS LÄN</t>
        </is>
      </c>
      <c r="E595" t="inlineStr">
        <is>
          <t>KIL</t>
        </is>
      </c>
      <c r="G595" t="n">
        <v>1.2</v>
      </c>
      <c r="H595" t="n">
        <v>0</v>
      </c>
      <c r="I595" t="n">
        <v>0</v>
      </c>
      <c r="J595" t="n">
        <v>0</v>
      </c>
      <c r="K595" t="n">
        <v>0</v>
      </c>
      <c r="L595" t="n">
        <v>0</v>
      </c>
      <c r="M595" t="n">
        <v>0</v>
      </c>
      <c r="N595" t="n">
        <v>0</v>
      </c>
      <c r="O595" t="n">
        <v>0</v>
      </c>
      <c r="P595" t="n">
        <v>0</v>
      </c>
      <c r="Q595" t="n">
        <v>0</v>
      </c>
      <c r="R595" s="2" t="inlineStr"/>
    </row>
    <row r="596" ht="15" customHeight="1">
      <c r="A596" t="inlineStr">
        <is>
          <t>A 46088-2018</t>
        </is>
      </c>
      <c r="B596" s="1" t="n">
        <v>43363</v>
      </c>
      <c r="C596" s="1" t="n">
        <v>45353</v>
      </c>
      <c r="D596" t="inlineStr">
        <is>
          <t>VÄRMLANDS LÄN</t>
        </is>
      </c>
      <c r="E596" t="inlineStr">
        <is>
          <t>SÄFFLE</t>
        </is>
      </c>
      <c r="G596" t="n">
        <v>5.4</v>
      </c>
      <c r="H596" t="n">
        <v>0</v>
      </c>
      <c r="I596" t="n">
        <v>0</v>
      </c>
      <c r="J596" t="n">
        <v>0</v>
      </c>
      <c r="K596" t="n">
        <v>0</v>
      </c>
      <c r="L596" t="n">
        <v>0</v>
      </c>
      <c r="M596" t="n">
        <v>0</v>
      </c>
      <c r="N596" t="n">
        <v>0</v>
      </c>
      <c r="O596" t="n">
        <v>0</v>
      </c>
      <c r="P596" t="n">
        <v>0</v>
      </c>
      <c r="Q596" t="n">
        <v>0</v>
      </c>
      <c r="R596" s="2" t="inlineStr"/>
    </row>
    <row r="597" ht="15" customHeight="1">
      <c r="A597" t="inlineStr">
        <is>
          <t>A 46133-2018</t>
        </is>
      </c>
      <c r="B597" s="1" t="n">
        <v>43363</v>
      </c>
      <c r="C597" s="1" t="n">
        <v>45353</v>
      </c>
      <c r="D597" t="inlineStr">
        <is>
          <t>VÄRMLANDS LÄN</t>
        </is>
      </c>
      <c r="E597" t="inlineStr">
        <is>
          <t>SUNNE</t>
        </is>
      </c>
      <c r="G597" t="n">
        <v>1.2</v>
      </c>
      <c r="H597" t="n">
        <v>0</v>
      </c>
      <c r="I597" t="n">
        <v>0</v>
      </c>
      <c r="J597" t="n">
        <v>0</v>
      </c>
      <c r="K597" t="n">
        <v>0</v>
      </c>
      <c r="L597" t="n">
        <v>0</v>
      </c>
      <c r="M597" t="n">
        <v>0</v>
      </c>
      <c r="N597" t="n">
        <v>0</v>
      </c>
      <c r="O597" t="n">
        <v>0</v>
      </c>
      <c r="P597" t="n">
        <v>0</v>
      </c>
      <c r="Q597" t="n">
        <v>0</v>
      </c>
      <c r="R597" s="2" t="inlineStr"/>
    </row>
    <row r="598" ht="15" customHeight="1">
      <c r="A598" t="inlineStr">
        <is>
          <t>A 46565-2018</t>
        </is>
      </c>
      <c r="B598" s="1" t="n">
        <v>43363</v>
      </c>
      <c r="C598" s="1" t="n">
        <v>45353</v>
      </c>
      <c r="D598" t="inlineStr">
        <is>
          <t>VÄRMLANDS LÄN</t>
        </is>
      </c>
      <c r="E598" t="inlineStr">
        <is>
          <t>TORSBY</t>
        </is>
      </c>
      <c r="G598" t="n">
        <v>8.6</v>
      </c>
      <c r="H598" t="n">
        <v>0</v>
      </c>
      <c r="I598" t="n">
        <v>0</v>
      </c>
      <c r="J598" t="n">
        <v>0</v>
      </c>
      <c r="K598" t="n">
        <v>0</v>
      </c>
      <c r="L598" t="n">
        <v>0</v>
      </c>
      <c r="M598" t="n">
        <v>0</v>
      </c>
      <c r="N598" t="n">
        <v>0</v>
      </c>
      <c r="O598" t="n">
        <v>0</v>
      </c>
      <c r="P598" t="n">
        <v>0</v>
      </c>
      <c r="Q598" t="n">
        <v>0</v>
      </c>
      <c r="R598" s="2" t="inlineStr"/>
    </row>
    <row r="599" ht="15" customHeight="1">
      <c r="A599" t="inlineStr">
        <is>
          <t>A 46268-2018</t>
        </is>
      </c>
      <c r="B599" s="1" t="n">
        <v>43364</v>
      </c>
      <c r="C599" s="1" t="n">
        <v>45353</v>
      </c>
      <c r="D599" t="inlineStr">
        <is>
          <t>VÄRMLANDS LÄN</t>
        </is>
      </c>
      <c r="E599" t="inlineStr">
        <is>
          <t>HAGFORS</t>
        </is>
      </c>
      <c r="G599" t="n">
        <v>2</v>
      </c>
      <c r="H599" t="n">
        <v>0</v>
      </c>
      <c r="I599" t="n">
        <v>0</v>
      </c>
      <c r="J599" t="n">
        <v>0</v>
      </c>
      <c r="K599" t="n">
        <v>0</v>
      </c>
      <c r="L599" t="n">
        <v>0</v>
      </c>
      <c r="M599" t="n">
        <v>0</v>
      </c>
      <c r="N599" t="n">
        <v>0</v>
      </c>
      <c r="O599" t="n">
        <v>0</v>
      </c>
      <c r="P599" t="n">
        <v>0</v>
      </c>
      <c r="Q599" t="n">
        <v>0</v>
      </c>
      <c r="R599" s="2" t="inlineStr"/>
    </row>
    <row r="600" ht="15" customHeight="1">
      <c r="A600" t="inlineStr">
        <is>
          <t>A 46310-2018</t>
        </is>
      </c>
      <c r="B600" s="1" t="n">
        <v>43364</v>
      </c>
      <c r="C600" s="1" t="n">
        <v>45353</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46261-2018</t>
        </is>
      </c>
      <c r="B601" s="1" t="n">
        <v>43364</v>
      </c>
      <c r="C601" s="1" t="n">
        <v>45353</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46566-2018</t>
        </is>
      </c>
      <c r="B602" s="1" t="n">
        <v>43364</v>
      </c>
      <c r="C602" s="1" t="n">
        <v>45353</v>
      </c>
      <c r="D602" t="inlineStr">
        <is>
          <t>VÄRMLANDS LÄN</t>
        </is>
      </c>
      <c r="E602" t="inlineStr">
        <is>
          <t>STORFORS</t>
        </is>
      </c>
      <c r="G602" t="n">
        <v>3.4</v>
      </c>
      <c r="H602" t="n">
        <v>0</v>
      </c>
      <c r="I602" t="n">
        <v>0</v>
      </c>
      <c r="J602" t="n">
        <v>0</v>
      </c>
      <c r="K602" t="n">
        <v>0</v>
      </c>
      <c r="L602" t="n">
        <v>0</v>
      </c>
      <c r="M602" t="n">
        <v>0</v>
      </c>
      <c r="N602" t="n">
        <v>0</v>
      </c>
      <c r="O602" t="n">
        <v>0</v>
      </c>
      <c r="P602" t="n">
        <v>0</v>
      </c>
      <c r="Q602" t="n">
        <v>0</v>
      </c>
      <c r="R602" s="2" t="inlineStr"/>
    </row>
    <row r="603" ht="15" customHeight="1">
      <c r="A603" t="inlineStr">
        <is>
          <t>A 46265-2018</t>
        </is>
      </c>
      <c r="B603" s="1" t="n">
        <v>43364</v>
      </c>
      <c r="C603" s="1" t="n">
        <v>45353</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46300-2018</t>
        </is>
      </c>
      <c r="B604" s="1" t="n">
        <v>43364</v>
      </c>
      <c r="C604" s="1" t="n">
        <v>45353</v>
      </c>
      <c r="D604" t="inlineStr">
        <is>
          <t>VÄRMLANDS LÄN</t>
        </is>
      </c>
      <c r="E604" t="inlineStr">
        <is>
          <t>TORSBY</t>
        </is>
      </c>
      <c r="G604" t="n">
        <v>2</v>
      </c>
      <c r="H604" t="n">
        <v>0</v>
      </c>
      <c r="I604" t="n">
        <v>0</v>
      </c>
      <c r="J604" t="n">
        <v>0</v>
      </c>
      <c r="K604" t="n">
        <v>0</v>
      </c>
      <c r="L604" t="n">
        <v>0</v>
      </c>
      <c r="M604" t="n">
        <v>0</v>
      </c>
      <c r="N604" t="n">
        <v>0</v>
      </c>
      <c r="O604" t="n">
        <v>0</v>
      </c>
      <c r="P604" t="n">
        <v>0</v>
      </c>
      <c r="Q604" t="n">
        <v>0</v>
      </c>
      <c r="R604" s="2" t="inlineStr"/>
    </row>
    <row r="605" ht="15" customHeight="1">
      <c r="A605" t="inlineStr">
        <is>
          <t>A 46270-2018</t>
        </is>
      </c>
      <c r="B605" s="1" t="n">
        <v>43364</v>
      </c>
      <c r="C605" s="1" t="n">
        <v>45353</v>
      </c>
      <c r="D605" t="inlineStr">
        <is>
          <t>VÄRMLANDS LÄN</t>
        </is>
      </c>
      <c r="E605" t="inlineStr">
        <is>
          <t>TORSBY</t>
        </is>
      </c>
      <c r="G605" t="n">
        <v>3.4</v>
      </c>
      <c r="H605" t="n">
        <v>0</v>
      </c>
      <c r="I605" t="n">
        <v>0</v>
      </c>
      <c r="J605" t="n">
        <v>0</v>
      </c>
      <c r="K605" t="n">
        <v>0</v>
      </c>
      <c r="L605" t="n">
        <v>0</v>
      </c>
      <c r="M605" t="n">
        <v>0</v>
      </c>
      <c r="N605" t="n">
        <v>0</v>
      </c>
      <c r="O605" t="n">
        <v>0</v>
      </c>
      <c r="P605" t="n">
        <v>0</v>
      </c>
      <c r="Q605" t="n">
        <v>0</v>
      </c>
      <c r="R605" s="2" t="inlineStr"/>
    </row>
    <row r="606" ht="15" customHeight="1">
      <c r="A606" t="inlineStr">
        <is>
          <t>A 46319-2018</t>
        </is>
      </c>
      <c r="B606" s="1" t="n">
        <v>43364</v>
      </c>
      <c r="C606" s="1" t="n">
        <v>45353</v>
      </c>
      <c r="D606" t="inlineStr">
        <is>
          <t>VÄRMLANDS LÄN</t>
        </is>
      </c>
      <c r="E606" t="inlineStr">
        <is>
          <t>TORSBY</t>
        </is>
      </c>
      <c r="G606" t="n">
        <v>6.5</v>
      </c>
      <c r="H606" t="n">
        <v>0</v>
      </c>
      <c r="I606" t="n">
        <v>0</v>
      </c>
      <c r="J606" t="n">
        <v>0</v>
      </c>
      <c r="K606" t="n">
        <v>0</v>
      </c>
      <c r="L606" t="n">
        <v>0</v>
      </c>
      <c r="M606" t="n">
        <v>0</v>
      </c>
      <c r="N606" t="n">
        <v>0</v>
      </c>
      <c r="O606" t="n">
        <v>0</v>
      </c>
      <c r="P606" t="n">
        <v>0</v>
      </c>
      <c r="Q606" t="n">
        <v>0</v>
      </c>
      <c r="R606" s="2" t="inlineStr"/>
    </row>
    <row r="607" ht="15" customHeight="1">
      <c r="A607" t="inlineStr">
        <is>
          <t>A 46989-2018</t>
        </is>
      </c>
      <c r="B607" s="1" t="n">
        <v>43367</v>
      </c>
      <c r="C607" s="1" t="n">
        <v>45353</v>
      </c>
      <c r="D607" t="inlineStr">
        <is>
          <t>VÄRMLANDS LÄN</t>
        </is>
      </c>
      <c r="E607" t="inlineStr">
        <is>
          <t>ARVIKA</t>
        </is>
      </c>
      <c r="G607" t="n">
        <v>5</v>
      </c>
      <c r="H607" t="n">
        <v>0</v>
      </c>
      <c r="I607" t="n">
        <v>0</v>
      </c>
      <c r="J607" t="n">
        <v>0</v>
      </c>
      <c r="K607" t="n">
        <v>0</v>
      </c>
      <c r="L607" t="n">
        <v>0</v>
      </c>
      <c r="M607" t="n">
        <v>0</v>
      </c>
      <c r="N607" t="n">
        <v>0</v>
      </c>
      <c r="O607" t="n">
        <v>0</v>
      </c>
      <c r="P607" t="n">
        <v>0</v>
      </c>
      <c r="Q607" t="n">
        <v>0</v>
      </c>
      <c r="R607" s="2" t="inlineStr"/>
    </row>
    <row r="608" ht="15" customHeight="1">
      <c r="A608" t="inlineStr">
        <is>
          <t>A 47047-2018</t>
        </is>
      </c>
      <c r="B608" s="1" t="n">
        <v>43367</v>
      </c>
      <c r="C608" s="1" t="n">
        <v>45353</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46610-2018</t>
        </is>
      </c>
      <c r="B609" s="1" t="n">
        <v>43368</v>
      </c>
      <c r="C609" s="1" t="n">
        <v>45353</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47569-2018</t>
        </is>
      </c>
      <c r="B610" s="1" t="n">
        <v>43368</v>
      </c>
      <c r="C610" s="1" t="n">
        <v>45353</v>
      </c>
      <c r="D610" t="inlineStr">
        <is>
          <t>VÄRMLANDS LÄN</t>
        </is>
      </c>
      <c r="E610" t="inlineStr">
        <is>
          <t>TORSBY</t>
        </is>
      </c>
      <c r="G610" t="n">
        <v>2.7</v>
      </c>
      <c r="H610" t="n">
        <v>0</v>
      </c>
      <c r="I610" t="n">
        <v>0</v>
      </c>
      <c r="J610" t="n">
        <v>0</v>
      </c>
      <c r="K610" t="n">
        <v>0</v>
      </c>
      <c r="L610" t="n">
        <v>0</v>
      </c>
      <c r="M610" t="n">
        <v>0</v>
      </c>
      <c r="N610" t="n">
        <v>0</v>
      </c>
      <c r="O610" t="n">
        <v>0</v>
      </c>
      <c r="P610" t="n">
        <v>0</v>
      </c>
      <c r="Q610" t="n">
        <v>0</v>
      </c>
      <c r="R610" s="2" t="inlineStr"/>
    </row>
    <row r="611" ht="15" customHeight="1">
      <c r="A611" t="inlineStr">
        <is>
          <t>A 47666-2018</t>
        </is>
      </c>
      <c r="B611" s="1" t="n">
        <v>43369</v>
      </c>
      <c r="C611" s="1" t="n">
        <v>45353</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47072-2018</t>
        </is>
      </c>
      <c r="B612" s="1" t="n">
        <v>43369</v>
      </c>
      <c r="C612" s="1" t="n">
        <v>45353</v>
      </c>
      <c r="D612" t="inlineStr">
        <is>
          <t>VÄRMLANDS LÄN</t>
        </is>
      </c>
      <c r="E612" t="inlineStr">
        <is>
          <t>EDA</t>
        </is>
      </c>
      <c r="G612" t="n">
        <v>2.2</v>
      </c>
      <c r="H612" t="n">
        <v>0</v>
      </c>
      <c r="I612" t="n">
        <v>0</v>
      </c>
      <c r="J612" t="n">
        <v>0</v>
      </c>
      <c r="K612" t="n">
        <v>0</v>
      </c>
      <c r="L612" t="n">
        <v>0</v>
      </c>
      <c r="M612" t="n">
        <v>0</v>
      </c>
      <c r="N612" t="n">
        <v>0</v>
      </c>
      <c r="O612" t="n">
        <v>0</v>
      </c>
      <c r="P612" t="n">
        <v>0</v>
      </c>
      <c r="Q612" t="n">
        <v>0</v>
      </c>
      <c r="R612" s="2" t="inlineStr"/>
    </row>
    <row r="613" ht="15" customHeight="1">
      <c r="A613" t="inlineStr">
        <is>
          <t>A 47534-2018</t>
        </is>
      </c>
      <c r="B613" s="1" t="n">
        <v>43369</v>
      </c>
      <c r="C613" s="1" t="n">
        <v>45353</v>
      </c>
      <c r="D613" t="inlineStr">
        <is>
          <t>VÄRMLANDS LÄN</t>
        </is>
      </c>
      <c r="E613" t="inlineStr">
        <is>
          <t>SÄFFLE</t>
        </is>
      </c>
      <c r="G613" t="n">
        <v>2.3</v>
      </c>
      <c r="H613" t="n">
        <v>0</v>
      </c>
      <c r="I613" t="n">
        <v>0</v>
      </c>
      <c r="J613" t="n">
        <v>0</v>
      </c>
      <c r="K613" t="n">
        <v>0</v>
      </c>
      <c r="L613" t="n">
        <v>0</v>
      </c>
      <c r="M613" t="n">
        <v>0</v>
      </c>
      <c r="N613" t="n">
        <v>0</v>
      </c>
      <c r="O613" t="n">
        <v>0</v>
      </c>
      <c r="P613" t="n">
        <v>0</v>
      </c>
      <c r="Q613" t="n">
        <v>0</v>
      </c>
      <c r="R613" s="2" t="inlineStr"/>
    </row>
    <row r="614" ht="15" customHeight="1">
      <c r="A614" t="inlineStr">
        <is>
          <t>A 47592-2018</t>
        </is>
      </c>
      <c r="B614" s="1" t="n">
        <v>43370</v>
      </c>
      <c r="C614" s="1" t="n">
        <v>45353</v>
      </c>
      <c r="D614" t="inlineStr">
        <is>
          <t>VÄRMLANDS LÄN</t>
        </is>
      </c>
      <c r="E614" t="inlineStr">
        <is>
          <t>SÄFFLE</t>
        </is>
      </c>
      <c r="G614" t="n">
        <v>3.9</v>
      </c>
      <c r="H614" t="n">
        <v>0</v>
      </c>
      <c r="I614" t="n">
        <v>0</v>
      </c>
      <c r="J614" t="n">
        <v>0</v>
      </c>
      <c r="K614" t="n">
        <v>0</v>
      </c>
      <c r="L614" t="n">
        <v>0</v>
      </c>
      <c r="M614" t="n">
        <v>0</v>
      </c>
      <c r="N614" t="n">
        <v>0</v>
      </c>
      <c r="O614" t="n">
        <v>0</v>
      </c>
      <c r="P614" t="n">
        <v>0</v>
      </c>
      <c r="Q614" t="n">
        <v>0</v>
      </c>
      <c r="R614" s="2" t="inlineStr"/>
    </row>
    <row r="615" ht="15" customHeight="1">
      <c r="A615" t="inlineStr">
        <is>
          <t>A 48463-2018</t>
        </is>
      </c>
      <c r="B615" s="1" t="n">
        <v>43370</v>
      </c>
      <c r="C615" s="1" t="n">
        <v>45353</v>
      </c>
      <c r="D615" t="inlineStr">
        <is>
          <t>VÄRMLANDS LÄN</t>
        </is>
      </c>
      <c r="E615" t="inlineStr">
        <is>
          <t>ARVIKA</t>
        </is>
      </c>
      <c r="G615" t="n">
        <v>1.1</v>
      </c>
      <c r="H615" t="n">
        <v>0</v>
      </c>
      <c r="I615" t="n">
        <v>0</v>
      </c>
      <c r="J615" t="n">
        <v>0</v>
      </c>
      <c r="K615" t="n">
        <v>0</v>
      </c>
      <c r="L615" t="n">
        <v>0</v>
      </c>
      <c r="M615" t="n">
        <v>0</v>
      </c>
      <c r="N615" t="n">
        <v>0</v>
      </c>
      <c r="O615" t="n">
        <v>0</v>
      </c>
      <c r="P615" t="n">
        <v>0</v>
      </c>
      <c r="Q615" t="n">
        <v>0</v>
      </c>
      <c r="R615" s="2" t="inlineStr"/>
    </row>
    <row r="616" ht="15" customHeight="1">
      <c r="A616" t="inlineStr">
        <is>
          <t>A 48179-2018</t>
        </is>
      </c>
      <c r="B616" s="1" t="n">
        <v>43370</v>
      </c>
      <c r="C616" s="1" t="n">
        <v>45353</v>
      </c>
      <c r="D616" t="inlineStr">
        <is>
          <t>VÄRMLANDS LÄN</t>
        </is>
      </c>
      <c r="E616" t="inlineStr">
        <is>
          <t>KIL</t>
        </is>
      </c>
      <c r="G616" t="n">
        <v>1.8</v>
      </c>
      <c r="H616" t="n">
        <v>0</v>
      </c>
      <c r="I616" t="n">
        <v>0</v>
      </c>
      <c r="J616" t="n">
        <v>0</v>
      </c>
      <c r="K616" t="n">
        <v>0</v>
      </c>
      <c r="L616" t="n">
        <v>0</v>
      </c>
      <c r="M616" t="n">
        <v>0</v>
      </c>
      <c r="N616" t="n">
        <v>0</v>
      </c>
      <c r="O616" t="n">
        <v>0</v>
      </c>
      <c r="P616" t="n">
        <v>0</v>
      </c>
      <c r="Q616" t="n">
        <v>0</v>
      </c>
      <c r="R616" s="2" t="inlineStr"/>
    </row>
    <row r="617" ht="15" customHeight="1">
      <c r="A617" t="inlineStr">
        <is>
          <t>A 48932-2018</t>
        </is>
      </c>
      <c r="B617" s="1" t="n">
        <v>43371</v>
      </c>
      <c r="C617" s="1" t="n">
        <v>45353</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49006-2018</t>
        </is>
      </c>
      <c r="B618" s="1" t="n">
        <v>43371</v>
      </c>
      <c r="C618" s="1" t="n">
        <v>45353</v>
      </c>
      <c r="D618" t="inlineStr">
        <is>
          <t>VÄRMLANDS LÄN</t>
        </is>
      </c>
      <c r="E618" t="inlineStr">
        <is>
          <t>GRUMS</t>
        </is>
      </c>
      <c r="G618" t="n">
        <v>2</v>
      </c>
      <c r="H618" t="n">
        <v>0</v>
      </c>
      <c r="I618" t="n">
        <v>0</v>
      </c>
      <c r="J618" t="n">
        <v>0</v>
      </c>
      <c r="K618" t="n">
        <v>0</v>
      </c>
      <c r="L618" t="n">
        <v>0</v>
      </c>
      <c r="M618" t="n">
        <v>0</v>
      </c>
      <c r="N618" t="n">
        <v>0</v>
      </c>
      <c r="O618" t="n">
        <v>0</v>
      </c>
      <c r="P618" t="n">
        <v>0</v>
      </c>
      <c r="Q618" t="n">
        <v>0</v>
      </c>
      <c r="R618" s="2" t="inlineStr"/>
    </row>
    <row r="619" ht="15" customHeight="1">
      <c r="A619" t="inlineStr">
        <is>
          <t>A 49015-2018</t>
        </is>
      </c>
      <c r="B619" s="1" t="n">
        <v>43371</v>
      </c>
      <c r="C619" s="1" t="n">
        <v>45353</v>
      </c>
      <c r="D619" t="inlineStr">
        <is>
          <t>VÄRMLANDS LÄN</t>
        </is>
      </c>
      <c r="E619" t="inlineStr">
        <is>
          <t>GRUMS</t>
        </is>
      </c>
      <c r="G619" t="n">
        <v>2.5</v>
      </c>
      <c r="H619" t="n">
        <v>0</v>
      </c>
      <c r="I619" t="n">
        <v>0</v>
      </c>
      <c r="J619" t="n">
        <v>0</v>
      </c>
      <c r="K619" t="n">
        <v>0</v>
      </c>
      <c r="L619" t="n">
        <v>0</v>
      </c>
      <c r="M619" t="n">
        <v>0</v>
      </c>
      <c r="N619" t="n">
        <v>0</v>
      </c>
      <c r="O619" t="n">
        <v>0</v>
      </c>
      <c r="P619" t="n">
        <v>0</v>
      </c>
      <c r="Q619" t="n">
        <v>0</v>
      </c>
      <c r="R619" s="2" t="inlineStr"/>
    </row>
    <row r="620" ht="15" customHeight="1">
      <c r="A620" t="inlineStr">
        <is>
          <t>A 48743-2018</t>
        </is>
      </c>
      <c r="B620" s="1" t="n">
        <v>43371</v>
      </c>
      <c r="C620" s="1" t="n">
        <v>45353</v>
      </c>
      <c r="D620" t="inlineStr">
        <is>
          <t>VÄRMLANDS LÄN</t>
        </is>
      </c>
      <c r="E620" t="inlineStr">
        <is>
          <t>GRUMS</t>
        </is>
      </c>
      <c r="G620" t="n">
        <v>5.9</v>
      </c>
      <c r="H620" t="n">
        <v>0</v>
      </c>
      <c r="I620" t="n">
        <v>0</v>
      </c>
      <c r="J620" t="n">
        <v>0</v>
      </c>
      <c r="K620" t="n">
        <v>0</v>
      </c>
      <c r="L620" t="n">
        <v>0</v>
      </c>
      <c r="M620" t="n">
        <v>0</v>
      </c>
      <c r="N620" t="n">
        <v>0</v>
      </c>
      <c r="O620" t="n">
        <v>0</v>
      </c>
      <c r="P620" t="n">
        <v>0</v>
      </c>
      <c r="Q620" t="n">
        <v>0</v>
      </c>
      <c r="R620" s="2" t="inlineStr"/>
    </row>
    <row r="621" ht="15" customHeight="1">
      <c r="A621" t="inlineStr">
        <is>
          <t>A 49512-2018</t>
        </is>
      </c>
      <c r="B621" s="1" t="n">
        <v>43374</v>
      </c>
      <c r="C621" s="1" t="n">
        <v>45353</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48773-2018</t>
        </is>
      </c>
      <c r="B622" s="1" t="n">
        <v>43374</v>
      </c>
      <c r="C622" s="1" t="n">
        <v>45353</v>
      </c>
      <c r="D622" t="inlineStr">
        <is>
          <t>VÄRMLANDS LÄN</t>
        </is>
      </c>
      <c r="E622" t="inlineStr">
        <is>
          <t>TORSBY</t>
        </is>
      </c>
      <c r="G622" t="n">
        <v>3.8</v>
      </c>
      <c r="H622" t="n">
        <v>0</v>
      </c>
      <c r="I622" t="n">
        <v>0</v>
      </c>
      <c r="J622" t="n">
        <v>0</v>
      </c>
      <c r="K622" t="n">
        <v>0</v>
      </c>
      <c r="L622" t="n">
        <v>0</v>
      </c>
      <c r="M622" t="n">
        <v>0</v>
      </c>
      <c r="N622" t="n">
        <v>0</v>
      </c>
      <c r="O622" t="n">
        <v>0</v>
      </c>
      <c r="P622" t="n">
        <v>0</v>
      </c>
      <c r="Q622" t="n">
        <v>0</v>
      </c>
      <c r="R622" s="2" t="inlineStr"/>
    </row>
    <row r="623" ht="15" customHeight="1">
      <c r="A623" t="inlineStr">
        <is>
          <t>A 49414-2018</t>
        </is>
      </c>
      <c r="B623" s="1" t="n">
        <v>43374</v>
      </c>
      <c r="C623" s="1" t="n">
        <v>45353</v>
      </c>
      <c r="D623" t="inlineStr">
        <is>
          <t>VÄRMLANDS LÄN</t>
        </is>
      </c>
      <c r="E623" t="inlineStr">
        <is>
          <t>SÄFFLE</t>
        </is>
      </c>
      <c r="G623" t="n">
        <v>1.6</v>
      </c>
      <c r="H623" t="n">
        <v>0</v>
      </c>
      <c r="I623" t="n">
        <v>0</v>
      </c>
      <c r="J623" t="n">
        <v>0</v>
      </c>
      <c r="K623" t="n">
        <v>0</v>
      </c>
      <c r="L623" t="n">
        <v>0</v>
      </c>
      <c r="M623" t="n">
        <v>0</v>
      </c>
      <c r="N623" t="n">
        <v>0</v>
      </c>
      <c r="O623" t="n">
        <v>0</v>
      </c>
      <c r="P623" t="n">
        <v>0</v>
      </c>
      <c r="Q623" t="n">
        <v>0</v>
      </c>
      <c r="R623" s="2" t="inlineStr"/>
    </row>
    <row r="624" ht="15" customHeight="1">
      <c r="A624" t="inlineStr">
        <is>
          <t>A 49523-2018</t>
        </is>
      </c>
      <c r="B624" s="1" t="n">
        <v>43374</v>
      </c>
      <c r="C624" s="1" t="n">
        <v>45353</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48718-2018</t>
        </is>
      </c>
      <c r="B625" s="1" t="n">
        <v>43374</v>
      </c>
      <c r="C625" s="1" t="n">
        <v>45353</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49416-2018</t>
        </is>
      </c>
      <c r="B626" s="1" t="n">
        <v>43374</v>
      </c>
      <c r="C626" s="1" t="n">
        <v>45353</v>
      </c>
      <c r="D626" t="inlineStr">
        <is>
          <t>VÄRMLANDS LÄN</t>
        </is>
      </c>
      <c r="E626" t="inlineStr">
        <is>
          <t>SÄFFLE</t>
        </is>
      </c>
      <c r="G626" t="n">
        <v>1.6</v>
      </c>
      <c r="H626" t="n">
        <v>0</v>
      </c>
      <c r="I626" t="n">
        <v>0</v>
      </c>
      <c r="J626" t="n">
        <v>0</v>
      </c>
      <c r="K626" t="n">
        <v>0</v>
      </c>
      <c r="L626" t="n">
        <v>0</v>
      </c>
      <c r="M626" t="n">
        <v>0</v>
      </c>
      <c r="N626" t="n">
        <v>0</v>
      </c>
      <c r="O626" t="n">
        <v>0</v>
      </c>
      <c r="P626" t="n">
        <v>0</v>
      </c>
      <c r="Q626" t="n">
        <v>0</v>
      </c>
      <c r="R626" s="2" t="inlineStr"/>
    </row>
    <row r="627" ht="15" customHeight="1">
      <c r="A627" t="inlineStr">
        <is>
          <t>A 49509-2018</t>
        </is>
      </c>
      <c r="B627" s="1" t="n">
        <v>43374</v>
      </c>
      <c r="C627" s="1" t="n">
        <v>45353</v>
      </c>
      <c r="D627" t="inlineStr">
        <is>
          <t>VÄRMLANDS LÄN</t>
        </is>
      </c>
      <c r="E627" t="inlineStr">
        <is>
          <t>EDA</t>
        </is>
      </c>
      <c r="G627" t="n">
        <v>0.7</v>
      </c>
      <c r="H627" t="n">
        <v>0</v>
      </c>
      <c r="I627" t="n">
        <v>0</v>
      </c>
      <c r="J627" t="n">
        <v>0</v>
      </c>
      <c r="K627" t="n">
        <v>0</v>
      </c>
      <c r="L627" t="n">
        <v>0</v>
      </c>
      <c r="M627" t="n">
        <v>0</v>
      </c>
      <c r="N627" t="n">
        <v>0</v>
      </c>
      <c r="O627" t="n">
        <v>0</v>
      </c>
      <c r="P627" t="n">
        <v>0</v>
      </c>
      <c r="Q627" t="n">
        <v>0</v>
      </c>
      <c r="R627" s="2" t="inlineStr"/>
    </row>
    <row r="628" ht="15" customHeight="1">
      <c r="A628" t="inlineStr">
        <is>
          <t>A 49780-2018</t>
        </is>
      </c>
      <c r="B628" s="1" t="n">
        <v>43374</v>
      </c>
      <c r="C628" s="1" t="n">
        <v>45353</v>
      </c>
      <c r="D628" t="inlineStr">
        <is>
          <t>VÄRMLANDS LÄN</t>
        </is>
      </c>
      <c r="E628" t="inlineStr">
        <is>
          <t>KIL</t>
        </is>
      </c>
      <c r="G628" t="n">
        <v>2</v>
      </c>
      <c r="H628" t="n">
        <v>0</v>
      </c>
      <c r="I628" t="n">
        <v>0</v>
      </c>
      <c r="J628" t="n">
        <v>0</v>
      </c>
      <c r="K628" t="n">
        <v>0</v>
      </c>
      <c r="L628" t="n">
        <v>0</v>
      </c>
      <c r="M628" t="n">
        <v>0</v>
      </c>
      <c r="N628" t="n">
        <v>0</v>
      </c>
      <c r="O628" t="n">
        <v>0</v>
      </c>
      <c r="P628" t="n">
        <v>0</v>
      </c>
      <c r="Q628" t="n">
        <v>0</v>
      </c>
      <c r="R628" s="2" t="inlineStr"/>
    </row>
    <row r="629" ht="15" customHeight="1">
      <c r="A629" t="inlineStr">
        <is>
          <t>A 49003-2018</t>
        </is>
      </c>
      <c r="B629" s="1" t="n">
        <v>43375</v>
      </c>
      <c r="C629" s="1" t="n">
        <v>45353</v>
      </c>
      <c r="D629" t="inlineStr">
        <is>
          <t>VÄRMLANDS LÄN</t>
        </is>
      </c>
      <c r="E629" t="inlineStr">
        <is>
          <t>KARLSTAD</t>
        </is>
      </c>
      <c r="G629" t="n">
        <v>1.9</v>
      </c>
      <c r="H629" t="n">
        <v>0</v>
      </c>
      <c r="I629" t="n">
        <v>0</v>
      </c>
      <c r="J629" t="n">
        <v>0</v>
      </c>
      <c r="K629" t="n">
        <v>0</v>
      </c>
      <c r="L629" t="n">
        <v>0</v>
      </c>
      <c r="M629" t="n">
        <v>0</v>
      </c>
      <c r="N629" t="n">
        <v>0</v>
      </c>
      <c r="O629" t="n">
        <v>0</v>
      </c>
      <c r="P629" t="n">
        <v>0</v>
      </c>
      <c r="Q629" t="n">
        <v>0</v>
      </c>
      <c r="R629" s="2" t="inlineStr"/>
    </row>
    <row r="630" ht="15" customHeight="1">
      <c r="A630" t="inlineStr">
        <is>
          <t>A 48958-2018</t>
        </is>
      </c>
      <c r="B630" s="1" t="n">
        <v>43375</v>
      </c>
      <c r="C630" s="1" t="n">
        <v>45353</v>
      </c>
      <c r="D630" t="inlineStr">
        <is>
          <t>VÄRMLANDS LÄN</t>
        </is>
      </c>
      <c r="E630" t="inlineStr">
        <is>
          <t>KARLSTAD</t>
        </is>
      </c>
      <c r="G630" t="n">
        <v>0.9</v>
      </c>
      <c r="H630" t="n">
        <v>0</v>
      </c>
      <c r="I630" t="n">
        <v>0</v>
      </c>
      <c r="J630" t="n">
        <v>0</v>
      </c>
      <c r="K630" t="n">
        <v>0</v>
      </c>
      <c r="L630" t="n">
        <v>0</v>
      </c>
      <c r="M630" t="n">
        <v>0</v>
      </c>
      <c r="N630" t="n">
        <v>0</v>
      </c>
      <c r="O630" t="n">
        <v>0</v>
      </c>
      <c r="P630" t="n">
        <v>0</v>
      </c>
      <c r="Q630" t="n">
        <v>0</v>
      </c>
      <c r="R630" s="2" t="inlineStr"/>
    </row>
    <row r="631" ht="15" customHeight="1">
      <c r="A631" t="inlineStr">
        <is>
          <t>A 49075-2018</t>
        </is>
      </c>
      <c r="B631" s="1" t="n">
        <v>43375</v>
      </c>
      <c r="C631" s="1" t="n">
        <v>45353</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49816-2018</t>
        </is>
      </c>
      <c r="B632" s="1" t="n">
        <v>43375</v>
      </c>
      <c r="C632" s="1" t="n">
        <v>45353</v>
      </c>
      <c r="D632" t="inlineStr">
        <is>
          <t>VÄRMLANDS LÄN</t>
        </is>
      </c>
      <c r="E632" t="inlineStr">
        <is>
          <t>KARLSTAD</t>
        </is>
      </c>
      <c r="G632" t="n">
        <v>4.3</v>
      </c>
      <c r="H632" t="n">
        <v>0</v>
      </c>
      <c r="I632" t="n">
        <v>0</v>
      </c>
      <c r="J632" t="n">
        <v>0</v>
      </c>
      <c r="K632" t="n">
        <v>0</v>
      </c>
      <c r="L632" t="n">
        <v>0</v>
      </c>
      <c r="M632" t="n">
        <v>0</v>
      </c>
      <c r="N632" t="n">
        <v>0</v>
      </c>
      <c r="O632" t="n">
        <v>0</v>
      </c>
      <c r="P632" t="n">
        <v>0</v>
      </c>
      <c r="Q632" t="n">
        <v>0</v>
      </c>
      <c r="R632" s="2" t="inlineStr"/>
    </row>
    <row r="633" ht="15" customHeight="1">
      <c r="A633" t="inlineStr">
        <is>
          <t>A 50225-2018</t>
        </is>
      </c>
      <c r="B633" s="1" t="n">
        <v>43376</v>
      </c>
      <c r="C633" s="1" t="n">
        <v>45353</v>
      </c>
      <c r="D633" t="inlineStr">
        <is>
          <t>VÄRMLANDS LÄN</t>
        </is>
      </c>
      <c r="E633" t="inlineStr">
        <is>
          <t>EDA</t>
        </is>
      </c>
      <c r="G633" t="n">
        <v>1.7</v>
      </c>
      <c r="H633" t="n">
        <v>0</v>
      </c>
      <c r="I633" t="n">
        <v>0</v>
      </c>
      <c r="J633" t="n">
        <v>0</v>
      </c>
      <c r="K633" t="n">
        <v>0</v>
      </c>
      <c r="L633" t="n">
        <v>0</v>
      </c>
      <c r="M633" t="n">
        <v>0</v>
      </c>
      <c r="N633" t="n">
        <v>0</v>
      </c>
      <c r="O633" t="n">
        <v>0</v>
      </c>
      <c r="P633" t="n">
        <v>0</v>
      </c>
      <c r="Q633" t="n">
        <v>0</v>
      </c>
      <c r="R633" s="2" t="inlineStr"/>
    </row>
    <row r="634" ht="15" customHeight="1">
      <c r="A634" t="inlineStr">
        <is>
          <t>A 50296-2018</t>
        </is>
      </c>
      <c r="B634" s="1" t="n">
        <v>43376</v>
      </c>
      <c r="C634" s="1" t="n">
        <v>45353</v>
      </c>
      <c r="D634" t="inlineStr">
        <is>
          <t>VÄRMLANDS LÄN</t>
        </is>
      </c>
      <c r="E634" t="inlineStr">
        <is>
          <t>TORSBY</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50246-2018</t>
        </is>
      </c>
      <c r="B635" s="1" t="n">
        <v>43376</v>
      </c>
      <c r="C635" s="1" t="n">
        <v>45353</v>
      </c>
      <c r="D635" t="inlineStr">
        <is>
          <t>VÄRMLANDS LÄN</t>
        </is>
      </c>
      <c r="E635" t="inlineStr">
        <is>
          <t>ARVIKA</t>
        </is>
      </c>
      <c r="G635" t="n">
        <v>7.7</v>
      </c>
      <c r="H635" t="n">
        <v>0</v>
      </c>
      <c r="I635" t="n">
        <v>0</v>
      </c>
      <c r="J635" t="n">
        <v>0</v>
      </c>
      <c r="K635" t="n">
        <v>0</v>
      </c>
      <c r="L635" t="n">
        <v>0</v>
      </c>
      <c r="M635" t="n">
        <v>0</v>
      </c>
      <c r="N635" t="n">
        <v>0</v>
      </c>
      <c r="O635" t="n">
        <v>0</v>
      </c>
      <c r="P635" t="n">
        <v>0</v>
      </c>
      <c r="Q635" t="n">
        <v>0</v>
      </c>
      <c r="R635" s="2" t="inlineStr"/>
    </row>
    <row r="636" ht="15" customHeight="1">
      <c r="A636" t="inlineStr">
        <is>
          <t>A 50817-2018</t>
        </is>
      </c>
      <c r="B636" s="1" t="n">
        <v>43376</v>
      </c>
      <c r="C636" s="1" t="n">
        <v>45353</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50288-2018</t>
        </is>
      </c>
      <c r="B637" s="1" t="n">
        <v>43376</v>
      </c>
      <c r="C637" s="1" t="n">
        <v>45353</v>
      </c>
      <c r="D637" t="inlineStr">
        <is>
          <t>VÄRMLANDS LÄN</t>
        </is>
      </c>
      <c r="E637" t="inlineStr">
        <is>
          <t>EDA</t>
        </is>
      </c>
      <c r="F637" t="inlineStr">
        <is>
          <t>Kyrkan</t>
        </is>
      </c>
      <c r="G637" t="n">
        <v>6.7</v>
      </c>
      <c r="H637" t="n">
        <v>0</v>
      </c>
      <c r="I637" t="n">
        <v>0</v>
      </c>
      <c r="J637" t="n">
        <v>0</v>
      </c>
      <c r="K637" t="n">
        <v>0</v>
      </c>
      <c r="L637" t="n">
        <v>0</v>
      </c>
      <c r="M637" t="n">
        <v>0</v>
      </c>
      <c r="N637" t="n">
        <v>0</v>
      </c>
      <c r="O637" t="n">
        <v>0</v>
      </c>
      <c r="P637" t="n">
        <v>0</v>
      </c>
      <c r="Q637" t="n">
        <v>0</v>
      </c>
      <c r="R637" s="2" t="inlineStr"/>
    </row>
    <row r="638" ht="15" customHeight="1">
      <c r="A638" t="inlineStr">
        <is>
          <t>A 50773-2018</t>
        </is>
      </c>
      <c r="B638" s="1" t="n">
        <v>43376</v>
      </c>
      <c r="C638" s="1" t="n">
        <v>45353</v>
      </c>
      <c r="D638" t="inlineStr">
        <is>
          <t>VÄRMLANDS LÄN</t>
        </is>
      </c>
      <c r="E638" t="inlineStr">
        <is>
          <t>SÄFFLE</t>
        </is>
      </c>
      <c r="G638" t="n">
        <v>1.4</v>
      </c>
      <c r="H638" t="n">
        <v>0</v>
      </c>
      <c r="I638" t="n">
        <v>0</v>
      </c>
      <c r="J638" t="n">
        <v>0</v>
      </c>
      <c r="K638" t="n">
        <v>0</v>
      </c>
      <c r="L638" t="n">
        <v>0</v>
      </c>
      <c r="M638" t="n">
        <v>0</v>
      </c>
      <c r="N638" t="n">
        <v>0</v>
      </c>
      <c r="O638" t="n">
        <v>0</v>
      </c>
      <c r="P638" t="n">
        <v>0</v>
      </c>
      <c r="Q638" t="n">
        <v>0</v>
      </c>
      <c r="R638" s="2" t="inlineStr"/>
    </row>
    <row r="639" ht="15" customHeight="1">
      <c r="A639" t="inlineStr">
        <is>
          <t>A 50824-2018</t>
        </is>
      </c>
      <c r="B639" s="1" t="n">
        <v>43376</v>
      </c>
      <c r="C639" s="1" t="n">
        <v>45353</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50821-2018</t>
        </is>
      </c>
      <c r="B640" s="1" t="n">
        <v>43376</v>
      </c>
      <c r="C640" s="1" t="n">
        <v>45353</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51434-2018</t>
        </is>
      </c>
      <c r="B641" s="1" t="n">
        <v>43381</v>
      </c>
      <c r="C641" s="1" t="n">
        <v>45353</v>
      </c>
      <c r="D641" t="inlineStr">
        <is>
          <t>VÄRMLANDS LÄN</t>
        </is>
      </c>
      <c r="E641" t="inlineStr">
        <is>
          <t>SÄFFLE</t>
        </is>
      </c>
      <c r="G641" t="n">
        <v>0.8</v>
      </c>
      <c r="H641" t="n">
        <v>0</v>
      </c>
      <c r="I641" t="n">
        <v>0</v>
      </c>
      <c r="J641" t="n">
        <v>0</v>
      </c>
      <c r="K641" t="n">
        <v>0</v>
      </c>
      <c r="L641" t="n">
        <v>0</v>
      </c>
      <c r="M641" t="n">
        <v>0</v>
      </c>
      <c r="N641" t="n">
        <v>0</v>
      </c>
      <c r="O641" t="n">
        <v>0</v>
      </c>
      <c r="P641" t="n">
        <v>0</v>
      </c>
      <c r="Q641" t="n">
        <v>0</v>
      </c>
      <c r="R641" s="2" t="inlineStr"/>
    </row>
    <row r="642" ht="15" customHeight="1">
      <c r="A642" t="inlineStr">
        <is>
          <t>A 51448-2018</t>
        </is>
      </c>
      <c r="B642" s="1" t="n">
        <v>43381</v>
      </c>
      <c r="C642" s="1" t="n">
        <v>45353</v>
      </c>
      <c r="D642" t="inlineStr">
        <is>
          <t>VÄRMLANDS LÄN</t>
        </is>
      </c>
      <c r="E642" t="inlineStr">
        <is>
          <t>ÅRJÄNG</t>
        </is>
      </c>
      <c r="G642" t="n">
        <v>6</v>
      </c>
      <c r="H642" t="n">
        <v>0</v>
      </c>
      <c r="I642" t="n">
        <v>0</v>
      </c>
      <c r="J642" t="n">
        <v>0</v>
      </c>
      <c r="K642" t="n">
        <v>0</v>
      </c>
      <c r="L642" t="n">
        <v>0</v>
      </c>
      <c r="M642" t="n">
        <v>0</v>
      </c>
      <c r="N642" t="n">
        <v>0</v>
      </c>
      <c r="O642" t="n">
        <v>0</v>
      </c>
      <c r="P642" t="n">
        <v>0</v>
      </c>
      <c r="Q642" t="n">
        <v>0</v>
      </c>
      <c r="R642" s="2" t="inlineStr"/>
    </row>
    <row r="643" ht="15" customHeight="1">
      <c r="A643" t="inlineStr">
        <is>
          <t>A 51610-2018</t>
        </is>
      </c>
      <c r="B643" s="1" t="n">
        <v>43381</v>
      </c>
      <c r="C643" s="1" t="n">
        <v>45353</v>
      </c>
      <c r="D643" t="inlineStr">
        <is>
          <t>VÄRMLANDS LÄN</t>
        </is>
      </c>
      <c r="E643" t="inlineStr">
        <is>
          <t>HAGFORS</t>
        </is>
      </c>
      <c r="G643" t="n">
        <v>7.2</v>
      </c>
      <c r="H643" t="n">
        <v>0</v>
      </c>
      <c r="I643" t="n">
        <v>0</v>
      </c>
      <c r="J643" t="n">
        <v>0</v>
      </c>
      <c r="K643" t="n">
        <v>0</v>
      </c>
      <c r="L643" t="n">
        <v>0</v>
      </c>
      <c r="M643" t="n">
        <v>0</v>
      </c>
      <c r="N643" t="n">
        <v>0</v>
      </c>
      <c r="O643" t="n">
        <v>0</v>
      </c>
      <c r="P643" t="n">
        <v>0</v>
      </c>
      <c r="Q643" t="n">
        <v>0</v>
      </c>
      <c r="R643" s="2" t="inlineStr"/>
    </row>
    <row r="644" ht="15" customHeight="1">
      <c r="A644" t="inlineStr">
        <is>
          <t>A 51711-2018</t>
        </is>
      </c>
      <c r="B644" s="1" t="n">
        <v>43381</v>
      </c>
      <c r="C644" s="1" t="n">
        <v>45353</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52661-2018</t>
        </is>
      </c>
      <c r="B645" s="1" t="n">
        <v>43381</v>
      </c>
      <c r="C645" s="1" t="n">
        <v>45353</v>
      </c>
      <c r="D645" t="inlineStr">
        <is>
          <t>VÄRMLANDS LÄN</t>
        </is>
      </c>
      <c r="E645" t="inlineStr">
        <is>
          <t>TORSBY</t>
        </is>
      </c>
      <c r="G645" t="n">
        <v>11.3</v>
      </c>
      <c r="H645" t="n">
        <v>0</v>
      </c>
      <c r="I645" t="n">
        <v>0</v>
      </c>
      <c r="J645" t="n">
        <v>0</v>
      </c>
      <c r="K645" t="n">
        <v>0</v>
      </c>
      <c r="L645" t="n">
        <v>0</v>
      </c>
      <c r="M645" t="n">
        <v>0</v>
      </c>
      <c r="N645" t="n">
        <v>0</v>
      </c>
      <c r="O645" t="n">
        <v>0</v>
      </c>
      <c r="P645" t="n">
        <v>0</v>
      </c>
      <c r="Q645" t="n">
        <v>0</v>
      </c>
      <c r="R645" s="2" t="inlineStr"/>
    </row>
    <row r="646" ht="15" customHeight="1">
      <c r="A646" t="inlineStr">
        <is>
          <t>A 52224-2018</t>
        </is>
      </c>
      <c r="B646" s="1" t="n">
        <v>43382</v>
      </c>
      <c r="C646" s="1" t="n">
        <v>45353</v>
      </c>
      <c r="D646" t="inlineStr">
        <is>
          <t>VÄRMLANDS LÄN</t>
        </is>
      </c>
      <c r="E646" t="inlineStr">
        <is>
          <t>SÄFFLE</t>
        </is>
      </c>
      <c r="G646" t="n">
        <v>4</v>
      </c>
      <c r="H646" t="n">
        <v>0</v>
      </c>
      <c r="I646" t="n">
        <v>0</v>
      </c>
      <c r="J646" t="n">
        <v>0</v>
      </c>
      <c r="K646" t="n">
        <v>0</v>
      </c>
      <c r="L646" t="n">
        <v>0</v>
      </c>
      <c r="M646" t="n">
        <v>0</v>
      </c>
      <c r="N646" t="n">
        <v>0</v>
      </c>
      <c r="O646" t="n">
        <v>0</v>
      </c>
      <c r="P646" t="n">
        <v>0</v>
      </c>
      <c r="Q646" t="n">
        <v>0</v>
      </c>
      <c r="R646" s="2" t="inlineStr"/>
    </row>
    <row r="647" ht="15" customHeight="1">
      <c r="A647" t="inlineStr">
        <is>
          <t>A 51171-2018</t>
        </is>
      </c>
      <c r="B647" s="1" t="n">
        <v>43382</v>
      </c>
      <c r="C647" s="1" t="n">
        <v>45353</v>
      </c>
      <c r="D647" t="inlineStr">
        <is>
          <t>VÄRMLANDS LÄN</t>
        </is>
      </c>
      <c r="E647" t="inlineStr">
        <is>
          <t>KARLSTAD</t>
        </is>
      </c>
      <c r="G647" t="n">
        <v>0.8</v>
      </c>
      <c r="H647" t="n">
        <v>0</v>
      </c>
      <c r="I647" t="n">
        <v>0</v>
      </c>
      <c r="J647" t="n">
        <v>0</v>
      </c>
      <c r="K647" t="n">
        <v>0</v>
      </c>
      <c r="L647" t="n">
        <v>0</v>
      </c>
      <c r="M647" t="n">
        <v>0</v>
      </c>
      <c r="N647" t="n">
        <v>0</v>
      </c>
      <c r="O647" t="n">
        <v>0</v>
      </c>
      <c r="P647" t="n">
        <v>0</v>
      </c>
      <c r="Q647" t="n">
        <v>0</v>
      </c>
      <c r="R647" s="2" t="inlineStr"/>
    </row>
    <row r="648" ht="15" customHeight="1">
      <c r="A648" t="inlineStr">
        <is>
          <t>A 51770-2018</t>
        </is>
      </c>
      <c r="B648" s="1" t="n">
        <v>43382</v>
      </c>
      <c r="C648" s="1" t="n">
        <v>45353</v>
      </c>
      <c r="D648" t="inlineStr">
        <is>
          <t>VÄRMLANDS LÄN</t>
        </is>
      </c>
      <c r="E648" t="inlineStr">
        <is>
          <t>EDA</t>
        </is>
      </c>
      <c r="G648" t="n">
        <v>1.6</v>
      </c>
      <c r="H648" t="n">
        <v>0</v>
      </c>
      <c r="I648" t="n">
        <v>0</v>
      </c>
      <c r="J648" t="n">
        <v>0</v>
      </c>
      <c r="K648" t="n">
        <v>0</v>
      </c>
      <c r="L648" t="n">
        <v>0</v>
      </c>
      <c r="M648" t="n">
        <v>0</v>
      </c>
      <c r="N648" t="n">
        <v>0</v>
      </c>
      <c r="O648" t="n">
        <v>0</v>
      </c>
      <c r="P648" t="n">
        <v>0</v>
      </c>
      <c r="Q648" t="n">
        <v>0</v>
      </c>
      <c r="R648" s="2" t="inlineStr"/>
    </row>
    <row r="649" ht="15" customHeight="1">
      <c r="A649" t="inlineStr">
        <is>
          <t>A 51077-2018</t>
        </is>
      </c>
      <c r="B649" s="1" t="n">
        <v>43382</v>
      </c>
      <c r="C649" s="1" t="n">
        <v>45353</v>
      </c>
      <c r="D649" t="inlineStr">
        <is>
          <t>VÄRMLANDS LÄN</t>
        </is>
      </c>
      <c r="E649" t="inlineStr">
        <is>
          <t>SUNNE</t>
        </is>
      </c>
      <c r="G649" t="n">
        <v>3.7</v>
      </c>
      <c r="H649" t="n">
        <v>0</v>
      </c>
      <c r="I649" t="n">
        <v>0</v>
      </c>
      <c r="J649" t="n">
        <v>0</v>
      </c>
      <c r="K649" t="n">
        <v>0</v>
      </c>
      <c r="L649" t="n">
        <v>0</v>
      </c>
      <c r="M649" t="n">
        <v>0</v>
      </c>
      <c r="N649" t="n">
        <v>0</v>
      </c>
      <c r="O649" t="n">
        <v>0</v>
      </c>
      <c r="P649" t="n">
        <v>0</v>
      </c>
      <c r="Q649" t="n">
        <v>0</v>
      </c>
      <c r="R649" s="2" t="inlineStr"/>
    </row>
    <row r="650" ht="15" customHeight="1">
      <c r="A650" t="inlineStr">
        <is>
          <t>A 51437-2018</t>
        </is>
      </c>
      <c r="B650" s="1" t="n">
        <v>43383</v>
      </c>
      <c r="C650" s="1" t="n">
        <v>45353</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51672-2018</t>
        </is>
      </c>
      <c r="B651" s="1" t="n">
        <v>43384</v>
      </c>
      <c r="C651" s="1" t="n">
        <v>45353</v>
      </c>
      <c r="D651" t="inlineStr">
        <is>
          <t>VÄRMLANDS LÄN</t>
        </is>
      </c>
      <c r="E651" t="inlineStr">
        <is>
          <t>SÄFFLE</t>
        </is>
      </c>
      <c r="G651" t="n">
        <v>1.8</v>
      </c>
      <c r="H651" t="n">
        <v>0</v>
      </c>
      <c r="I651" t="n">
        <v>0</v>
      </c>
      <c r="J651" t="n">
        <v>0</v>
      </c>
      <c r="K651" t="n">
        <v>0</v>
      </c>
      <c r="L651" t="n">
        <v>0</v>
      </c>
      <c r="M651" t="n">
        <v>0</v>
      </c>
      <c r="N651" t="n">
        <v>0</v>
      </c>
      <c r="O651" t="n">
        <v>0</v>
      </c>
      <c r="P651" t="n">
        <v>0</v>
      </c>
      <c r="Q651" t="n">
        <v>0</v>
      </c>
      <c r="R651" s="2" t="inlineStr"/>
    </row>
    <row r="652" ht="15" customHeight="1">
      <c r="A652" t="inlineStr">
        <is>
          <t>A 52855-2018</t>
        </is>
      </c>
      <c r="B652" s="1" t="n">
        <v>43384</v>
      </c>
      <c r="C652" s="1" t="n">
        <v>45353</v>
      </c>
      <c r="D652" t="inlineStr">
        <is>
          <t>VÄRMLANDS LÄN</t>
        </is>
      </c>
      <c r="E652" t="inlineStr">
        <is>
          <t>ARVIKA</t>
        </is>
      </c>
      <c r="G652" t="n">
        <v>3.8</v>
      </c>
      <c r="H652" t="n">
        <v>0</v>
      </c>
      <c r="I652" t="n">
        <v>0</v>
      </c>
      <c r="J652" t="n">
        <v>0</v>
      </c>
      <c r="K652" t="n">
        <v>0</v>
      </c>
      <c r="L652" t="n">
        <v>0</v>
      </c>
      <c r="M652" t="n">
        <v>0</v>
      </c>
      <c r="N652" t="n">
        <v>0</v>
      </c>
      <c r="O652" t="n">
        <v>0</v>
      </c>
      <c r="P652" t="n">
        <v>0</v>
      </c>
      <c r="Q652" t="n">
        <v>0</v>
      </c>
      <c r="R652" s="2" t="inlineStr"/>
    </row>
    <row r="653" ht="15" customHeight="1">
      <c r="A653" t="inlineStr">
        <is>
          <t>A 63901-2018</t>
        </is>
      </c>
      <c r="B653" s="1" t="n">
        <v>43385</v>
      </c>
      <c r="C653" s="1" t="n">
        <v>45353</v>
      </c>
      <c r="D653" t="inlineStr">
        <is>
          <t>VÄRMLANDS LÄN</t>
        </is>
      </c>
      <c r="E653" t="inlineStr">
        <is>
          <t>SÄFFLE</t>
        </is>
      </c>
      <c r="G653" t="n">
        <v>5.6</v>
      </c>
      <c r="H653" t="n">
        <v>0</v>
      </c>
      <c r="I653" t="n">
        <v>0</v>
      </c>
      <c r="J653" t="n">
        <v>0</v>
      </c>
      <c r="K653" t="n">
        <v>0</v>
      </c>
      <c r="L653" t="n">
        <v>0</v>
      </c>
      <c r="M653" t="n">
        <v>0</v>
      </c>
      <c r="N653" t="n">
        <v>0</v>
      </c>
      <c r="O653" t="n">
        <v>0</v>
      </c>
      <c r="P653" t="n">
        <v>0</v>
      </c>
      <c r="Q653" t="n">
        <v>0</v>
      </c>
      <c r="R653" s="2" t="inlineStr"/>
    </row>
    <row r="654" ht="15" customHeight="1">
      <c r="A654" t="inlineStr">
        <is>
          <t>A 53508-2018</t>
        </is>
      </c>
      <c r="B654" s="1" t="n">
        <v>43385</v>
      </c>
      <c r="C654" s="1" t="n">
        <v>45353</v>
      </c>
      <c r="D654" t="inlineStr">
        <is>
          <t>VÄRMLANDS LÄN</t>
        </is>
      </c>
      <c r="E654" t="inlineStr">
        <is>
          <t>SUNNE</t>
        </is>
      </c>
      <c r="G654" t="n">
        <v>3.4</v>
      </c>
      <c r="H654" t="n">
        <v>0</v>
      </c>
      <c r="I654" t="n">
        <v>0</v>
      </c>
      <c r="J654" t="n">
        <v>0</v>
      </c>
      <c r="K654" t="n">
        <v>0</v>
      </c>
      <c r="L654" t="n">
        <v>0</v>
      </c>
      <c r="M654" t="n">
        <v>0</v>
      </c>
      <c r="N654" t="n">
        <v>0</v>
      </c>
      <c r="O654" t="n">
        <v>0</v>
      </c>
      <c r="P654" t="n">
        <v>0</v>
      </c>
      <c r="Q654" t="n">
        <v>0</v>
      </c>
      <c r="R654" s="2" t="inlineStr"/>
    </row>
    <row r="655" ht="15" customHeight="1">
      <c r="A655" t="inlineStr">
        <is>
          <t>A 53585-2018</t>
        </is>
      </c>
      <c r="B655" s="1" t="n">
        <v>43387</v>
      </c>
      <c r="C655" s="1" t="n">
        <v>45353</v>
      </c>
      <c r="D655" t="inlineStr">
        <is>
          <t>VÄRMLANDS LÄN</t>
        </is>
      </c>
      <c r="E655" t="inlineStr">
        <is>
          <t>EDA</t>
        </is>
      </c>
      <c r="G655" t="n">
        <v>1.8</v>
      </c>
      <c r="H655" t="n">
        <v>0</v>
      </c>
      <c r="I655" t="n">
        <v>0</v>
      </c>
      <c r="J655" t="n">
        <v>0</v>
      </c>
      <c r="K655" t="n">
        <v>0</v>
      </c>
      <c r="L655" t="n">
        <v>0</v>
      </c>
      <c r="M655" t="n">
        <v>0</v>
      </c>
      <c r="N655" t="n">
        <v>0</v>
      </c>
      <c r="O655" t="n">
        <v>0</v>
      </c>
      <c r="P655" t="n">
        <v>0</v>
      </c>
      <c r="Q655" t="n">
        <v>0</v>
      </c>
      <c r="R655" s="2" t="inlineStr"/>
    </row>
    <row r="656" ht="15" customHeight="1">
      <c r="A656" t="inlineStr">
        <is>
          <t>A 53525-2018</t>
        </is>
      </c>
      <c r="B656" s="1" t="n">
        <v>43387</v>
      </c>
      <c r="C656" s="1" t="n">
        <v>45353</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53756-2018</t>
        </is>
      </c>
      <c r="B657" s="1" t="n">
        <v>43388</v>
      </c>
      <c r="C657" s="1" t="n">
        <v>45353</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52246-2018</t>
        </is>
      </c>
      <c r="B658" s="1" t="n">
        <v>43388</v>
      </c>
      <c r="C658" s="1" t="n">
        <v>45353</v>
      </c>
      <c r="D658" t="inlineStr">
        <is>
          <t>VÄRMLANDS LÄN</t>
        </is>
      </c>
      <c r="E658" t="inlineStr">
        <is>
          <t>TORSBY</t>
        </is>
      </c>
      <c r="G658" t="n">
        <v>3.3</v>
      </c>
      <c r="H658" t="n">
        <v>0</v>
      </c>
      <c r="I658" t="n">
        <v>0</v>
      </c>
      <c r="J658" t="n">
        <v>0</v>
      </c>
      <c r="K658" t="n">
        <v>0</v>
      </c>
      <c r="L658" t="n">
        <v>0</v>
      </c>
      <c r="M658" t="n">
        <v>0</v>
      </c>
      <c r="N658" t="n">
        <v>0</v>
      </c>
      <c r="O658" t="n">
        <v>0</v>
      </c>
      <c r="P658" t="n">
        <v>0</v>
      </c>
      <c r="Q658" t="n">
        <v>0</v>
      </c>
      <c r="R658" s="2" t="inlineStr"/>
    </row>
    <row r="659" ht="15" customHeight="1">
      <c r="A659" t="inlineStr">
        <is>
          <t>A 53072-2018</t>
        </is>
      </c>
      <c r="B659" s="1" t="n">
        <v>43388</v>
      </c>
      <c r="C659" s="1" t="n">
        <v>45353</v>
      </c>
      <c r="D659" t="inlineStr">
        <is>
          <t>VÄRMLANDS LÄN</t>
        </is>
      </c>
      <c r="E659" t="inlineStr">
        <is>
          <t>KRISTINEHAMN</t>
        </is>
      </c>
      <c r="G659" t="n">
        <v>2.7</v>
      </c>
      <c r="H659" t="n">
        <v>0</v>
      </c>
      <c r="I659" t="n">
        <v>0</v>
      </c>
      <c r="J659" t="n">
        <v>0</v>
      </c>
      <c r="K659" t="n">
        <v>0</v>
      </c>
      <c r="L659" t="n">
        <v>0</v>
      </c>
      <c r="M659" t="n">
        <v>0</v>
      </c>
      <c r="N659" t="n">
        <v>0</v>
      </c>
      <c r="O659" t="n">
        <v>0</v>
      </c>
      <c r="P659" t="n">
        <v>0</v>
      </c>
      <c r="Q659" t="n">
        <v>0</v>
      </c>
      <c r="R659" s="2" t="inlineStr"/>
    </row>
    <row r="660" ht="15" customHeight="1">
      <c r="A660" t="inlineStr">
        <is>
          <t>A 53698-2018</t>
        </is>
      </c>
      <c r="B660" s="1" t="n">
        <v>43388</v>
      </c>
      <c r="C660" s="1" t="n">
        <v>45353</v>
      </c>
      <c r="D660" t="inlineStr">
        <is>
          <t>VÄRMLANDS LÄN</t>
        </is>
      </c>
      <c r="E660" t="inlineStr">
        <is>
          <t>HAGFORS</t>
        </is>
      </c>
      <c r="G660" t="n">
        <v>0.9</v>
      </c>
      <c r="H660" t="n">
        <v>0</v>
      </c>
      <c r="I660" t="n">
        <v>0</v>
      </c>
      <c r="J660" t="n">
        <v>0</v>
      </c>
      <c r="K660" t="n">
        <v>0</v>
      </c>
      <c r="L660" t="n">
        <v>0</v>
      </c>
      <c r="M660" t="n">
        <v>0</v>
      </c>
      <c r="N660" t="n">
        <v>0</v>
      </c>
      <c r="O660" t="n">
        <v>0</v>
      </c>
      <c r="P660" t="n">
        <v>0</v>
      </c>
      <c r="Q660" t="n">
        <v>0</v>
      </c>
      <c r="R660" s="2" t="inlineStr"/>
    </row>
    <row r="661" ht="15" customHeight="1">
      <c r="A661" t="inlineStr">
        <is>
          <t>A 57511-2018</t>
        </is>
      </c>
      <c r="B661" s="1" t="n">
        <v>43388</v>
      </c>
      <c r="C661" s="1" t="n">
        <v>45353</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54070-2018</t>
        </is>
      </c>
      <c r="B662" s="1" t="n">
        <v>43388</v>
      </c>
      <c r="C662" s="1" t="n">
        <v>45353</v>
      </c>
      <c r="D662" t="inlineStr">
        <is>
          <t>VÄRMLANDS LÄN</t>
        </is>
      </c>
      <c r="E662" t="inlineStr">
        <is>
          <t>EDA</t>
        </is>
      </c>
      <c r="G662" t="n">
        <v>2.8</v>
      </c>
      <c r="H662" t="n">
        <v>0</v>
      </c>
      <c r="I662" t="n">
        <v>0</v>
      </c>
      <c r="J662" t="n">
        <v>0</v>
      </c>
      <c r="K662" t="n">
        <v>0</v>
      </c>
      <c r="L662" t="n">
        <v>0</v>
      </c>
      <c r="M662" t="n">
        <v>0</v>
      </c>
      <c r="N662" t="n">
        <v>0</v>
      </c>
      <c r="O662" t="n">
        <v>0</v>
      </c>
      <c r="P662" t="n">
        <v>0</v>
      </c>
      <c r="Q662" t="n">
        <v>0</v>
      </c>
      <c r="R662" s="2" t="inlineStr"/>
    </row>
    <row r="663" ht="15" customHeight="1">
      <c r="A663" t="inlineStr">
        <is>
          <t>A 52757-2018</t>
        </is>
      </c>
      <c r="B663" s="1" t="n">
        <v>43389</v>
      </c>
      <c r="C663" s="1" t="n">
        <v>45353</v>
      </c>
      <c r="D663" t="inlineStr">
        <is>
          <t>VÄRMLANDS LÄN</t>
        </is>
      </c>
      <c r="E663" t="inlineStr">
        <is>
          <t>TORSBY</t>
        </is>
      </c>
      <c r="G663" t="n">
        <v>9</v>
      </c>
      <c r="H663" t="n">
        <v>0</v>
      </c>
      <c r="I663" t="n">
        <v>0</v>
      </c>
      <c r="J663" t="n">
        <v>0</v>
      </c>
      <c r="K663" t="n">
        <v>0</v>
      </c>
      <c r="L663" t="n">
        <v>0</v>
      </c>
      <c r="M663" t="n">
        <v>0</v>
      </c>
      <c r="N663" t="n">
        <v>0</v>
      </c>
      <c r="O663" t="n">
        <v>0</v>
      </c>
      <c r="P663" t="n">
        <v>0</v>
      </c>
      <c r="Q663" t="n">
        <v>0</v>
      </c>
      <c r="R663" s="2" t="inlineStr"/>
    </row>
    <row r="664" ht="15" customHeight="1">
      <c r="A664" t="inlineStr">
        <is>
          <t>A 54704-2018</t>
        </is>
      </c>
      <c r="B664" s="1" t="n">
        <v>43389</v>
      </c>
      <c r="C664" s="1" t="n">
        <v>45353</v>
      </c>
      <c r="D664" t="inlineStr">
        <is>
          <t>VÄRMLANDS LÄN</t>
        </is>
      </c>
      <c r="E664" t="inlineStr">
        <is>
          <t>SUNNE</t>
        </is>
      </c>
      <c r="F664" t="inlineStr">
        <is>
          <t>Kyrkan</t>
        </is>
      </c>
      <c r="G664" t="n">
        <v>4.3</v>
      </c>
      <c r="H664" t="n">
        <v>0</v>
      </c>
      <c r="I664" t="n">
        <v>0</v>
      </c>
      <c r="J664" t="n">
        <v>0</v>
      </c>
      <c r="K664" t="n">
        <v>0</v>
      </c>
      <c r="L664" t="n">
        <v>0</v>
      </c>
      <c r="M664" t="n">
        <v>0</v>
      </c>
      <c r="N664" t="n">
        <v>0</v>
      </c>
      <c r="O664" t="n">
        <v>0</v>
      </c>
      <c r="P664" t="n">
        <v>0</v>
      </c>
      <c r="Q664" t="n">
        <v>0</v>
      </c>
      <c r="R664" s="2" t="inlineStr"/>
    </row>
    <row r="665" ht="15" customHeight="1">
      <c r="A665" t="inlineStr">
        <is>
          <t>A 54369-2018</t>
        </is>
      </c>
      <c r="B665" s="1" t="n">
        <v>43389</v>
      </c>
      <c r="C665" s="1" t="n">
        <v>45353</v>
      </c>
      <c r="D665" t="inlineStr">
        <is>
          <t>VÄRMLANDS LÄN</t>
        </is>
      </c>
      <c r="E665" t="inlineStr">
        <is>
          <t>KRISTINEHAMN</t>
        </is>
      </c>
      <c r="G665" t="n">
        <v>2.2</v>
      </c>
      <c r="H665" t="n">
        <v>0</v>
      </c>
      <c r="I665" t="n">
        <v>0</v>
      </c>
      <c r="J665" t="n">
        <v>0</v>
      </c>
      <c r="K665" t="n">
        <v>0</v>
      </c>
      <c r="L665" t="n">
        <v>0</v>
      </c>
      <c r="M665" t="n">
        <v>0</v>
      </c>
      <c r="N665" t="n">
        <v>0</v>
      </c>
      <c r="O665" t="n">
        <v>0</v>
      </c>
      <c r="P665" t="n">
        <v>0</v>
      </c>
      <c r="Q665" t="n">
        <v>0</v>
      </c>
      <c r="R665" s="2" t="inlineStr"/>
    </row>
    <row r="666" ht="15" customHeight="1">
      <c r="A666" t="inlineStr">
        <is>
          <t>A 54390-2018</t>
        </is>
      </c>
      <c r="B666" s="1" t="n">
        <v>43389</v>
      </c>
      <c r="C666" s="1" t="n">
        <v>45353</v>
      </c>
      <c r="D666" t="inlineStr">
        <is>
          <t>VÄRMLANDS LÄN</t>
        </is>
      </c>
      <c r="E666" t="inlineStr">
        <is>
          <t>KARLSTAD</t>
        </is>
      </c>
      <c r="G666" t="n">
        <v>2.1</v>
      </c>
      <c r="H666" t="n">
        <v>0</v>
      </c>
      <c r="I666" t="n">
        <v>0</v>
      </c>
      <c r="J666" t="n">
        <v>0</v>
      </c>
      <c r="K666" t="n">
        <v>0</v>
      </c>
      <c r="L666" t="n">
        <v>0</v>
      </c>
      <c r="M666" t="n">
        <v>0</v>
      </c>
      <c r="N666" t="n">
        <v>0</v>
      </c>
      <c r="O666" t="n">
        <v>0</v>
      </c>
      <c r="P666" t="n">
        <v>0</v>
      </c>
      <c r="Q666" t="n">
        <v>0</v>
      </c>
      <c r="R666" s="2" t="inlineStr"/>
    </row>
    <row r="667" ht="15" customHeight="1">
      <c r="A667" t="inlineStr">
        <is>
          <t>A 54690-2018</t>
        </is>
      </c>
      <c r="B667" s="1" t="n">
        <v>43389</v>
      </c>
      <c r="C667" s="1" t="n">
        <v>45353</v>
      </c>
      <c r="D667" t="inlineStr">
        <is>
          <t>VÄRMLANDS LÄN</t>
        </is>
      </c>
      <c r="E667" t="inlineStr">
        <is>
          <t>TORSBY</t>
        </is>
      </c>
      <c r="F667" t="inlineStr">
        <is>
          <t>Kyrkan</t>
        </is>
      </c>
      <c r="G667" t="n">
        <v>6.6</v>
      </c>
      <c r="H667" t="n">
        <v>0</v>
      </c>
      <c r="I667" t="n">
        <v>0</v>
      </c>
      <c r="J667" t="n">
        <v>0</v>
      </c>
      <c r="K667" t="n">
        <v>0</v>
      </c>
      <c r="L667" t="n">
        <v>0</v>
      </c>
      <c r="M667" t="n">
        <v>0</v>
      </c>
      <c r="N667" t="n">
        <v>0</v>
      </c>
      <c r="O667" t="n">
        <v>0</v>
      </c>
      <c r="P667" t="n">
        <v>0</v>
      </c>
      <c r="Q667" t="n">
        <v>0</v>
      </c>
      <c r="R667" s="2" t="inlineStr"/>
    </row>
    <row r="668" ht="15" customHeight="1">
      <c r="A668" t="inlineStr">
        <is>
          <t>A 54502-2018</t>
        </is>
      </c>
      <c r="B668" s="1" t="n">
        <v>43390</v>
      </c>
      <c r="C668" s="1" t="n">
        <v>45353</v>
      </c>
      <c r="D668" t="inlineStr">
        <is>
          <t>VÄRMLANDS LÄN</t>
        </is>
      </c>
      <c r="E668" t="inlineStr">
        <is>
          <t>KRISTINEHAMN</t>
        </is>
      </c>
      <c r="G668" t="n">
        <v>2.6</v>
      </c>
      <c r="H668" t="n">
        <v>0</v>
      </c>
      <c r="I668" t="n">
        <v>0</v>
      </c>
      <c r="J668" t="n">
        <v>0</v>
      </c>
      <c r="K668" t="n">
        <v>0</v>
      </c>
      <c r="L668" t="n">
        <v>0</v>
      </c>
      <c r="M668" t="n">
        <v>0</v>
      </c>
      <c r="N668" t="n">
        <v>0</v>
      </c>
      <c r="O668" t="n">
        <v>0</v>
      </c>
      <c r="P668" t="n">
        <v>0</v>
      </c>
      <c r="Q668" t="n">
        <v>0</v>
      </c>
      <c r="R668" s="2" t="inlineStr"/>
    </row>
    <row r="669" ht="15" customHeight="1">
      <c r="A669" t="inlineStr">
        <is>
          <t>A 54529-2018</t>
        </is>
      </c>
      <c r="B669" s="1" t="n">
        <v>43390</v>
      </c>
      <c r="C669" s="1" t="n">
        <v>45353</v>
      </c>
      <c r="D669" t="inlineStr">
        <is>
          <t>VÄRMLANDS LÄN</t>
        </is>
      </c>
      <c r="E669" t="inlineStr">
        <is>
          <t>SÄFFLE</t>
        </is>
      </c>
      <c r="G669" t="n">
        <v>3.5</v>
      </c>
      <c r="H669" t="n">
        <v>0</v>
      </c>
      <c r="I669" t="n">
        <v>0</v>
      </c>
      <c r="J669" t="n">
        <v>0</v>
      </c>
      <c r="K669" t="n">
        <v>0</v>
      </c>
      <c r="L669" t="n">
        <v>0</v>
      </c>
      <c r="M669" t="n">
        <v>0</v>
      </c>
      <c r="N669" t="n">
        <v>0</v>
      </c>
      <c r="O669" t="n">
        <v>0</v>
      </c>
      <c r="P669" t="n">
        <v>0</v>
      </c>
      <c r="Q669" t="n">
        <v>0</v>
      </c>
      <c r="R669" s="2" t="inlineStr"/>
    </row>
    <row r="670" ht="15" customHeight="1">
      <c r="A670" t="inlineStr">
        <is>
          <t>A 54878-2018</t>
        </is>
      </c>
      <c r="B670" s="1" t="n">
        <v>43390</v>
      </c>
      <c r="C670" s="1" t="n">
        <v>45353</v>
      </c>
      <c r="D670" t="inlineStr">
        <is>
          <t>VÄRMLANDS LÄN</t>
        </is>
      </c>
      <c r="E670" t="inlineStr">
        <is>
          <t>KRISTINEHAMN</t>
        </is>
      </c>
      <c r="G670" t="n">
        <v>1.5</v>
      </c>
      <c r="H670" t="n">
        <v>0</v>
      </c>
      <c r="I670" t="n">
        <v>0</v>
      </c>
      <c r="J670" t="n">
        <v>0</v>
      </c>
      <c r="K670" t="n">
        <v>0</v>
      </c>
      <c r="L670" t="n">
        <v>0</v>
      </c>
      <c r="M670" t="n">
        <v>0</v>
      </c>
      <c r="N670" t="n">
        <v>0</v>
      </c>
      <c r="O670" t="n">
        <v>0</v>
      </c>
      <c r="P670" t="n">
        <v>0</v>
      </c>
      <c r="Q670" t="n">
        <v>0</v>
      </c>
      <c r="R670" s="2" t="inlineStr"/>
    </row>
    <row r="671" ht="15" customHeight="1">
      <c r="A671" t="inlineStr">
        <is>
          <t>A 54515-2018</t>
        </is>
      </c>
      <c r="B671" s="1" t="n">
        <v>43390</v>
      </c>
      <c r="C671" s="1" t="n">
        <v>45353</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54635-2018</t>
        </is>
      </c>
      <c r="B672" s="1" t="n">
        <v>43390</v>
      </c>
      <c r="C672" s="1" t="n">
        <v>45353</v>
      </c>
      <c r="D672" t="inlineStr">
        <is>
          <t>VÄRMLANDS LÄN</t>
        </is>
      </c>
      <c r="E672" t="inlineStr">
        <is>
          <t>SÄFFLE</t>
        </is>
      </c>
      <c r="G672" t="n">
        <v>1.1</v>
      </c>
      <c r="H672" t="n">
        <v>0</v>
      </c>
      <c r="I672" t="n">
        <v>0</v>
      </c>
      <c r="J672" t="n">
        <v>0</v>
      </c>
      <c r="K672" t="n">
        <v>0</v>
      </c>
      <c r="L672" t="n">
        <v>0</v>
      </c>
      <c r="M672" t="n">
        <v>0</v>
      </c>
      <c r="N672" t="n">
        <v>0</v>
      </c>
      <c r="O672" t="n">
        <v>0</v>
      </c>
      <c r="P672" t="n">
        <v>0</v>
      </c>
      <c r="Q672" t="n">
        <v>0</v>
      </c>
      <c r="R672" s="2" t="inlineStr"/>
    </row>
    <row r="673" ht="15" customHeight="1">
      <c r="A673" t="inlineStr">
        <is>
          <t>A 54510-2018</t>
        </is>
      </c>
      <c r="B673" s="1" t="n">
        <v>43390</v>
      </c>
      <c r="C673" s="1" t="n">
        <v>45353</v>
      </c>
      <c r="D673" t="inlineStr">
        <is>
          <t>VÄRMLANDS LÄN</t>
        </is>
      </c>
      <c r="E673" t="inlineStr">
        <is>
          <t>KRISTINEHAMN</t>
        </is>
      </c>
      <c r="G673" t="n">
        <v>1</v>
      </c>
      <c r="H673" t="n">
        <v>0</v>
      </c>
      <c r="I673" t="n">
        <v>0</v>
      </c>
      <c r="J673" t="n">
        <v>0</v>
      </c>
      <c r="K673" t="n">
        <v>0</v>
      </c>
      <c r="L673" t="n">
        <v>0</v>
      </c>
      <c r="M673" t="n">
        <v>0</v>
      </c>
      <c r="N673" t="n">
        <v>0</v>
      </c>
      <c r="O673" t="n">
        <v>0</v>
      </c>
      <c r="P673" t="n">
        <v>0</v>
      </c>
      <c r="Q673" t="n">
        <v>0</v>
      </c>
      <c r="R673" s="2" t="inlineStr"/>
    </row>
    <row r="674" ht="15" customHeight="1">
      <c r="A674" t="inlineStr">
        <is>
          <t>A 53351-2018</t>
        </is>
      </c>
      <c r="B674" s="1" t="n">
        <v>43390</v>
      </c>
      <c r="C674" s="1" t="n">
        <v>45353</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54496-2018</t>
        </is>
      </c>
      <c r="B675" s="1" t="n">
        <v>43390</v>
      </c>
      <c r="C675" s="1" t="n">
        <v>45353</v>
      </c>
      <c r="D675" t="inlineStr">
        <is>
          <t>VÄRMLANDS LÄN</t>
        </is>
      </c>
      <c r="E675" t="inlineStr">
        <is>
          <t>KRISTINEHAMN</t>
        </is>
      </c>
      <c r="G675" t="n">
        <v>1.6</v>
      </c>
      <c r="H675" t="n">
        <v>0</v>
      </c>
      <c r="I675" t="n">
        <v>0</v>
      </c>
      <c r="J675" t="n">
        <v>0</v>
      </c>
      <c r="K675" t="n">
        <v>0</v>
      </c>
      <c r="L675" t="n">
        <v>0</v>
      </c>
      <c r="M675" t="n">
        <v>0</v>
      </c>
      <c r="N675" t="n">
        <v>0</v>
      </c>
      <c r="O675" t="n">
        <v>0</v>
      </c>
      <c r="P675" t="n">
        <v>0</v>
      </c>
      <c r="Q675" t="n">
        <v>0</v>
      </c>
      <c r="R675" s="2" t="inlineStr"/>
    </row>
    <row r="676" ht="15" customHeight="1">
      <c r="A676" t="inlineStr">
        <is>
          <t>A 54693-2018</t>
        </is>
      </c>
      <c r="B676" s="1" t="n">
        <v>43391</v>
      </c>
      <c r="C676" s="1" t="n">
        <v>45353</v>
      </c>
      <c r="D676" t="inlineStr">
        <is>
          <t>VÄRMLANDS LÄN</t>
        </is>
      </c>
      <c r="E676" t="inlineStr">
        <is>
          <t>EDA</t>
        </is>
      </c>
      <c r="G676" t="n">
        <v>0.9</v>
      </c>
      <c r="H676" t="n">
        <v>0</v>
      </c>
      <c r="I676" t="n">
        <v>0</v>
      </c>
      <c r="J676" t="n">
        <v>0</v>
      </c>
      <c r="K676" t="n">
        <v>0</v>
      </c>
      <c r="L676" t="n">
        <v>0</v>
      </c>
      <c r="M676" t="n">
        <v>0</v>
      </c>
      <c r="N676" t="n">
        <v>0</v>
      </c>
      <c r="O676" t="n">
        <v>0</v>
      </c>
      <c r="P676" t="n">
        <v>0</v>
      </c>
      <c r="Q676" t="n">
        <v>0</v>
      </c>
      <c r="R676" s="2" t="inlineStr"/>
    </row>
    <row r="677" ht="15" customHeight="1">
      <c r="A677" t="inlineStr">
        <is>
          <t>A 55110-2018</t>
        </is>
      </c>
      <c r="B677" s="1" t="n">
        <v>43391</v>
      </c>
      <c r="C677" s="1" t="n">
        <v>45353</v>
      </c>
      <c r="D677" t="inlineStr">
        <is>
          <t>VÄRMLANDS LÄN</t>
        </is>
      </c>
      <c r="E677" t="inlineStr">
        <is>
          <t>SÄFFLE</t>
        </is>
      </c>
      <c r="G677" t="n">
        <v>1.3</v>
      </c>
      <c r="H677" t="n">
        <v>0</v>
      </c>
      <c r="I677" t="n">
        <v>0</v>
      </c>
      <c r="J677" t="n">
        <v>0</v>
      </c>
      <c r="K677" t="n">
        <v>0</v>
      </c>
      <c r="L677" t="n">
        <v>0</v>
      </c>
      <c r="M677" t="n">
        <v>0</v>
      </c>
      <c r="N677" t="n">
        <v>0</v>
      </c>
      <c r="O677" t="n">
        <v>0</v>
      </c>
      <c r="P677" t="n">
        <v>0</v>
      </c>
      <c r="Q677" t="n">
        <v>0</v>
      </c>
      <c r="R677" s="2" t="inlineStr"/>
    </row>
    <row r="678" ht="15" customHeight="1">
      <c r="A678" t="inlineStr">
        <is>
          <t>A 55827-2018</t>
        </is>
      </c>
      <c r="B678" s="1" t="n">
        <v>43392</v>
      </c>
      <c r="C678" s="1" t="n">
        <v>45353</v>
      </c>
      <c r="D678" t="inlineStr">
        <is>
          <t>VÄRMLANDS LÄN</t>
        </is>
      </c>
      <c r="E678" t="inlineStr">
        <is>
          <t>SÄFFLE</t>
        </is>
      </c>
      <c r="G678" t="n">
        <v>2.4</v>
      </c>
      <c r="H678" t="n">
        <v>0</v>
      </c>
      <c r="I678" t="n">
        <v>0</v>
      </c>
      <c r="J678" t="n">
        <v>0</v>
      </c>
      <c r="K678" t="n">
        <v>0</v>
      </c>
      <c r="L678" t="n">
        <v>0</v>
      </c>
      <c r="M678" t="n">
        <v>0</v>
      </c>
      <c r="N678" t="n">
        <v>0</v>
      </c>
      <c r="O678" t="n">
        <v>0</v>
      </c>
      <c r="P678" t="n">
        <v>0</v>
      </c>
      <c r="Q678" t="n">
        <v>0</v>
      </c>
      <c r="R678" s="2" t="inlineStr"/>
    </row>
    <row r="679" ht="15" customHeight="1">
      <c r="A679" t="inlineStr">
        <is>
          <t>A 55820-2018</t>
        </is>
      </c>
      <c r="B679" s="1" t="n">
        <v>43392</v>
      </c>
      <c r="C679" s="1" t="n">
        <v>45353</v>
      </c>
      <c r="D679" t="inlineStr">
        <is>
          <t>VÄRMLANDS LÄN</t>
        </is>
      </c>
      <c r="E679" t="inlineStr">
        <is>
          <t>SÄFFLE</t>
        </is>
      </c>
      <c r="G679" t="n">
        <v>3.3</v>
      </c>
      <c r="H679" t="n">
        <v>0</v>
      </c>
      <c r="I679" t="n">
        <v>0</v>
      </c>
      <c r="J679" t="n">
        <v>0</v>
      </c>
      <c r="K679" t="n">
        <v>0</v>
      </c>
      <c r="L679" t="n">
        <v>0</v>
      </c>
      <c r="M679" t="n">
        <v>0</v>
      </c>
      <c r="N679" t="n">
        <v>0</v>
      </c>
      <c r="O679" t="n">
        <v>0</v>
      </c>
      <c r="P679" t="n">
        <v>0</v>
      </c>
      <c r="Q679" t="n">
        <v>0</v>
      </c>
      <c r="R679" s="2" t="inlineStr"/>
    </row>
    <row r="680" ht="15" customHeight="1">
      <c r="A680" t="inlineStr">
        <is>
          <t>A 55834-2018</t>
        </is>
      </c>
      <c r="B680" s="1" t="n">
        <v>43392</v>
      </c>
      <c r="C680" s="1" t="n">
        <v>45353</v>
      </c>
      <c r="D680" t="inlineStr">
        <is>
          <t>VÄRMLANDS LÄN</t>
        </is>
      </c>
      <c r="E680" t="inlineStr">
        <is>
          <t>SÄFFLE</t>
        </is>
      </c>
      <c r="G680" t="n">
        <v>0.8</v>
      </c>
      <c r="H680" t="n">
        <v>0</v>
      </c>
      <c r="I680" t="n">
        <v>0</v>
      </c>
      <c r="J680" t="n">
        <v>0</v>
      </c>
      <c r="K680" t="n">
        <v>0</v>
      </c>
      <c r="L680" t="n">
        <v>0</v>
      </c>
      <c r="M680" t="n">
        <v>0</v>
      </c>
      <c r="N680" t="n">
        <v>0</v>
      </c>
      <c r="O680" t="n">
        <v>0</v>
      </c>
      <c r="P680" t="n">
        <v>0</v>
      </c>
      <c r="Q680" t="n">
        <v>0</v>
      </c>
      <c r="R680" s="2" t="inlineStr"/>
    </row>
    <row r="681" ht="15" customHeight="1">
      <c r="A681" t="inlineStr">
        <is>
          <t>A 55838-2018</t>
        </is>
      </c>
      <c r="B681" s="1" t="n">
        <v>43392</v>
      </c>
      <c r="C681" s="1" t="n">
        <v>45353</v>
      </c>
      <c r="D681" t="inlineStr">
        <is>
          <t>VÄRMLANDS LÄN</t>
        </is>
      </c>
      <c r="E681" t="inlineStr">
        <is>
          <t>SÄFFLE</t>
        </is>
      </c>
      <c r="G681" t="n">
        <v>1.9</v>
      </c>
      <c r="H681" t="n">
        <v>0</v>
      </c>
      <c r="I681" t="n">
        <v>0</v>
      </c>
      <c r="J681" t="n">
        <v>0</v>
      </c>
      <c r="K681" t="n">
        <v>0</v>
      </c>
      <c r="L681" t="n">
        <v>0</v>
      </c>
      <c r="M681" t="n">
        <v>0</v>
      </c>
      <c r="N681" t="n">
        <v>0</v>
      </c>
      <c r="O681" t="n">
        <v>0</v>
      </c>
      <c r="P681" t="n">
        <v>0</v>
      </c>
      <c r="Q681" t="n">
        <v>0</v>
      </c>
      <c r="R681" s="2" t="inlineStr"/>
    </row>
    <row r="682" ht="15" customHeight="1">
      <c r="A682" t="inlineStr">
        <is>
          <t>A 55832-2018</t>
        </is>
      </c>
      <c r="B682" s="1" t="n">
        <v>43392</v>
      </c>
      <c r="C682" s="1" t="n">
        <v>45353</v>
      </c>
      <c r="D682" t="inlineStr">
        <is>
          <t>VÄRMLANDS LÄN</t>
        </is>
      </c>
      <c r="E682" t="inlineStr">
        <is>
          <t>SÄFFLE</t>
        </is>
      </c>
      <c r="G682" t="n">
        <v>2.9</v>
      </c>
      <c r="H682" t="n">
        <v>0</v>
      </c>
      <c r="I682" t="n">
        <v>0</v>
      </c>
      <c r="J682" t="n">
        <v>0</v>
      </c>
      <c r="K682" t="n">
        <v>0</v>
      </c>
      <c r="L682" t="n">
        <v>0</v>
      </c>
      <c r="M682" t="n">
        <v>0</v>
      </c>
      <c r="N682" t="n">
        <v>0</v>
      </c>
      <c r="O682" t="n">
        <v>0</v>
      </c>
      <c r="P682" t="n">
        <v>0</v>
      </c>
      <c r="Q682" t="n">
        <v>0</v>
      </c>
      <c r="R682" s="2" t="inlineStr"/>
    </row>
    <row r="683" ht="15" customHeight="1">
      <c r="A683" t="inlineStr">
        <is>
          <t>A 55840-2018</t>
        </is>
      </c>
      <c r="B683" s="1" t="n">
        <v>43392</v>
      </c>
      <c r="C683" s="1" t="n">
        <v>45353</v>
      </c>
      <c r="D683" t="inlineStr">
        <is>
          <t>VÄRMLANDS LÄN</t>
        </is>
      </c>
      <c r="E683" t="inlineStr">
        <is>
          <t>SÄFFLE</t>
        </is>
      </c>
      <c r="G683" t="n">
        <v>1</v>
      </c>
      <c r="H683" t="n">
        <v>0</v>
      </c>
      <c r="I683" t="n">
        <v>0</v>
      </c>
      <c r="J683" t="n">
        <v>0</v>
      </c>
      <c r="K683" t="n">
        <v>0</v>
      </c>
      <c r="L683" t="n">
        <v>0</v>
      </c>
      <c r="M683" t="n">
        <v>0</v>
      </c>
      <c r="N683" t="n">
        <v>0</v>
      </c>
      <c r="O683" t="n">
        <v>0</v>
      </c>
      <c r="P683" t="n">
        <v>0</v>
      </c>
      <c r="Q683" t="n">
        <v>0</v>
      </c>
      <c r="R683" s="2" t="inlineStr"/>
    </row>
    <row r="684" ht="15" customHeight="1">
      <c r="A684" t="inlineStr">
        <is>
          <t>A 64999-2018</t>
        </is>
      </c>
      <c r="B684" s="1" t="n">
        <v>43395</v>
      </c>
      <c r="C684" s="1" t="n">
        <v>45353</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54358-2018</t>
        </is>
      </c>
      <c r="B685" s="1" t="n">
        <v>43395</v>
      </c>
      <c r="C685" s="1" t="n">
        <v>45353</v>
      </c>
      <c r="D685" t="inlineStr">
        <is>
          <t>VÄRMLANDS LÄN</t>
        </is>
      </c>
      <c r="E685" t="inlineStr">
        <is>
          <t>KARLSTAD</t>
        </is>
      </c>
      <c r="G685" t="n">
        <v>2.7</v>
      </c>
      <c r="H685" t="n">
        <v>0</v>
      </c>
      <c r="I685" t="n">
        <v>0</v>
      </c>
      <c r="J685" t="n">
        <v>0</v>
      </c>
      <c r="K685" t="n">
        <v>0</v>
      </c>
      <c r="L685" t="n">
        <v>0</v>
      </c>
      <c r="M685" t="n">
        <v>0</v>
      </c>
      <c r="N685" t="n">
        <v>0</v>
      </c>
      <c r="O685" t="n">
        <v>0</v>
      </c>
      <c r="P685" t="n">
        <v>0</v>
      </c>
      <c r="Q685" t="n">
        <v>0</v>
      </c>
      <c r="R685" s="2" t="inlineStr"/>
    </row>
    <row r="686" ht="15" customHeight="1">
      <c r="A686" t="inlineStr">
        <is>
          <t>A 54479-2018</t>
        </is>
      </c>
      <c r="B686" s="1" t="n">
        <v>43395</v>
      </c>
      <c r="C686" s="1" t="n">
        <v>45353</v>
      </c>
      <c r="D686" t="inlineStr">
        <is>
          <t>VÄRMLANDS LÄN</t>
        </is>
      </c>
      <c r="E686" t="inlineStr">
        <is>
          <t>ARVIKA</t>
        </is>
      </c>
      <c r="G686" t="n">
        <v>16.6</v>
      </c>
      <c r="H686" t="n">
        <v>0</v>
      </c>
      <c r="I686" t="n">
        <v>0</v>
      </c>
      <c r="J686" t="n">
        <v>0</v>
      </c>
      <c r="K686" t="n">
        <v>0</v>
      </c>
      <c r="L686" t="n">
        <v>0</v>
      </c>
      <c r="M686" t="n">
        <v>0</v>
      </c>
      <c r="N686" t="n">
        <v>0</v>
      </c>
      <c r="O686" t="n">
        <v>0</v>
      </c>
      <c r="P686" t="n">
        <v>0</v>
      </c>
      <c r="Q686" t="n">
        <v>0</v>
      </c>
      <c r="R686" s="2" t="inlineStr"/>
    </row>
    <row r="687" ht="15" customHeight="1">
      <c r="A687" t="inlineStr">
        <is>
          <t>A 54723-2018</t>
        </is>
      </c>
      <c r="B687" s="1" t="n">
        <v>43395</v>
      </c>
      <c r="C687" s="1" t="n">
        <v>45353</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55882-2018</t>
        </is>
      </c>
      <c r="B688" s="1" t="n">
        <v>43395</v>
      </c>
      <c r="C688" s="1" t="n">
        <v>45353</v>
      </c>
      <c r="D688" t="inlineStr">
        <is>
          <t>VÄRMLANDS LÄN</t>
        </is>
      </c>
      <c r="E688" t="inlineStr">
        <is>
          <t>SUNNE</t>
        </is>
      </c>
      <c r="G688" t="n">
        <v>1.7</v>
      </c>
      <c r="H688" t="n">
        <v>0</v>
      </c>
      <c r="I688" t="n">
        <v>0</v>
      </c>
      <c r="J688" t="n">
        <v>0</v>
      </c>
      <c r="K688" t="n">
        <v>0</v>
      </c>
      <c r="L688" t="n">
        <v>0</v>
      </c>
      <c r="M688" t="n">
        <v>0</v>
      </c>
      <c r="N688" t="n">
        <v>0</v>
      </c>
      <c r="O688" t="n">
        <v>0</v>
      </c>
      <c r="P688" t="n">
        <v>0</v>
      </c>
      <c r="Q688" t="n">
        <v>0</v>
      </c>
      <c r="R688" s="2" t="inlineStr"/>
    </row>
    <row r="689" ht="15" customHeight="1">
      <c r="A689" t="inlineStr">
        <is>
          <t>A 56545-2018</t>
        </is>
      </c>
      <c r="B689" s="1" t="n">
        <v>43395</v>
      </c>
      <c r="C689" s="1" t="n">
        <v>45353</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57018-2018</t>
        </is>
      </c>
      <c r="B690" s="1" t="n">
        <v>43395</v>
      </c>
      <c r="C690" s="1" t="n">
        <v>45353</v>
      </c>
      <c r="D690" t="inlineStr">
        <is>
          <t>VÄRMLANDS LÄN</t>
        </is>
      </c>
      <c r="E690" t="inlineStr">
        <is>
          <t>TORSBY</t>
        </is>
      </c>
      <c r="G690" t="n">
        <v>11.2</v>
      </c>
      <c r="H690" t="n">
        <v>0</v>
      </c>
      <c r="I690" t="n">
        <v>0</v>
      </c>
      <c r="J690" t="n">
        <v>0</v>
      </c>
      <c r="K690" t="n">
        <v>0</v>
      </c>
      <c r="L690" t="n">
        <v>0</v>
      </c>
      <c r="M690" t="n">
        <v>0</v>
      </c>
      <c r="N690" t="n">
        <v>0</v>
      </c>
      <c r="O690" t="n">
        <v>0</v>
      </c>
      <c r="P690" t="n">
        <v>0</v>
      </c>
      <c r="Q690" t="n">
        <v>0</v>
      </c>
      <c r="R690" s="2" t="inlineStr"/>
    </row>
    <row r="691" ht="15" customHeight="1">
      <c r="A691" t="inlineStr">
        <is>
          <t>A 59050-2018</t>
        </is>
      </c>
      <c r="B691" s="1" t="n">
        <v>43395</v>
      </c>
      <c r="C691" s="1" t="n">
        <v>45353</v>
      </c>
      <c r="D691" t="inlineStr">
        <is>
          <t>VÄRMLANDS LÄN</t>
        </is>
      </c>
      <c r="E691" t="inlineStr">
        <is>
          <t>ÅRJÄNG</t>
        </is>
      </c>
      <c r="G691" t="n">
        <v>5.8</v>
      </c>
      <c r="H691" t="n">
        <v>0</v>
      </c>
      <c r="I691" t="n">
        <v>0</v>
      </c>
      <c r="J691" t="n">
        <v>0</v>
      </c>
      <c r="K691" t="n">
        <v>0</v>
      </c>
      <c r="L691" t="n">
        <v>0</v>
      </c>
      <c r="M691" t="n">
        <v>0</v>
      </c>
      <c r="N691" t="n">
        <v>0</v>
      </c>
      <c r="O691" t="n">
        <v>0</v>
      </c>
      <c r="P691" t="n">
        <v>0</v>
      </c>
      <c r="Q691" t="n">
        <v>0</v>
      </c>
      <c r="R691" s="2" t="inlineStr"/>
    </row>
    <row r="692" ht="15" customHeight="1">
      <c r="A692" t="inlineStr">
        <is>
          <t>A 56959-2018</t>
        </is>
      </c>
      <c r="B692" s="1" t="n">
        <v>43395</v>
      </c>
      <c r="C692" s="1" t="n">
        <v>45353</v>
      </c>
      <c r="D692" t="inlineStr">
        <is>
          <t>VÄRMLANDS LÄN</t>
        </is>
      </c>
      <c r="E692" t="inlineStr">
        <is>
          <t>SUNNE</t>
        </is>
      </c>
      <c r="G692" t="n">
        <v>4.6</v>
      </c>
      <c r="H692" t="n">
        <v>0</v>
      </c>
      <c r="I692" t="n">
        <v>0</v>
      </c>
      <c r="J692" t="n">
        <v>0</v>
      </c>
      <c r="K692" t="n">
        <v>0</v>
      </c>
      <c r="L692" t="n">
        <v>0</v>
      </c>
      <c r="M692" t="n">
        <v>0</v>
      </c>
      <c r="N692" t="n">
        <v>0</v>
      </c>
      <c r="O692" t="n">
        <v>0</v>
      </c>
      <c r="P692" t="n">
        <v>0</v>
      </c>
      <c r="Q692" t="n">
        <v>0</v>
      </c>
      <c r="R692" s="2" t="inlineStr"/>
    </row>
    <row r="693" ht="15" customHeight="1">
      <c r="A693" t="inlineStr">
        <is>
          <t>A 54274-2018</t>
        </is>
      </c>
      <c r="B693" s="1" t="n">
        <v>43395</v>
      </c>
      <c r="C693" s="1" t="n">
        <v>45353</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54467-2018</t>
        </is>
      </c>
      <c r="B694" s="1" t="n">
        <v>43395</v>
      </c>
      <c r="C694" s="1" t="n">
        <v>45353</v>
      </c>
      <c r="D694" t="inlineStr">
        <is>
          <t>VÄRMLANDS LÄN</t>
        </is>
      </c>
      <c r="E694" t="inlineStr">
        <is>
          <t>SÄFFLE</t>
        </is>
      </c>
      <c r="G694" t="n">
        <v>2.2</v>
      </c>
      <c r="H694" t="n">
        <v>0</v>
      </c>
      <c r="I694" t="n">
        <v>0</v>
      </c>
      <c r="J694" t="n">
        <v>0</v>
      </c>
      <c r="K694" t="n">
        <v>0</v>
      </c>
      <c r="L694" t="n">
        <v>0</v>
      </c>
      <c r="M694" t="n">
        <v>0</v>
      </c>
      <c r="N694" t="n">
        <v>0</v>
      </c>
      <c r="O694" t="n">
        <v>0</v>
      </c>
      <c r="P694" t="n">
        <v>0</v>
      </c>
      <c r="Q694" t="n">
        <v>0</v>
      </c>
      <c r="R694" s="2" t="inlineStr"/>
    </row>
    <row r="695" ht="15" customHeight="1">
      <c r="A695" t="inlineStr">
        <is>
          <t>A 56571-2018</t>
        </is>
      </c>
      <c r="B695" s="1" t="n">
        <v>43395</v>
      </c>
      <c r="C695" s="1" t="n">
        <v>45353</v>
      </c>
      <c r="D695" t="inlineStr">
        <is>
          <t>VÄRMLANDS LÄN</t>
        </is>
      </c>
      <c r="E695" t="inlineStr">
        <is>
          <t>SUNNE</t>
        </is>
      </c>
      <c r="G695" t="n">
        <v>3.3</v>
      </c>
      <c r="H695" t="n">
        <v>0</v>
      </c>
      <c r="I695" t="n">
        <v>0</v>
      </c>
      <c r="J695" t="n">
        <v>0</v>
      </c>
      <c r="K695" t="n">
        <v>0</v>
      </c>
      <c r="L695" t="n">
        <v>0</v>
      </c>
      <c r="M695" t="n">
        <v>0</v>
      </c>
      <c r="N695" t="n">
        <v>0</v>
      </c>
      <c r="O695" t="n">
        <v>0</v>
      </c>
      <c r="P695" t="n">
        <v>0</v>
      </c>
      <c r="Q695" t="n">
        <v>0</v>
      </c>
      <c r="R695" s="2" t="inlineStr"/>
    </row>
    <row r="696" ht="15" customHeight="1">
      <c r="A696" t="inlineStr">
        <is>
          <t>A 64997-2018</t>
        </is>
      </c>
      <c r="B696" s="1" t="n">
        <v>43395</v>
      </c>
      <c r="C696" s="1" t="n">
        <v>45353</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56421-2018</t>
        </is>
      </c>
      <c r="B697" s="1" t="n">
        <v>43395</v>
      </c>
      <c r="C697" s="1" t="n">
        <v>45353</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56914-2018</t>
        </is>
      </c>
      <c r="B698" s="1" t="n">
        <v>43395</v>
      </c>
      <c r="C698" s="1" t="n">
        <v>45353</v>
      </c>
      <c r="D698" t="inlineStr">
        <is>
          <t>VÄRMLANDS LÄN</t>
        </is>
      </c>
      <c r="E698" t="inlineStr">
        <is>
          <t>TORSBY</t>
        </is>
      </c>
      <c r="G698" t="n">
        <v>11.6</v>
      </c>
      <c r="H698" t="n">
        <v>0</v>
      </c>
      <c r="I698" t="n">
        <v>0</v>
      </c>
      <c r="J698" t="n">
        <v>0</v>
      </c>
      <c r="K698" t="n">
        <v>0</v>
      </c>
      <c r="L698" t="n">
        <v>0</v>
      </c>
      <c r="M698" t="n">
        <v>0</v>
      </c>
      <c r="N698" t="n">
        <v>0</v>
      </c>
      <c r="O698" t="n">
        <v>0</v>
      </c>
      <c r="P698" t="n">
        <v>0</v>
      </c>
      <c r="Q698" t="n">
        <v>0</v>
      </c>
      <c r="R698" s="2" t="inlineStr"/>
    </row>
    <row r="699" ht="15" customHeight="1">
      <c r="A699" t="inlineStr">
        <is>
          <t>A 56982-2018</t>
        </is>
      </c>
      <c r="B699" s="1" t="n">
        <v>43396</v>
      </c>
      <c r="C699" s="1" t="n">
        <v>45353</v>
      </c>
      <c r="D699" t="inlineStr">
        <is>
          <t>VÄRMLANDS LÄN</t>
        </is>
      </c>
      <c r="E699" t="inlineStr">
        <is>
          <t>ARVIKA</t>
        </is>
      </c>
      <c r="G699" t="n">
        <v>4.9</v>
      </c>
      <c r="H699" t="n">
        <v>0</v>
      </c>
      <c r="I699" t="n">
        <v>0</v>
      </c>
      <c r="J699" t="n">
        <v>0</v>
      </c>
      <c r="K699" t="n">
        <v>0</v>
      </c>
      <c r="L699" t="n">
        <v>0</v>
      </c>
      <c r="M699" t="n">
        <v>0</v>
      </c>
      <c r="N699" t="n">
        <v>0</v>
      </c>
      <c r="O699" t="n">
        <v>0</v>
      </c>
      <c r="P699" t="n">
        <v>0</v>
      </c>
      <c r="Q699" t="n">
        <v>0</v>
      </c>
      <c r="R699" s="2" t="inlineStr"/>
    </row>
    <row r="700" ht="15" customHeight="1">
      <c r="A700" t="inlineStr">
        <is>
          <t>A 57016-2018</t>
        </is>
      </c>
      <c r="B700" s="1" t="n">
        <v>43396</v>
      </c>
      <c r="C700" s="1" t="n">
        <v>45353</v>
      </c>
      <c r="D700" t="inlineStr">
        <is>
          <t>VÄRMLANDS LÄN</t>
        </is>
      </c>
      <c r="E700" t="inlineStr">
        <is>
          <t>ARVIKA</t>
        </is>
      </c>
      <c r="G700" t="n">
        <v>5</v>
      </c>
      <c r="H700" t="n">
        <v>0</v>
      </c>
      <c r="I700" t="n">
        <v>0</v>
      </c>
      <c r="J700" t="n">
        <v>0</v>
      </c>
      <c r="K700" t="n">
        <v>0</v>
      </c>
      <c r="L700" t="n">
        <v>0</v>
      </c>
      <c r="M700" t="n">
        <v>0</v>
      </c>
      <c r="N700" t="n">
        <v>0</v>
      </c>
      <c r="O700" t="n">
        <v>0</v>
      </c>
      <c r="P700" t="n">
        <v>0</v>
      </c>
      <c r="Q700" t="n">
        <v>0</v>
      </c>
      <c r="R700" s="2" t="inlineStr"/>
    </row>
    <row r="701" ht="15" customHeight="1">
      <c r="A701" t="inlineStr">
        <is>
          <t>A 57769-2018</t>
        </is>
      </c>
      <c r="B701" s="1" t="n">
        <v>43397</v>
      </c>
      <c r="C701" s="1" t="n">
        <v>45353</v>
      </c>
      <c r="D701" t="inlineStr">
        <is>
          <t>VÄRMLANDS LÄN</t>
        </is>
      </c>
      <c r="E701" t="inlineStr">
        <is>
          <t>KRISTINEHAMN</t>
        </is>
      </c>
      <c r="G701" t="n">
        <v>0.9</v>
      </c>
      <c r="H701" t="n">
        <v>0</v>
      </c>
      <c r="I701" t="n">
        <v>0</v>
      </c>
      <c r="J701" t="n">
        <v>0</v>
      </c>
      <c r="K701" t="n">
        <v>0</v>
      </c>
      <c r="L701" t="n">
        <v>0</v>
      </c>
      <c r="M701" t="n">
        <v>0</v>
      </c>
      <c r="N701" t="n">
        <v>0</v>
      </c>
      <c r="O701" t="n">
        <v>0</v>
      </c>
      <c r="P701" t="n">
        <v>0</v>
      </c>
      <c r="Q701" t="n">
        <v>0</v>
      </c>
      <c r="R701" s="2" t="inlineStr"/>
    </row>
    <row r="702" ht="15" customHeight="1">
      <c r="A702" t="inlineStr">
        <is>
          <t>A 57776-2018</t>
        </is>
      </c>
      <c r="B702" s="1" t="n">
        <v>43397</v>
      </c>
      <c r="C702" s="1" t="n">
        <v>45353</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57837-2018</t>
        </is>
      </c>
      <c r="B703" s="1" t="n">
        <v>43397</v>
      </c>
      <c r="C703" s="1" t="n">
        <v>45353</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57492-2018</t>
        </is>
      </c>
      <c r="B704" s="1" t="n">
        <v>43397</v>
      </c>
      <c r="C704" s="1" t="n">
        <v>45353</v>
      </c>
      <c r="D704" t="inlineStr">
        <is>
          <t>VÄRMLANDS LÄN</t>
        </is>
      </c>
      <c r="E704" t="inlineStr">
        <is>
          <t>EDA</t>
        </is>
      </c>
      <c r="G704" t="n">
        <v>4.3</v>
      </c>
      <c r="H704" t="n">
        <v>0</v>
      </c>
      <c r="I704" t="n">
        <v>0</v>
      </c>
      <c r="J704" t="n">
        <v>0</v>
      </c>
      <c r="K704" t="n">
        <v>0</v>
      </c>
      <c r="L704" t="n">
        <v>0</v>
      </c>
      <c r="M704" t="n">
        <v>0</v>
      </c>
      <c r="N704" t="n">
        <v>0</v>
      </c>
      <c r="O704" t="n">
        <v>0</v>
      </c>
      <c r="P704" t="n">
        <v>0</v>
      </c>
      <c r="Q704" t="n">
        <v>0</v>
      </c>
      <c r="R704" s="2" t="inlineStr"/>
    </row>
    <row r="705" ht="15" customHeight="1">
      <c r="A705" t="inlineStr">
        <is>
          <t>A 57774-2018</t>
        </is>
      </c>
      <c r="B705" s="1" t="n">
        <v>43397</v>
      </c>
      <c r="C705" s="1" t="n">
        <v>45353</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57779-2018</t>
        </is>
      </c>
      <c r="B706" s="1" t="n">
        <v>43397</v>
      </c>
      <c r="C706" s="1" t="n">
        <v>45353</v>
      </c>
      <c r="D706" t="inlineStr">
        <is>
          <t>VÄRMLANDS LÄN</t>
        </is>
      </c>
      <c r="E706" t="inlineStr">
        <is>
          <t>KRISTINEHAMN</t>
        </is>
      </c>
      <c r="G706" t="n">
        <v>1.6</v>
      </c>
      <c r="H706" t="n">
        <v>0</v>
      </c>
      <c r="I706" t="n">
        <v>0</v>
      </c>
      <c r="J706" t="n">
        <v>0</v>
      </c>
      <c r="K706" t="n">
        <v>0</v>
      </c>
      <c r="L706" t="n">
        <v>0</v>
      </c>
      <c r="M706" t="n">
        <v>0</v>
      </c>
      <c r="N706" t="n">
        <v>0</v>
      </c>
      <c r="O706" t="n">
        <v>0</v>
      </c>
      <c r="P706" t="n">
        <v>0</v>
      </c>
      <c r="Q706" t="n">
        <v>0</v>
      </c>
      <c r="R706" s="2" t="inlineStr"/>
    </row>
    <row r="707" ht="15" customHeight="1">
      <c r="A707" t="inlineStr">
        <is>
          <t>A 55326-2018</t>
        </is>
      </c>
      <c r="B707" s="1" t="n">
        <v>43397</v>
      </c>
      <c r="C707" s="1" t="n">
        <v>45353</v>
      </c>
      <c r="D707" t="inlineStr">
        <is>
          <t>VÄRMLANDS LÄN</t>
        </is>
      </c>
      <c r="E707" t="inlineStr">
        <is>
          <t>SÄFFLE</t>
        </is>
      </c>
      <c r="G707" t="n">
        <v>1</v>
      </c>
      <c r="H707" t="n">
        <v>0</v>
      </c>
      <c r="I707" t="n">
        <v>0</v>
      </c>
      <c r="J707" t="n">
        <v>0</v>
      </c>
      <c r="K707" t="n">
        <v>0</v>
      </c>
      <c r="L707" t="n">
        <v>0</v>
      </c>
      <c r="M707" t="n">
        <v>0</v>
      </c>
      <c r="N707" t="n">
        <v>0</v>
      </c>
      <c r="O707" t="n">
        <v>0</v>
      </c>
      <c r="P707" t="n">
        <v>0</v>
      </c>
      <c r="Q707" t="n">
        <v>0</v>
      </c>
      <c r="R707" s="2" t="inlineStr"/>
    </row>
    <row r="708" ht="15" customHeight="1">
      <c r="A708" t="inlineStr">
        <is>
          <t>A 57771-2018</t>
        </is>
      </c>
      <c r="B708" s="1" t="n">
        <v>43397</v>
      </c>
      <c r="C708" s="1" t="n">
        <v>45353</v>
      </c>
      <c r="D708" t="inlineStr">
        <is>
          <t>VÄRMLANDS LÄN</t>
        </is>
      </c>
      <c r="E708" t="inlineStr">
        <is>
          <t>SUNNE</t>
        </is>
      </c>
      <c r="G708" t="n">
        <v>3.1</v>
      </c>
      <c r="H708" t="n">
        <v>0</v>
      </c>
      <c r="I708" t="n">
        <v>0</v>
      </c>
      <c r="J708" t="n">
        <v>0</v>
      </c>
      <c r="K708" t="n">
        <v>0</v>
      </c>
      <c r="L708" t="n">
        <v>0</v>
      </c>
      <c r="M708" t="n">
        <v>0</v>
      </c>
      <c r="N708" t="n">
        <v>0</v>
      </c>
      <c r="O708" t="n">
        <v>0</v>
      </c>
      <c r="P708" t="n">
        <v>0</v>
      </c>
      <c r="Q708" t="n">
        <v>0</v>
      </c>
      <c r="R708" s="2" t="inlineStr"/>
    </row>
    <row r="709" ht="15" customHeight="1">
      <c r="A709" t="inlineStr">
        <is>
          <t>A 57748-2018</t>
        </is>
      </c>
      <c r="B709" s="1" t="n">
        <v>43397</v>
      </c>
      <c r="C709" s="1" t="n">
        <v>45353</v>
      </c>
      <c r="D709" t="inlineStr">
        <is>
          <t>VÄRMLANDS LÄN</t>
        </is>
      </c>
      <c r="E709" t="inlineStr">
        <is>
          <t>ARVIKA</t>
        </is>
      </c>
      <c r="G709" t="n">
        <v>1.5</v>
      </c>
      <c r="H709" t="n">
        <v>0</v>
      </c>
      <c r="I709" t="n">
        <v>0</v>
      </c>
      <c r="J709" t="n">
        <v>0</v>
      </c>
      <c r="K709" t="n">
        <v>0</v>
      </c>
      <c r="L709" t="n">
        <v>0</v>
      </c>
      <c r="M709" t="n">
        <v>0</v>
      </c>
      <c r="N709" t="n">
        <v>0</v>
      </c>
      <c r="O709" t="n">
        <v>0</v>
      </c>
      <c r="P709" t="n">
        <v>0</v>
      </c>
      <c r="Q709" t="n">
        <v>0</v>
      </c>
      <c r="R709" s="2" t="inlineStr"/>
    </row>
    <row r="710" ht="15" customHeight="1">
      <c r="A710" t="inlineStr">
        <is>
          <t>A 57766-2018</t>
        </is>
      </c>
      <c r="B710" s="1" t="n">
        <v>43397</v>
      </c>
      <c r="C710" s="1" t="n">
        <v>45353</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57775-2018</t>
        </is>
      </c>
      <c r="B711" s="1" t="n">
        <v>43397</v>
      </c>
      <c r="C711" s="1" t="n">
        <v>45353</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58620-2018</t>
        </is>
      </c>
      <c r="B712" s="1" t="n">
        <v>43398</v>
      </c>
      <c r="C712" s="1" t="n">
        <v>45353</v>
      </c>
      <c r="D712" t="inlineStr">
        <is>
          <t>VÄRMLANDS LÄN</t>
        </is>
      </c>
      <c r="E712" t="inlineStr">
        <is>
          <t>TORSBY</t>
        </is>
      </c>
      <c r="G712" t="n">
        <v>5.3</v>
      </c>
      <c r="H712" t="n">
        <v>0</v>
      </c>
      <c r="I712" t="n">
        <v>0</v>
      </c>
      <c r="J712" t="n">
        <v>0</v>
      </c>
      <c r="K712" t="n">
        <v>0</v>
      </c>
      <c r="L712" t="n">
        <v>0</v>
      </c>
      <c r="M712" t="n">
        <v>0</v>
      </c>
      <c r="N712" t="n">
        <v>0</v>
      </c>
      <c r="O712" t="n">
        <v>0</v>
      </c>
      <c r="P712" t="n">
        <v>0</v>
      </c>
      <c r="Q712" t="n">
        <v>0</v>
      </c>
      <c r="R712" s="2" t="inlineStr"/>
    </row>
    <row r="713" ht="15" customHeight="1">
      <c r="A713" t="inlineStr">
        <is>
          <t>A 57906-2018</t>
        </is>
      </c>
      <c r="B713" s="1" t="n">
        <v>43398</v>
      </c>
      <c r="C713" s="1" t="n">
        <v>45353</v>
      </c>
      <c r="D713" t="inlineStr">
        <is>
          <t>VÄRMLANDS LÄN</t>
        </is>
      </c>
      <c r="E713" t="inlineStr">
        <is>
          <t>SUNNE</t>
        </is>
      </c>
      <c r="G713" t="n">
        <v>8.4</v>
      </c>
      <c r="H713" t="n">
        <v>0</v>
      </c>
      <c r="I713" t="n">
        <v>0</v>
      </c>
      <c r="J713" t="n">
        <v>0</v>
      </c>
      <c r="K713" t="n">
        <v>0</v>
      </c>
      <c r="L713" t="n">
        <v>0</v>
      </c>
      <c r="M713" t="n">
        <v>0</v>
      </c>
      <c r="N713" t="n">
        <v>0</v>
      </c>
      <c r="O713" t="n">
        <v>0</v>
      </c>
      <c r="P713" t="n">
        <v>0</v>
      </c>
      <c r="Q713" t="n">
        <v>0</v>
      </c>
      <c r="R713" s="2" t="inlineStr"/>
    </row>
    <row r="714" ht="15" customHeight="1">
      <c r="A714" t="inlineStr">
        <is>
          <t>A 58601-2018</t>
        </is>
      </c>
      <c r="B714" s="1" t="n">
        <v>43398</v>
      </c>
      <c r="C714" s="1" t="n">
        <v>45353</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55870-2018</t>
        </is>
      </c>
      <c r="B715" s="1" t="n">
        <v>43398</v>
      </c>
      <c r="C715" s="1" t="n">
        <v>45353</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58625-2018</t>
        </is>
      </c>
      <c r="B716" s="1" t="n">
        <v>43398</v>
      </c>
      <c r="C716" s="1" t="n">
        <v>45353</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58648-2018</t>
        </is>
      </c>
      <c r="B717" s="1" t="n">
        <v>43399</v>
      </c>
      <c r="C717" s="1" t="n">
        <v>45353</v>
      </c>
      <c r="D717" t="inlineStr">
        <is>
          <t>VÄRMLANDS LÄN</t>
        </is>
      </c>
      <c r="E717" t="inlineStr">
        <is>
          <t>ÅRJÄNG</t>
        </is>
      </c>
      <c r="G717" t="n">
        <v>2.1</v>
      </c>
      <c r="H717" t="n">
        <v>0</v>
      </c>
      <c r="I717" t="n">
        <v>0</v>
      </c>
      <c r="J717" t="n">
        <v>0</v>
      </c>
      <c r="K717" t="n">
        <v>0</v>
      </c>
      <c r="L717" t="n">
        <v>0</v>
      </c>
      <c r="M717" t="n">
        <v>0</v>
      </c>
      <c r="N717" t="n">
        <v>0</v>
      </c>
      <c r="O717" t="n">
        <v>0</v>
      </c>
      <c r="P717" t="n">
        <v>0</v>
      </c>
      <c r="Q717" t="n">
        <v>0</v>
      </c>
      <c r="R717" s="2" t="inlineStr"/>
    </row>
    <row r="718" ht="15" customHeight="1">
      <c r="A718" t="inlineStr">
        <is>
          <t>A 58675-2018</t>
        </is>
      </c>
      <c r="B718" s="1" t="n">
        <v>43399</v>
      </c>
      <c r="C718" s="1" t="n">
        <v>45353</v>
      </c>
      <c r="D718" t="inlineStr">
        <is>
          <t>VÄRMLANDS LÄN</t>
        </is>
      </c>
      <c r="E718" t="inlineStr">
        <is>
          <t>KRISTINEHAMN</t>
        </is>
      </c>
      <c r="G718" t="n">
        <v>3.9</v>
      </c>
      <c r="H718" t="n">
        <v>0</v>
      </c>
      <c r="I718" t="n">
        <v>0</v>
      </c>
      <c r="J718" t="n">
        <v>0</v>
      </c>
      <c r="K718" t="n">
        <v>0</v>
      </c>
      <c r="L718" t="n">
        <v>0</v>
      </c>
      <c r="M718" t="n">
        <v>0</v>
      </c>
      <c r="N718" t="n">
        <v>0</v>
      </c>
      <c r="O718" t="n">
        <v>0</v>
      </c>
      <c r="P718" t="n">
        <v>0</v>
      </c>
      <c r="Q718" t="n">
        <v>0</v>
      </c>
      <c r="R718" s="2" t="inlineStr"/>
    </row>
    <row r="719" ht="15" customHeight="1">
      <c r="A719" t="inlineStr">
        <is>
          <t>A 56236-2018</t>
        </is>
      </c>
      <c r="B719" s="1" t="n">
        <v>43399</v>
      </c>
      <c r="C719" s="1" t="n">
        <v>45353</v>
      </c>
      <c r="D719" t="inlineStr">
        <is>
          <t>VÄRMLANDS LÄN</t>
        </is>
      </c>
      <c r="E719" t="inlineStr">
        <is>
          <t>KRISTINEHAMN</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56358-2018</t>
        </is>
      </c>
      <c r="B720" s="1" t="n">
        <v>43399</v>
      </c>
      <c r="C720" s="1" t="n">
        <v>45353</v>
      </c>
      <c r="D720" t="inlineStr">
        <is>
          <t>VÄRMLANDS LÄN</t>
        </is>
      </c>
      <c r="E720" t="inlineStr">
        <is>
          <t>TORSBY</t>
        </is>
      </c>
      <c r="G720" t="n">
        <v>6.4</v>
      </c>
      <c r="H720" t="n">
        <v>0</v>
      </c>
      <c r="I720" t="n">
        <v>0</v>
      </c>
      <c r="J720" t="n">
        <v>0</v>
      </c>
      <c r="K720" t="n">
        <v>0</v>
      </c>
      <c r="L720" t="n">
        <v>0</v>
      </c>
      <c r="M720" t="n">
        <v>0</v>
      </c>
      <c r="N720" t="n">
        <v>0</v>
      </c>
      <c r="O720" t="n">
        <v>0</v>
      </c>
      <c r="P720" t="n">
        <v>0</v>
      </c>
      <c r="Q720" t="n">
        <v>0</v>
      </c>
      <c r="R720" s="2" t="inlineStr"/>
    </row>
    <row r="721" ht="15" customHeight="1">
      <c r="A721" t="inlineStr">
        <is>
          <t>A 58640-2018</t>
        </is>
      </c>
      <c r="B721" s="1" t="n">
        <v>43399</v>
      </c>
      <c r="C721" s="1" t="n">
        <v>45353</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56528-2018</t>
        </is>
      </c>
      <c r="B722" s="1" t="n">
        <v>43401</v>
      </c>
      <c r="C722" s="1" t="n">
        <v>45353</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56524-2018</t>
        </is>
      </c>
      <c r="B723" s="1" t="n">
        <v>43401</v>
      </c>
      <c r="C723" s="1" t="n">
        <v>45353</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56709-2018</t>
        </is>
      </c>
      <c r="B724" s="1" t="n">
        <v>43402</v>
      </c>
      <c r="C724" s="1" t="n">
        <v>45353</v>
      </c>
      <c r="D724" t="inlineStr">
        <is>
          <t>VÄRMLANDS LÄN</t>
        </is>
      </c>
      <c r="E724" t="inlineStr">
        <is>
          <t>HAGFORS</t>
        </is>
      </c>
      <c r="G724" t="n">
        <v>11.2</v>
      </c>
      <c r="H724" t="n">
        <v>0</v>
      </c>
      <c r="I724" t="n">
        <v>0</v>
      </c>
      <c r="J724" t="n">
        <v>0</v>
      </c>
      <c r="K724" t="n">
        <v>0</v>
      </c>
      <c r="L724" t="n">
        <v>0</v>
      </c>
      <c r="M724" t="n">
        <v>0</v>
      </c>
      <c r="N724" t="n">
        <v>0</v>
      </c>
      <c r="O724" t="n">
        <v>0</v>
      </c>
      <c r="P724" t="n">
        <v>0</v>
      </c>
      <c r="Q724" t="n">
        <v>0</v>
      </c>
      <c r="R724" s="2" t="inlineStr"/>
    </row>
    <row r="725" ht="15" customHeight="1">
      <c r="A725" t="inlineStr">
        <is>
          <t>A 56812-2018</t>
        </is>
      </c>
      <c r="B725" s="1" t="n">
        <v>43402</v>
      </c>
      <c r="C725" s="1" t="n">
        <v>45353</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59040-2018</t>
        </is>
      </c>
      <c r="B726" s="1" t="n">
        <v>43402</v>
      </c>
      <c r="C726" s="1" t="n">
        <v>45353</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58851-2018</t>
        </is>
      </c>
      <c r="B727" s="1" t="n">
        <v>43402</v>
      </c>
      <c r="C727" s="1" t="n">
        <v>45353</v>
      </c>
      <c r="D727" t="inlineStr">
        <is>
          <t>VÄRMLANDS LÄN</t>
        </is>
      </c>
      <c r="E727" t="inlineStr">
        <is>
          <t>SÄFFLE</t>
        </is>
      </c>
      <c r="G727" t="n">
        <v>4.1</v>
      </c>
      <c r="H727" t="n">
        <v>0</v>
      </c>
      <c r="I727" t="n">
        <v>0</v>
      </c>
      <c r="J727" t="n">
        <v>0</v>
      </c>
      <c r="K727" t="n">
        <v>0</v>
      </c>
      <c r="L727" t="n">
        <v>0</v>
      </c>
      <c r="M727" t="n">
        <v>0</v>
      </c>
      <c r="N727" t="n">
        <v>0</v>
      </c>
      <c r="O727" t="n">
        <v>0</v>
      </c>
      <c r="P727" t="n">
        <v>0</v>
      </c>
      <c r="Q727" t="n">
        <v>0</v>
      </c>
      <c r="R727" s="2" t="inlineStr"/>
    </row>
    <row r="728" ht="15" customHeight="1">
      <c r="A728" t="inlineStr">
        <is>
          <t>A 59041-2018</t>
        </is>
      </c>
      <c r="B728" s="1" t="n">
        <v>43402</v>
      </c>
      <c r="C728" s="1" t="n">
        <v>45353</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59076-2018</t>
        </is>
      </c>
      <c r="B729" s="1" t="n">
        <v>43403</v>
      </c>
      <c r="C729" s="1" t="n">
        <v>45353</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59153-2018</t>
        </is>
      </c>
      <c r="B730" s="1" t="n">
        <v>43403</v>
      </c>
      <c r="C730" s="1" t="n">
        <v>45353</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59184-2018</t>
        </is>
      </c>
      <c r="B731" s="1" t="n">
        <v>43403</v>
      </c>
      <c r="C731" s="1" t="n">
        <v>45353</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59052-2018</t>
        </is>
      </c>
      <c r="B732" s="1" t="n">
        <v>43403</v>
      </c>
      <c r="C732" s="1" t="n">
        <v>45353</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59090-2018</t>
        </is>
      </c>
      <c r="B733" s="1" t="n">
        <v>43403</v>
      </c>
      <c r="C733" s="1" t="n">
        <v>45353</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59160-2018</t>
        </is>
      </c>
      <c r="B734" s="1" t="n">
        <v>43403</v>
      </c>
      <c r="C734" s="1" t="n">
        <v>45353</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59176-2018</t>
        </is>
      </c>
      <c r="B735" s="1" t="n">
        <v>43403</v>
      </c>
      <c r="C735" s="1" t="n">
        <v>45353</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59059-2018</t>
        </is>
      </c>
      <c r="B736" s="1" t="n">
        <v>43403</v>
      </c>
      <c r="C736" s="1" t="n">
        <v>45353</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59070-2018</t>
        </is>
      </c>
      <c r="B737" s="1" t="n">
        <v>43403</v>
      </c>
      <c r="C737" s="1" t="n">
        <v>45353</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59174-2018</t>
        </is>
      </c>
      <c r="B738" s="1" t="n">
        <v>43403</v>
      </c>
      <c r="C738" s="1" t="n">
        <v>45353</v>
      </c>
      <c r="D738" t="inlineStr">
        <is>
          <t>VÄRMLANDS LÄN</t>
        </is>
      </c>
      <c r="E738" t="inlineStr">
        <is>
          <t>ÅRJÄNG</t>
        </is>
      </c>
      <c r="G738" t="n">
        <v>6.8</v>
      </c>
      <c r="H738" t="n">
        <v>0</v>
      </c>
      <c r="I738" t="n">
        <v>0</v>
      </c>
      <c r="J738" t="n">
        <v>0</v>
      </c>
      <c r="K738" t="n">
        <v>0</v>
      </c>
      <c r="L738" t="n">
        <v>0</v>
      </c>
      <c r="M738" t="n">
        <v>0</v>
      </c>
      <c r="N738" t="n">
        <v>0</v>
      </c>
      <c r="O738" t="n">
        <v>0</v>
      </c>
      <c r="P738" t="n">
        <v>0</v>
      </c>
      <c r="Q738" t="n">
        <v>0</v>
      </c>
      <c r="R738" s="2" t="inlineStr"/>
    </row>
    <row r="739" ht="15" customHeight="1">
      <c r="A739" t="inlineStr">
        <is>
          <t>A 59151-2018</t>
        </is>
      </c>
      <c r="B739" s="1" t="n">
        <v>43403</v>
      </c>
      <c r="C739" s="1" t="n">
        <v>45353</v>
      </c>
      <c r="D739" t="inlineStr">
        <is>
          <t>VÄRMLANDS LÄN</t>
        </is>
      </c>
      <c r="E739" t="inlineStr">
        <is>
          <t>SÄFFLE</t>
        </is>
      </c>
      <c r="G739" t="n">
        <v>3.4</v>
      </c>
      <c r="H739" t="n">
        <v>0</v>
      </c>
      <c r="I739" t="n">
        <v>0</v>
      </c>
      <c r="J739" t="n">
        <v>0</v>
      </c>
      <c r="K739" t="n">
        <v>0</v>
      </c>
      <c r="L739" t="n">
        <v>0</v>
      </c>
      <c r="M739" t="n">
        <v>0</v>
      </c>
      <c r="N739" t="n">
        <v>0</v>
      </c>
      <c r="O739" t="n">
        <v>0</v>
      </c>
      <c r="P739" t="n">
        <v>0</v>
      </c>
      <c r="Q739" t="n">
        <v>0</v>
      </c>
      <c r="R739" s="2" t="inlineStr"/>
    </row>
    <row r="740" ht="15" customHeight="1">
      <c r="A740" t="inlineStr">
        <is>
          <t>A 59192-2018</t>
        </is>
      </c>
      <c r="B740" s="1" t="n">
        <v>43403</v>
      </c>
      <c r="C740" s="1" t="n">
        <v>45353</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57545-2018</t>
        </is>
      </c>
      <c r="B741" s="1" t="n">
        <v>43404</v>
      </c>
      <c r="C741" s="1" t="n">
        <v>45353</v>
      </c>
      <c r="D741" t="inlineStr">
        <is>
          <t>VÄRMLANDS LÄN</t>
        </is>
      </c>
      <c r="E741" t="inlineStr">
        <is>
          <t>HAGFORS</t>
        </is>
      </c>
      <c r="G741" t="n">
        <v>1.3</v>
      </c>
      <c r="H741" t="n">
        <v>0</v>
      </c>
      <c r="I741" t="n">
        <v>0</v>
      </c>
      <c r="J741" t="n">
        <v>0</v>
      </c>
      <c r="K741" t="n">
        <v>0</v>
      </c>
      <c r="L741" t="n">
        <v>0</v>
      </c>
      <c r="M741" t="n">
        <v>0</v>
      </c>
      <c r="N741" t="n">
        <v>0</v>
      </c>
      <c r="O741" t="n">
        <v>0</v>
      </c>
      <c r="P741" t="n">
        <v>0</v>
      </c>
      <c r="Q741" t="n">
        <v>0</v>
      </c>
      <c r="R741" s="2" t="inlineStr"/>
    </row>
    <row r="742" ht="15" customHeight="1">
      <c r="A742" t="inlineStr">
        <is>
          <t>A 57540-2018</t>
        </is>
      </c>
      <c r="B742" s="1" t="n">
        <v>43404</v>
      </c>
      <c r="C742" s="1" t="n">
        <v>45353</v>
      </c>
      <c r="D742" t="inlineStr">
        <is>
          <t>VÄRMLANDS LÄN</t>
        </is>
      </c>
      <c r="E742" t="inlineStr">
        <is>
          <t>HAGFORS</t>
        </is>
      </c>
      <c r="G742" t="n">
        <v>2.6</v>
      </c>
      <c r="H742" t="n">
        <v>0</v>
      </c>
      <c r="I742" t="n">
        <v>0</v>
      </c>
      <c r="J742" t="n">
        <v>0</v>
      </c>
      <c r="K742" t="n">
        <v>0</v>
      </c>
      <c r="L742" t="n">
        <v>0</v>
      </c>
      <c r="M742" t="n">
        <v>0</v>
      </c>
      <c r="N742" t="n">
        <v>0</v>
      </c>
      <c r="O742" t="n">
        <v>0</v>
      </c>
      <c r="P742" t="n">
        <v>0</v>
      </c>
      <c r="Q742" t="n">
        <v>0</v>
      </c>
      <c r="R742" s="2" t="inlineStr"/>
    </row>
    <row r="743" ht="15" customHeight="1">
      <c r="A743" t="inlineStr">
        <is>
          <t>A 59619-2018</t>
        </is>
      </c>
      <c r="B743" s="1" t="n">
        <v>43404</v>
      </c>
      <c r="C743" s="1" t="n">
        <v>45353</v>
      </c>
      <c r="D743" t="inlineStr">
        <is>
          <t>VÄRMLANDS LÄN</t>
        </is>
      </c>
      <c r="E743" t="inlineStr">
        <is>
          <t>KIL</t>
        </is>
      </c>
      <c r="G743" t="n">
        <v>10.5</v>
      </c>
      <c r="H743" t="n">
        <v>0</v>
      </c>
      <c r="I743" t="n">
        <v>0</v>
      </c>
      <c r="J743" t="n">
        <v>0</v>
      </c>
      <c r="K743" t="n">
        <v>0</v>
      </c>
      <c r="L743" t="n">
        <v>0</v>
      </c>
      <c r="M743" t="n">
        <v>0</v>
      </c>
      <c r="N743" t="n">
        <v>0</v>
      </c>
      <c r="O743" t="n">
        <v>0</v>
      </c>
      <c r="P743" t="n">
        <v>0</v>
      </c>
      <c r="Q743" t="n">
        <v>0</v>
      </c>
      <c r="R743" s="2" t="inlineStr"/>
    </row>
    <row r="744" ht="15" customHeight="1">
      <c r="A744" t="inlineStr">
        <is>
          <t>A 64980-2018</t>
        </is>
      </c>
      <c r="B744" s="1" t="n">
        <v>43404</v>
      </c>
      <c r="C744" s="1" t="n">
        <v>45353</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57915-2018</t>
        </is>
      </c>
      <c r="B745" s="1" t="n">
        <v>43405</v>
      </c>
      <c r="C745" s="1" t="n">
        <v>45353</v>
      </c>
      <c r="D745" t="inlineStr">
        <is>
          <t>VÄRMLANDS LÄN</t>
        </is>
      </c>
      <c r="E745" t="inlineStr">
        <is>
          <t>SUNNE</t>
        </is>
      </c>
      <c r="G745" t="n">
        <v>5.2</v>
      </c>
      <c r="H745" t="n">
        <v>0</v>
      </c>
      <c r="I745" t="n">
        <v>0</v>
      </c>
      <c r="J745" t="n">
        <v>0</v>
      </c>
      <c r="K745" t="n">
        <v>0</v>
      </c>
      <c r="L745" t="n">
        <v>0</v>
      </c>
      <c r="M745" t="n">
        <v>0</v>
      </c>
      <c r="N745" t="n">
        <v>0</v>
      </c>
      <c r="O745" t="n">
        <v>0</v>
      </c>
      <c r="P745" t="n">
        <v>0</v>
      </c>
      <c r="Q745" t="n">
        <v>0</v>
      </c>
      <c r="R745" s="2" t="inlineStr"/>
    </row>
    <row r="746" ht="15" customHeight="1">
      <c r="A746" t="inlineStr">
        <is>
          <t>A 57799-2018</t>
        </is>
      </c>
      <c r="B746" s="1" t="n">
        <v>43405</v>
      </c>
      <c r="C746" s="1" t="n">
        <v>45353</v>
      </c>
      <c r="D746" t="inlineStr">
        <is>
          <t>VÄRMLANDS LÄN</t>
        </is>
      </c>
      <c r="E746" t="inlineStr">
        <is>
          <t>SÄFFLE</t>
        </is>
      </c>
      <c r="G746" t="n">
        <v>6.8</v>
      </c>
      <c r="H746" t="n">
        <v>0</v>
      </c>
      <c r="I746" t="n">
        <v>0</v>
      </c>
      <c r="J746" t="n">
        <v>0</v>
      </c>
      <c r="K746" t="n">
        <v>0</v>
      </c>
      <c r="L746" t="n">
        <v>0</v>
      </c>
      <c r="M746" t="n">
        <v>0</v>
      </c>
      <c r="N746" t="n">
        <v>0</v>
      </c>
      <c r="O746" t="n">
        <v>0</v>
      </c>
      <c r="P746" t="n">
        <v>0</v>
      </c>
      <c r="Q746" t="n">
        <v>0</v>
      </c>
      <c r="R746" s="2" t="inlineStr"/>
    </row>
    <row r="747" ht="15" customHeight="1">
      <c r="A747" t="inlineStr">
        <is>
          <t>A 59840-2018</t>
        </is>
      </c>
      <c r="B747" s="1" t="n">
        <v>43405</v>
      </c>
      <c r="C747" s="1" t="n">
        <v>45353</v>
      </c>
      <c r="D747" t="inlineStr">
        <is>
          <t>VÄRMLANDS LÄN</t>
        </is>
      </c>
      <c r="E747" t="inlineStr">
        <is>
          <t>SÄFFLE</t>
        </is>
      </c>
      <c r="G747" t="n">
        <v>2.4</v>
      </c>
      <c r="H747" t="n">
        <v>0</v>
      </c>
      <c r="I747" t="n">
        <v>0</v>
      </c>
      <c r="J747" t="n">
        <v>0</v>
      </c>
      <c r="K747" t="n">
        <v>0</v>
      </c>
      <c r="L747" t="n">
        <v>0</v>
      </c>
      <c r="M747" t="n">
        <v>0</v>
      </c>
      <c r="N747" t="n">
        <v>0</v>
      </c>
      <c r="O747" t="n">
        <v>0</v>
      </c>
      <c r="P747" t="n">
        <v>0</v>
      </c>
      <c r="Q747" t="n">
        <v>0</v>
      </c>
      <c r="R747" s="2" t="inlineStr"/>
    </row>
    <row r="748" ht="15" customHeight="1">
      <c r="A748" t="inlineStr">
        <is>
          <t>A 60450-2018</t>
        </is>
      </c>
      <c r="B748" s="1" t="n">
        <v>43405</v>
      </c>
      <c r="C748" s="1" t="n">
        <v>45353</v>
      </c>
      <c r="D748" t="inlineStr">
        <is>
          <t>VÄRMLANDS LÄN</t>
        </is>
      </c>
      <c r="E748" t="inlineStr">
        <is>
          <t>TORSBY</t>
        </is>
      </c>
      <c r="G748" t="n">
        <v>8.5</v>
      </c>
      <c r="H748" t="n">
        <v>0</v>
      </c>
      <c r="I748" t="n">
        <v>0</v>
      </c>
      <c r="J748" t="n">
        <v>0</v>
      </c>
      <c r="K748" t="n">
        <v>0</v>
      </c>
      <c r="L748" t="n">
        <v>0</v>
      </c>
      <c r="M748" t="n">
        <v>0</v>
      </c>
      <c r="N748" t="n">
        <v>0</v>
      </c>
      <c r="O748" t="n">
        <v>0</v>
      </c>
      <c r="P748" t="n">
        <v>0</v>
      </c>
      <c r="Q748" t="n">
        <v>0</v>
      </c>
      <c r="R748" s="2" t="inlineStr"/>
    </row>
    <row r="749" ht="15" customHeight="1">
      <c r="A749" t="inlineStr">
        <is>
          <t>A 59863-2018</t>
        </is>
      </c>
      <c r="B749" s="1" t="n">
        <v>43405</v>
      </c>
      <c r="C749" s="1" t="n">
        <v>45353</v>
      </c>
      <c r="D749" t="inlineStr">
        <is>
          <t>VÄRMLANDS LÄN</t>
        </is>
      </c>
      <c r="E749" t="inlineStr">
        <is>
          <t>HAGFORS</t>
        </is>
      </c>
      <c r="G749" t="n">
        <v>5.3</v>
      </c>
      <c r="H749" t="n">
        <v>0</v>
      </c>
      <c r="I749" t="n">
        <v>0</v>
      </c>
      <c r="J749" t="n">
        <v>0</v>
      </c>
      <c r="K749" t="n">
        <v>0</v>
      </c>
      <c r="L749" t="n">
        <v>0</v>
      </c>
      <c r="M749" t="n">
        <v>0</v>
      </c>
      <c r="N749" t="n">
        <v>0</v>
      </c>
      <c r="O749" t="n">
        <v>0</v>
      </c>
      <c r="P749" t="n">
        <v>0</v>
      </c>
      <c r="Q749" t="n">
        <v>0</v>
      </c>
      <c r="R749" s="2" t="inlineStr"/>
    </row>
    <row r="750" ht="15" customHeight="1">
      <c r="A750" t="inlineStr">
        <is>
          <t>A 60615-2018</t>
        </is>
      </c>
      <c r="B750" s="1" t="n">
        <v>43406</v>
      </c>
      <c r="C750" s="1" t="n">
        <v>45353</v>
      </c>
      <c r="D750" t="inlineStr">
        <is>
          <t>VÄRMLANDS LÄN</t>
        </is>
      </c>
      <c r="E750" t="inlineStr">
        <is>
          <t>KRISTINEHAMN</t>
        </is>
      </c>
      <c r="G750" t="n">
        <v>5.3</v>
      </c>
      <c r="H750" t="n">
        <v>0</v>
      </c>
      <c r="I750" t="n">
        <v>0</v>
      </c>
      <c r="J750" t="n">
        <v>0</v>
      </c>
      <c r="K750" t="n">
        <v>0</v>
      </c>
      <c r="L750" t="n">
        <v>0</v>
      </c>
      <c r="M750" t="n">
        <v>0</v>
      </c>
      <c r="N750" t="n">
        <v>0</v>
      </c>
      <c r="O750" t="n">
        <v>0</v>
      </c>
      <c r="P750" t="n">
        <v>0</v>
      </c>
      <c r="Q750" t="n">
        <v>0</v>
      </c>
      <c r="R750" s="2" t="inlineStr"/>
    </row>
    <row r="751" ht="15" customHeight="1">
      <c r="A751" t="inlineStr">
        <is>
          <t>A 58096-2018</t>
        </is>
      </c>
      <c r="B751" s="1" t="n">
        <v>43406</v>
      </c>
      <c r="C751" s="1" t="n">
        <v>45353</v>
      </c>
      <c r="D751" t="inlineStr">
        <is>
          <t>VÄRMLANDS LÄN</t>
        </is>
      </c>
      <c r="E751" t="inlineStr">
        <is>
          <t>TORSBY</t>
        </is>
      </c>
      <c r="F751" t="inlineStr">
        <is>
          <t>Bergvik skog väst AB</t>
        </is>
      </c>
      <c r="G751" t="n">
        <v>29.5</v>
      </c>
      <c r="H751" t="n">
        <v>0</v>
      </c>
      <c r="I751" t="n">
        <v>0</v>
      </c>
      <c r="J751" t="n">
        <v>0</v>
      </c>
      <c r="K751" t="n">
        <v>0</v>
      </c>
      <c r="L751" t="n">
        <v>0</v>
      </c>
      <c r="M751" t="n">
        <v>0</v>
      </c>
      <c r="N751" t="n">
        <v>0</v>
      </c>
      <c r="O751" t="n">
        <v>0</v>
      </c>
      <c r="P751" t="n">
        <v>0</v>
      </c>
      <c r="Q751" t="n">
        <v>0</v>
      </c>
      <c r="R751" s="2" t="inlineStr"/>
    </row>
    <row r="752" ht="15" customHeight="1">
      <c r="A752" t="inlineStr">
        <is>
          <t>A 60581-2018</t>
        </is>
      </c>
      <c r="B752" s="1" t="n">
        <v>43406</v>
      </c>
      <c r="C752" s="1" t="n">
        <v>45353</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60563-2018</t>
        </is>
      </c>
      <c r="B753" s="1" t="n">
        <v>43406</v>
      </c>
      <c r="C753" s="1" t="n">
        <v>45353</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60592-2018</t>
        </is>
      </c>
      <c r="B754" s="1" t="n">
        <v>43406</v>
      </c>
      <c r="C754" s="1" t="n">
        <v>45353</v>
      </c>
      <c r="D754" t="inlineStr">
        <is>
          <t>VÄRMLANDS LÄN</t>
        </is>
      </c>
      <c r="E754" t="inlineStr">
        <is>
          <t>SÄFFLE</t>
        </is>
      </c>
      <c r="F754" t="inlineStr">
        <is>
          <t>Bergvik skog väst AB</t>
        </is>
      </c>
      <c r="G754" t="n">
        <v>20.2</v>
      </c>
      <c r="H754" t="n">
        <v>0</v>
      </c>
      <c r="I754" t="n">
        <v>0</v>
      </c>
      <c r="J754" t="n">
        <v>0</v>
      </c>
      <c r="K754" t="n">
        <v>0</v>
      </c>
      <c r="L754" t="n">
        <v>0</v>
      </c>
      <c r="M754" t="n">
        <v>0</v>
      </c>
      <c r="N754" t="n">
        <v>0</v>
      </c>
      <c r="O754" t="n">
        <v>0</v>
      </c>
      <c r="P754" t="n">
        <v>0</v>
      </c>
      <c r="Q754" t="n">
        <v>0</v>
      </c>
      <c r="R754" s="2" t="inlineStr"/>
    </row>
    <row r="755" ht="15" customHeight="1">
      <c r="A755" t="inlineStr">
        <is>
          <t>A 64972-2018</t>
        </is>
      </c>
      <c r="B755" s="1" t="n">
        <v>43408</v>
      </c>
      <c r="C755" s="1" t="n">
        <v>45353</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60674-2018</t>
        </is>
      </c>
      <c r="B756" s="1" t="n">
        <v>43409</v>
      </c>
      <c r="C756" s="1" t="n">
        <v>45353</v>
      </c>
      <c r="D756" t="inlineStr">
        <is>
          <t>VÄRMLANDS LÄN</t>
        </is>
      </c>
      <c r="E756" t="inlineStr">
        <is>
          <t>HAMMARÖ</t>
        </is>
      </c>
      <c r="G756" t="n">
        <v>1.3</v>
      </c>
      <c r="H756" t="n">
        <v>0</v>
      </c>
      <c r="I756" t="n">
        <v>0</v>
      </c>
      <c r="J756" t="n">
        <v>0</v>
      </c>
      <c r="K756" t="n">
        <v>0</v>
      </c>
      <c r="L756" t="n">
        <v>0</v>
      </c>
      <c r="M756" t="n">
        <v>0</v>
      </c>
      <c r="N756" t="n">
        <v>0</v>
      </c>
      <c r="O756" t="n">
        <v>0</v>
      </c>
      <c r="P756" t="n">
        <v>0</v>
      </c>
      <c r="Q756" t="n">
        <v>0</v>
      </c>
      <c r="R756" s="2" t="inlineStr"/>
    </row>
    <row r="757" ht="15" customHeight="1">
      <c r="A757" t="inlineStr">
        <is>
          <t>A 58293-2018</t>
        </is>
      </c>
      <c r="B757" s="1" t="n">
        <v>43409</v>
      </c>
      <c r="C757" s="1" t="n">
        <v>45353</v>
      </c>
      <c r="D757" t="inlineStr">
        <is>
          <t>VÄRMLANDS LÄN</t>
        </is>
      </c>
      <c r="E757" t="inlineStr">
        <is>
          <t>KARLSTAD</t>
        </is>
      </c>
      <c r="G757" t="n">
        <v>0.8</v>
      </c>
      <c r="H757" t="n">
        <v>0</v>
      </c>
      <c r="I757" t="n">
        <v>0</v>
      </c>
      <c r="J757" t="n">
        <v>0</v>
      </c>
      <c r="K757" t="n">
        <v>0</v>
      </c>
      <c r="L757" t="n">
        <v>0</v>
      </c>
      <c r="M757" t="n">
        <v>0</v>
      </c>
      <c r="N757" t="n">
        <v>0</v>
      </c>
      <c r="O757" t="n">
        <v>0</v>
      </c>
      <c r="P757" t="n">
        <v>0</v>
      </c>
      <c r="Q757" t="n">
        <v>0</v>
      </c>
      <c r="R757" s="2" t="inlineStr"/>
    </row>
    <row r="758" ht="15" customHeight="1">
      <c r="A758" t="inlineStr">
        <is>
          <t>A 60710-2018</t>
        </is>
      </c>
      <c r="B758" s="1" t="n">
        <v>43409</v>
      </c>
      <c r="C758" s="1" t="n">
        <v>45353</v>
      </c>
      <c r="D758" t="inlineStr">
        <is>
          <t>VÄRMLANDS LÄN</t>
        </is>
      </c>
      <c r="E758" t="inlineStr">
        <is>
          <t>HAGFORS</t>
        </is>
      </c>
      <c r="G758" t="n">
        <v>3.5</v>
      </c>
      <c r="H758" t="n">
        <v>0</v>
      </c>
      <c r="I758" t="n">
        <v>0</v>
      </c>
      <c r="J758" t="n">
        <v>0</v>
      </c>
      <c r="K758" t="n">
        <v>0</v>
      </c>
      <c r="L758" t="n">
        <v>0</v>
      </c>
      <c r="M758" t="n">
        <v>0</v>
      </c>
      <c r="N758" t="n">
        <v>0</v>
      </c>
      <c r="O758" t="n">
        <v>0</v>
      </c>
      <c r="P758" t="n">
        <v>0</v>
      </c>
      <c r="Q758" t="n">
        <v>0</v>
      </c>
      <c r="R758" s="2" t="inlineStr"/>
    </row>
    <row r="759" ht="15" customHeight="1">
      <c r="A759" t="inlineStr">
        <is>
          <t>A 63999-2018</t>
        </is>
      </c>
      <c r="B759" s="1" t="n">
        <v>43409</v>
      </c>
      <c r="C759" s="1" t="n">
        <v>45353</v>
      </c>
      <c r="D759" t="inlineStr">
        <is>
          <t>VÄRMLANDS LÄN</t>
        </is>
      </c>
      <c r="E759" t="inlineStr">
        <is>
          <t>SUNNE</t>
        </is>
      </c>
      <c r="G759" t="n">
        <v>1.7</v>
      </c>
      <c r="H759" t="n">
        <v>0</v>
      </c>
      <c r="I759" t="n">
        <v>0</v>
      </c>
      <c r="J759" t="n">
        <v>0</v>
      </c>
      <c r="K759" t="n">
        <v>0</v>
      </c>
      <c r="L759" t="n">
        <v>0</v>
      </c>
      <c r="M759" t="n">
        <v>0</v>
      </c>
      <c r="N759" t="n">
        <v>0</v>
      </c>
      <c r="O759" t="n">
        <v>0</v>
      </c>
      <c r="P759" t="n">
        <v>0</v>
      </c>
      <c r="Q759" t="n">
        <v>0</v>
      </c>
      <c r="R759" s="2" t="inlineStr"/>
    </row>
    <row r="760" ht="15" customHeight="1">
      <c r="A760" t="inlineStr">
        <is>
          <t>A 58331-2018</t>
        </is>
      </c>
      <c r="B760" s="1" t="n">
        <v>43409</v>
      </c>
      <c r="C760" s="1" t="n">
        <v>45353</v>
      </c>
      <c r="D760" t="inlineStr">
        <is>
          <t>VÄRMLANDS LÄN</t>
        </is>
      </c>
      <c r="E760" t="inlineStr">
        <is>
          <t>KRISTINEHAMN</t>
        </is>
      </c>
      <c r="G760" t="n">
        <v>2.8</v>
      </c>
      <c r="H760" t="n">
        <v>0</v>
      </c>
      <c r="I760" t="n">
        <v>0</v>
      </c>
      <c r="J760" t="n">
        <v>0</v>
      </c>
      <c r="K760" t="n">
        <v>0</v>
      </c>
      <c r="L760" t="n">
        <v>0</v>
      </c>
      <c r="M760" t="n">
        <v>0</v>
      </c>
      <c r="N760" t="n">
        <v>0</v>
      </c>
      <c r="O760" t="n">
        <v>0</v>
      </c>
      <c r="P760" t="n">
        <v>0</v>
      </c>
      <c r="Q760" t="n">
        <v>0</v>
      </c>
      <c r="R760" s="2" t="inlineStr"/>
    </row>
    <row r="761" ht="15" customHeight="1">
      <c r="A761" t="inlineStr">
        <is>
          <t>A 60704-2018</t>
        </is>
      </c>
      <c r="B761" s="1" t="n">
        <v>43409</v>
      </c>
      <c r="C761" s="1" t="n">
        <v>45353</v>
      </c>
      <c r="D761" t="inlineStr">
        <is>
          <t>VÄRMLANDS LÄN</t>
        </is>
      </c>
      <c r="E761" t="inlineStr">
        <is>
          <t>KRISTINEHAMN</t>
        </is>
      </c>
      <c r="G761" t="n">
        <v>2.1</v>
      </c>
      <c r="H761" t="n">
        <v>0</v>
      </c>
      <c r="I761" t="n">
        <v>0</v>
      </c>
      <c r="J761" t="n">
        <v>0</v>
      </c>
      <c r="K761" t="n">
        <v>0</v>
      </c>
      <c r="L761" t="n">
        <v>0</v>
      </c>
      <c r="M761" t="n">
        <v>0</v>
      </c>
      <c r="N761" t="n">
        <v>0</v>
      </c>
      <c r="O761" t="n">
        <v>0</v>
      </c>
      <c r="P761" t="n">
        <v>0</v>
      </c>
      <c r="Q761" t="n">
        <v>0</v>
      </c>
      <c r="R761" s="2" t="inlineStr"/>
    </row>
    <row r="762" ht="15" customHeight="1">
      <c r="A762" t="inlineStr">
        <is>
          <t>A 58430-2018</t>
        </is>
      </c>
      <c r="B762" s="1" t="n">
        <v>43409</v>
      </c>
      <c r="C762" s="1" t="n">
        <v>45353</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60810-2018</t>
        </is>
      </c>
      <c r="B763" s="1" t="n">
        <v>43410</v>
      </c>
      <c r="C763" s="1" t="n">
        <v>45353</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60865-2018</t>
        </is>
      </c>
      <c r="B764" s="1" t="n">
        <v>43410</v>
      </c>
      <c r="C764" s="1" t="n">
        <v>45353</v>
      </c>
      <c r="D764" t="inlineStr">
        <is>
          <t>VÄRMLANDS LÄN</t>
        </is>
      </c>
      <c r="E764" t="inlineStr">
        <is>
          <t>KRISTINEHAMN</t>
        </is>
      </c>
      <c r="G764" t="n">
        <v>3.3</v>
      </c>
      <c r="H764" t="n">
        <v>0</v>
      </c>
      <c r="I764" t="n">
        <v>0</v>
      </c>
      <c r="J764" t="n">
        <v>0</v>
      </c>
      <c r="K764" t="n">
        <v>0</v>
      </c>
      <c r="L764" t="n">
        <v>0</v>
      </c>
      <c r="M764" t="n">
        <v>0</v>
      </c>
      <c r="N764" t="n">
        <v>0</v>
      </c>
      <c r="O764" t="n">
        <v>0</v>
      </c>
      <c r="P764" t="n">
        <v>0</v>
      </c>
      <c r="Q764" t="n">
        <v>0</v>
      </c>
      <c r="R764" s="2" t="inlineStr"/>
    </row>
    <row r="765" ht="15" customHeight="1">
      <c r="A765" t="inlineStr">
        <is>
          <t>A 58745-2018</t>
        </is>
      </c>
      <c r="B765" s="1" t="n">
        <v>43410</v>
      </c>
      <c r="C765" s="1" t="n">
        <v>45353</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60919-2018</t>
        </is>
      </c>
      <c r="B766" s="1" t="n">
        <v>43410</v>
      </c>
      <c r="C766" s="1" t="n">
        <v>45353</v>
      </c>
      <c r="D766" t="inlineStr">
        <is>
          <t>VÄRMLANDS LÄN</t>
        </is>
      </c>
      <c r="E766" t="inlineStr">
        <is>
          <t>SÄFFLE</t>
        </is>
      </c>
      <c r="G766" t="n">
        <v>1</v>
      </c>
      <c r="H766" t="n">
        <v>0</v>
      </c>
      <c r="I766" t="n">
        <v>0</v>
      </c>
      <c r="J766" t="n">
        <v>0</v>
      </c>
      <c r="K766" t="n">
        <v>0</v>
      </c>
      <c r="L766" t="n">
        <v>0</v>
      </c>
      <c r="M766" t="n">
        <v>0</v>
      </c>
      <c r="N766" t="n">
        <v>0</v>
      </c>
      <c r="O766" t="n">
        <v>0</v>
      </c>
      <c r="P766" t="n">
        <v>0</v>
      </c>
      <c r="Q766" t="n">
        <v>0</v>
      </c>
      <c r="R766" s="2" t="inlineStr"/>
    </row>
    <row r="767" ht="15" customHeight="1">
      <c r="A767" t="inlineStr">
        <is>
          <t>A 58785-2018</t>
        </is>
      </c>
      <c r="B767" s="1" t="n">
        <v>43410</v>
      </c>
      <c r="C767" s="1" t="n">
        <v>45353</v>
      </c>
      <c r="D767" t="inlineStr">
        <is>
          <t>VÄRMLANDS LÄN</t>
        </is>
      </c>
      <c r="E767" t="inlineStr">
        <is>
          <t>KRISTINEHAMN</t>
        </is>
      </c>
      <c r="G767" t="n">
        <v>7.2</v>
      </c>
      <c r="H767" t="n">
        <v>0</v>
      </c>
      <c r="I767" t="n">
        <v>0</v>
      </c>
      <c r="J767" t="n">
        <v>0</v>
      </c>
      <c r="K767" t="n">
        <v>0</v>
      </c>
      <c r="L767" t="n">
        <v>0</v>
      </c>
      <c r="M767" t="n">
        <v>0</v>
      </c>
      <c r="N767" t="n">
        <v>0</v>
      </c>
      <c r="O767" t="n">
        <v>0</v>
      </c>
      <c r="P767" t="n">
        <v>0</v>
      </c>
      <c r="Q767" t="n">
        <v>0</v>
      </c>
      <c r="R767" s="2" t="inlineStr"/>
    </row>
    <row r="768" ht="15" customHeight="1">
      <c r="A768" t="inlineStr">
        <is>
          <t>A 60778-2018</t>
        </is>
      </c>
      <c r="B768" s="1" t="n">
        <v>43410</v>
      </c>
      <c r="C768" s="1" t="n">
        <v>45353</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60806-2018</t>
        </is>
      </c>
      <c r="B769" s="1" t="n">
        <v>43410</v>
      </c>
      <c r="C769" s="1" t="n">
        <v>45353</v>
      </c>
      <c r="D769" t="inlineStr">
        <is>
          <t>VÄRMLANDS LÄN</t>
        </is>
      </c>
      <c r="E769" t="inlineStr">
        <is>
          <t>TORSBY</t>
        </is>
      </c>
      <c r="G769" t="n">
        <v>7.2</v>
      </c>
      <c r="H769" t="n">
        <v>0</v>
      </c>
      <c r="I769" t="n">
        <v>0</v>
      </c>
      <c r="J769" t="n">
        <v>0</v>
      </c>
      <c r="K769" t="n">
        <v>0</v>
      </c>
      <c r="L769" t="n">
        <v>0</v>
      </c>
      <c r="M769" t="n">
        <v>0</v>
      </c>
      <c r="N769" t="n">
        <v>0</v>
      </c>
      <c r="O769" t="n">
        <v>0</v>
      </c>
      <c r="P769" t="n">
        <v>0</v>
      </c>
      <c r="Q769" t="n">
        <v>0</v>
      </c>
      <c r="R769" s="2" t="inlineStr"/>
    </row>
    <row r="770" ht="15" customHeight="1">
      <c r="A770" t="inlineStr">
        <is>
          <t>A 59326-2018</t>
        </is>
      </c>
      <c r="B770" s="1" t="n">
        <v>43411</v>
      </c>
      <c r="C770" s="1" t="n">
        <v>45353</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59772-2018</t>
        </is>
      </c>
      <c r="B771" s="1" t="n">
        <v>43411</v>
      </c>
      <c r="C771" s="1" t="n">
        <v>45353</v>
      </c>
      <c r="D771" t="inlineStr">
        <is>
          <t>VÄRMLANDS LÄN</t>
        </is>
      </c>
      <c r="E771" t="inlineStr">
        <is>
          <t>EDA</t>
        </is>
      </c>
      <c r="G771" t="n">
        <v>3.3</v>
      </c>
      <c r="H771" t="n">
        <v>0</v>
      </c>
      <c r="I771" t="n">
        <v>0</v>
      </c>
      <c r="J771" t="n">
        <v>0</v>
      </c>
      <c r="K771" t="n">
        <v>0</v>
      </c>
      <c r="L771" t="n">
        <v>0</v>
      </c>
      <c r="M771" t="n">
        <v>0</v>
      </c>
      <c r="N771" t="n">
        <v>0</v>
      </c>
      <c r="O771" t="n">
        <v>0</v>
      </c>
      <c r="P771" t="n">
        <v>0</v>
      </c>
      <c r="Q771" t="n">
        <v>0</v>
      </c>
      <c r="R771" s="2" t="inlineStr"/>
    </row>
    <row r="772" ht="15" customHeight="1">
      <c r="A772" t="inlineStr">
        <is>
          <t>A 60137-2018</t>
        </is>
      </c>
      <c r="B772" s="1" t="n">
        <v>43412</v>
      </c>
      <c r="C772" s="1" t="n">
        <v>45353</v>
      </c>
      <c r="D772" t="inlineStr">
        <is>
          <t>VÄRMLANDS LÄN</t>
        </is>
      </c>
      <c r="E772" t="inlineStr">
        <is>
          <t>TORSBY</t>
        </is>
      </c>
      <c r="G772" t="n">
        <v>2.7</v>
      </c>
      <c r="H772" t="n">
        <v>0</v>
      </c>
      <c r="I772" t="n">
        <v>0</v>
      </c>
      <c r="J772" t="n">
        <v>0</v>
      </c>
      <c r="K772" t="n">
        <v>0</v>
      </c>
      <c r="L772" t="n">
        <v>0</v>
      </c>
      <c r="M772" t="n">
        <v>0</v>
      </c>
      <c r="N772" t="n">
        <v>0</v>
      </c>
      <c r="O772" t="n">
        <v>0</v>
      </c>
      <c r="P772" t="n">
        <v>0</v>
      </c>
      <c r="Q772" t="n">
        <v>0</v>
      </c>
      <c r="R772" s="2" t="inlineStr"/>
    </row>
    <row r="773" ht="15" customHeight="1">
      <c r="A773" t="inlineStr">
        <is>
          <t>A 63329-2018</t>
        </is>
      </c>
      <c r="B773" s="1" t="n">
        <v>43412</v>
      </c>
      <c r="C773" s="1" t="n">
        <v>45353</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60055-2018</t>
        </is>
      </c>
      <c r="B774" s="1" t="n">
        <v>43412</v>
      </c>
      <c r="C774" s="1" t="n">
        <v>45353</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61193-2018</t>
        </is>
      </c>
      <c r="B775" s="1" t="n">
        <v>43412</v>
      </c>
      <c r="C775" s="1" t="n">
        <v>45353</v>
      </c>
      <c r="D775" t="inlineStr">
        <is>
          <t>VÄRMLANDS LÄN</t>
        </is>
      </c>
      <c r="E775" t="inlineStr">
        <is>
          <t>EDA</t>
        </is>
      </c>
      <c r="G775" t="n">
        <v>7.2</v>
      </c>
      <c r="H775" t="n">
        <v>0</v>
      </c>
      <c r="I775" t="n">
        <v>0</v>
      </c>
      <c r="J775" t="n">
        <v>0</v>
      </c>
      <c r="K775" t="n">
        <v>0</v>
      </c>
      <c r="L775" t="n">
        <v>0</v>
      </c>
      <c r="M775" t="n">
        <v>0</v>
      </c>
      <c r="N775" t="n">
        <v>0</v>
      </c>
      <c r="O775" t="n">
        <v>0</v>
      </c>
      <c r="P775" t="n">
        <v>0</v>
      </c>
      <c r="Q775" t="n">
        <v>0</v>
      </c>
      <c r="R775" s="2" t="inlineStr"/>
    </row>
    <row r="776" ht="15" customHeight="1">
      <c r="A776" t="inlineStr">
        <is>
          <t>A 60059-2018</t>
        </is>
      </c>
      <c r="B776" s="1" t="n">
        <v>43412</v>
      </c>
      <c r="C776" s="1" t="n">
        <v>45353</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61088-2018</t>
        </is>
      </c>
      <c r="B777" s="1" t="n">
        <v>43412</v>
      </c>
      <c r="C777" s="1" t="n">
        <v>45353</v>
      </c>
      <c r="D777" t="inlineStr">
        <is>
          <t>VÄRMLANDS LÄN</t>
        </is>
      </c>
      <c r="E777" t="inlineStr">
        <is>
          <t>KRISTINEHAMN</t>
        </is>
      </c>
      <c r="G777" t="n">
        <v>0.6</v>
      </c>
      <c r="H777" t="n">
        <v>0</v>
      </c>
      <c r="I777" t="n">
        <v>0</v>
      </c>
      <c r="J777" t="n">
        <v>0</v>
      </c>
      <c r="K777" t="n">
        <v>0</v>
      </c>
      <c r="L777" t="n">
        <v>0</v>
      </c>
      <c r="M777" t="n">
        <v>0</v>
      </c>
      <c r="N777" t="n">
        <v>0</v>
      </c>
      <c r="O777" t="n">
        <v>0</v>
      </c>
      <c r="P777" t="n">
        <v>0</v>
      </c>
      <c r="Q777" t="n">
        <v>0</v>
      </c>
      <c r="R777" s="2" t="inlineStr"/>
    </row>
    <row r="778" ht="15" customHeight="1">
      <c r="A778" t="inlineStr">
        <is>
          <t>A 61222-2018</t>
        </is>
      </c>
      <c r="B778" s="1" t="n">
        <v>43412</v>
      </c>
      <c r="C778" s="1" t="n">
        <v>45353</v>
      </c>
      <c r="D778" t="inlineStr">
        <is>
          <t>VÄRMLANDS LÄN</t>
        </is>
      </c>
      <c r="E778" t="inlineStr">
        <is>
          <t>EDA</t>
        </is>
      </c>
      <c r="G778" t="n">
        <v>7.4</v>
      </c>
      <c r="H778" t="n">
        <v>0</v>
      </c>
      <c r="I778" t="n">
        <v>0</v>
      </c>
      <c r="J778" t="n">
        <v>0</v>
      </c>
      <c r="K778" t="n">
        <v>0</v>
      </c>
      <c r="L778" t="n">
        <v>0</v>
      </c>
      <c r="M778" t="n">
        <v>0</v>
      </c>
      <c r="N778" t="n">
        <v>0</v>
      </c>
      <c r="O778" t="n">
        <v>0</v>
      </c>
      <c r="P778" t="n">
        <v>0</v>
      </c>
      <c r="Q778" t="n">
        <v>0</v>
      </c>
      <c r="R778" s="2" t="inlineStr"/>
    </row>
    <row r="779" ht="15" customHeight="1">
      <c r="A779" t="inlineStr">
        <is>
          <t>A 60260-2018</t>
        </is>
      </c>
      <c r="B779" s="1" t="n">
        <v>43412</v>
      </c>
      <c r="C779" s="1" t="n">
        <v>45353</v>
      </c>
      <c r="D779" t="inlineStr">
        <is>
          <t>VÄRMLANDS LÄN</t>
        </is>
      </c>
      <c r="E779" t="inlineStr">
        <is>
          <t>FILIPSTAD</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59066-2018</t>
        </is>
      </c>
      <c r="B780" s="1" t="n">
        <v>43413</v>
      </c>
      <c r="C780" s="1" t="n">
        <v>45353</v>
      </c>
      <c r="D780" t="inlineStr">
        <is>
          <t>VÄRMLANDS LÄN</t>
        </is>
      </c>
      <c r="E780" t="inlineStr">
        <is>
          <t>FILIPSTAD</t>
        </is>
      </c>
      <c r="F780" t="inlineStr">
        <is>
          <t>Kyrkan</t>
        </is>
      </c>
      <c r="G780" t="n">
        <v>6</v>
      </c>
      <c r="H780" t="n">
        <v>0</v>
      </c>
      <c r="I780" t="n">
        <v>0</v>
      </c>
      <c r="J780" t="n">
        <v>0</v>
      </c>
      <c r="K780" t="n">
        <v>0</v>
      </c>
      <c r="L780" t="n">
        <v>0</v>
      </c>
      <c r="M780" t="n">
        <v>0</v>
      </c>
      <c r="N780" t="n">
        <v>0</v>
      </c>
      <c r="O780" t="n">
        <v>0</v>
      </c>
      <c r="P780" t="n">
        <v>0</v>
      </c>
      <c r="Q780" t="n">
        <v>0</v>
      </c>
      <c r="R780" s="2" t="inlineStr"/>
    </row>
    <row r="781" ht="15" customHeight="1">
      <c r="A781" t="inlineStr">
        <is>
          <t>A 62495-2018</t>
        </is>
      </c>
      <c r="B781" s="1" t="n">
        <v>43414</v>
      </c>
      <c r="C781" s="1" t="n">
        <v>45353</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62492-2018</t>
        </is>
      </c>
      <c r="B782" s="1" t="n">
        <v>43414</v>
      </c>
      <c r="C782" s="1" t="n">
        <v>45353</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62499-2018</t>
        </is>
      </c>
      <c r="B783" s="1" t="n">
        <v>43414</v>
      </c>
      <c r="C783" s="1" t="n">
        <v>45353</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62458-2018</t>
        </is>
      </c>
      <c r="B784" s="1" t="n">
        <v>43415</v>
      </c>
      <c r="C784" s="1" t="n">
        <v>45353</v>
      </c>
      <c r="D784" t="inlineStr">
        <is>
          <t>VÄRMLANDS LÄN</t>
        </is>
      </c>
      <c r="E784" t="inlineStr">
        <is>
          <t>KIL</t>
        </is>
      </c>
      <c r="G784" t="n">
        <v>2.2</v>
      </c>
      <c r="H784" t="n">
        <v>0</v>
      </c>
      <c r="I784" t="n">
        <v>0</v>
      </c>
      <c r="J784" t="n">
        <v>0</v>
      </c>
      <c r="K784" t="n">
        <v>0</v>
      </c>
      <c r="L784" t="n">
        <v>0</v>
      </c>
      <c r="M784" t="n">
        <v>0</v>
      </c>
      <c r="N784" t="n">
        <v>0</v>
      </c>
      <c r="O784" t="n">
        <v>0</v>
      </c>
      <c r="P784" t="n">
        <v>0</v>
      </c>
      <c r="Q784" t="n">
        <v>0</v>
      </c>
      <c r="R784" s="2" t="inlineStr"/>
    </row>
    <row r="785" ht="15" customHeight="1">
      <c r="A785" t="inlineStr">
        <is>
          <t>A 62551-2018</t>
        </is>
      </c>
      <c r="B785" s="1" t="n">
        <v>43415</v>
      </c>
      <c r="C785" s="1" t="n">
        <v>45353</v>
      </c>
      <c r="D785" t="inlineStr">
        <is>
          <t>VÄRMLANDS LÄN</t>
        </is>
      </c>
      <c r="E785" t="inlineStr">
        <is>
          <t>ARVIKA</t>
        </is>
      </c>
      <c r="G785" t="n">
        <v>3.6</v>
      </c>
      <c r="H785" t="n">
        <v>0</v>
      </c>
      <c r="I785" t="n">
        <v>0</v>
      </c>
      <c r="J785" t="n">
        <v>0</v>
      </c>
      <c r="K785" t="n">
        <v>0</v>
      </c>
      <c r="L785" t="n">
        <v>0</v>
      </c>
      <c r="M785" t="n">
        <v>0</v>
      </c>
      <c r="N785" t="n">
        <v>0</v>
      </c>
      <c r="O785" t="n">
        <v>0</v>
      </c>
      <c r="P785" t="n">
        <v>0</v>
      </c>
      <c r="Q785" t="n">
        <v>0</v>
      </c>
      <c r="R785" s="2" t="inlineStr"/>
    </row>
    <row r="786" ht="15" customHeight="1">
      <c r="A786" t="inlineStr">
        <is>
          <t>A 62451-2018</t>
        </is>
      </c>
      <c r="B786" s="1" t="n">
        <v>43415</v>
      </c>
      <c r="C786" s="1" t="n">
        <v>45353</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62584-2018</t>
        </is>
      </c>
      <c r="B787" s="1" t="n">
        <v>43415</v>
      </c>
      <c r="C787" s="1" t="n">
        <v>45353</v>
      </c>
      <c r="D787" t="inlineStr">
        <is>
          <t>VÄRMLANDS LÄN</t>
        </is>
      </c>
      <c r="E787" t="inlineStr">
        <is>
          <t>ARVIKA</t>
        </is>
      </c>
      <c r="G787" t="n">
        <v>2.1</v>
      </c>
      <c r="H787" t="n">
        <v>0</v>
      </c>
      <c r="I787" t="n">
        <v>0</v>
      </c>
      <c r="J787" t="n">
        <v>0</v>
      </c>
      <c r="K787" t="n">
        <v>0</v>
      </c>
      <c r="L787" t="n">
        <v>0</v>
      </c>
      <c r="M787" t="n">
        <v>0</v>
      </c>
      <c r="N787" t="n">
        <v>0</v>
      </c>
      <c r="O787" t="n">
        <v>0</v>
      </c>
      <c r="P787" t="n">
        <v>0</v>
      </c>
      <c r="Q787" t="n">
        <v>0</v>
      </c>
      <c r="R787" s="2" t="inlineStr"/>
    </row>
    <row r="788" ht="15" customHeight="1">
      <c r="A788" t="inlineStr">
        <is>
          <t>A 62461-2018</t>
        </is>
      </c>
      <c r="B788" s="1" t="n">
        <v>43415</v>
      </c>
      <c r="C788" s="1" t="n">
        <v>45353</v>
      </c>
      <c r="D788" t="inlineStr">
        <is>
          <t>VÄRMLANDS LÄN</t>
        </is>
      </c>
      <c r="E788" t="inlineStr">
        <is>
          <t>EDA</t>
        </is>
      </c>
      <c r="G788" t="n">
        <v>0.3</v>
      </c>
      <c r="H788" t="n">
        <v>0</v>
      </c>
      <c r="I788" t="n">
        <v>0</v>
      </c>
      <c r="J788" t="n">
        <v>0</v>
      </c>
      <c r="K788" t="n">
        <v>0</v>
      </c>
      <c r="L788" t="n">
        <v>0</v>
      </c>
      <c r="M788" t="n">
        <v>0</v>
      </c>
      <c r="N788" t="n">
        <v>0</v>
      </c>
      <c r="O788" t="n">
        <v>0</v>
      </c>
      <c r="P788" t="n">
        <v>0</v>
      </c>
      <c r="Q788" t="n">
        <v>0</v>
      </c>
      <c r="R788" s="2" t="inlineStr"/>
    </row>
    <row r="789" ht="15" customHeight="1">
      <c r="A789" t="inlineStr">
        <is>
          <t>A 62030-2018</t>
        </is>
      </c>
      <c r="B789" s="1" t="n">
        <v>43416</v>
      </c>
      <c r="C789" s="1" t="n">
        <v>45353</v>
      </c>
      <c r="D789" t="inlineStr">
        <is>
          <t>VÄRMLANDS LÄN</t>
        </is>
      </c>
      <c r="E789" t="inlineStr">
        <is>
          <t>ARVIKA</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62345-2018</t>
        </is>
      </c>
      <c r="B790" s="1" t="n">
        <v>43416</v>
      </c>
      <c r="C790" s="1" t="n">
        <v>45353</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62847-2018</t>
        </is>
      </c>
      <c r="B791" s="1" t="n">
        <v>43416</v>
      </c>
      <c r="C791" s="1" t="n">
        <v>45353</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63216-2018</t>
        </is>
      </c>
      <c r="B792" s="1" t="n">
        <v>43416</v>
      </c>
      <c r="C792" s="1" t="n">
        <v>45353</v>
      </c>
      <c r="D792" t="inlineStr">
        <is>
          <t>VÄRMLANDS LÄN</t>
        </is>
      </c>
      <c r="E792" t="inlineStr">
        <is>
          <t>SUNNE</t>
        </is>
      </c>
      <c r="G792" t="n">
        <v>2.3</v>
      </c>
      <c r="H792" t="n">
        <v>0</v>
      </c>
      <c r="I792" t="n">
        <v>0</v>
      </c>
      <c r="J792" t="n">
        <v>0</v>
      </c>
      <c r="K792" t="n">
        <v>0</v>
      </c>
      <c r="L792" t="n">
        <v>0</v>
      </c>
      <c r="M792" t="n">
        <v>0</v>
      </c>
      <c r="N792" t="n">
        <v>0</v>
      </c>
      <c r="O792" t="n">
        <v>0</v>
      </c>
      <c r="P792" t="n">
        <v>0</v>
      </c>
      <c r="Q792" t="n">
        <v>0</v>
      </c>
      <c r="R792" s="2" t="inlineStr"/>
    </row>
    <row r="793" ht="15" customHeight="1">
      <c r="A793" t="inlineStr">
        <is>
          <t>A 63417-2018</t>
        </is>
      </c>
      <c r="B793" s="1" t="n">
        <v>43416</v>
      </c>
      <c r="C793" s="1" t="n">
        <v>45353</v>
      </c>
      <c r="D793" t="inlineStr">
        <is>
          <t>VÄRMLANDS LÄN</t>
        </is>
      </c>
      <c r="E793" t="inlineStr">
        <is>
          <t>HAGFORS</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63313-2018</t>
        </is>
      </c>
      <c r="B794" s="1" t="n">
        <v>43416</v>
      </c>
      <c r="C794" s="1" t="n">
        <v>45353</v>
      </c>
      <c r="D794" t="inlineStr">
        <is>
          <t>VÄRMLANDS LÄN</t>
        </is>
      </c>
      <c r="E794" t="inlineStr">
        <is>
          <t>SÄFFLE</t>
        </is>
      </c>
      <c r="G794" t="n">
        <v>2</v>
      </c>
      <c r="H794" t="n">
        <v>0</v>
      </c>
      <c r="I794" t="n">
        <v>0</v>
      </c>
      <c r="J794" t="n">
        <v>0</v>
      </c>
      <c r="K794" t="n">
        <v>0</v>
      </c>
      <c r="L794" t="n">
        <v>0</v>
      </c>
      <c r="M794" t="n">
        <v>0</v>
      </c>
      <c r="N794" t="n">
        <v>0</v>
      </c>
      <c r="O794" t="n">
        <v>0</v>
      </c>
      <c r="P794" t="n">
        <v>0</v>
      </c>
      <c r="Q794" t="n">
        <v>0</v>
      </c>
      <c r="R794" s="2" t="inlineStr"/>
    </row>
    <row r="795" ht="15" customHeight="1">
      <c r="A795" t="inlineStr">
        <is>
          <t>A 62407-2018</t>
        </is>
      </c>
      <c r="B795" s="1" t="n">
        <v>43416</v>
      </c>
      <c r="C795" s="1" t="n">
        <v>45353</v>
      </c>
      <c r="D795" t="inlineStr">
        <is>
          <t>VÄRMLANDS LÄN</t>
        </is>
      </c>
      <c r="E795" t="inlineStr">
        <is>
          <t>TORSBY</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62095-2018</t>
        </is>
      </c>
      <c r="B796" s="1" t="n">
        <v>43416</v>
      </c>
      <c r="C796" s="1" t="n">
        <v>45353</v>
      </c>
      <c r="D796" t="inlineStr">
        <is>
          <t>VÄRMLANDS LÄN</t>
        </is>
      </c>
      <c r="E796" t="inlineStr">
        <is>
          <t>KARLSTAD</t>
        </is>
      </c>
      <c r="G796" t="n">
        <v>1.9</v>
      </c>
      <c r="H796" t="n">
        <v>0</v>
      </c>
      <c r="I796" t="n">
        <v>0</v>
      </c>
      <c r="J796" t="n">
        <v>0</v>
      </c>
      <c r="K796" t="n">
        <v>0</v>
      </c>
      <c r="L796" t="n">
        <v>0</v>
      </c>
      <c r="M796" t="n">
        <v>0</v>
      </c>
      <c r="N796" t="n">
        <v>0</v>
      </c>
      <c r="O796" t="n">
        <v>0</v>
      </c>
      <c r="P796" t="n">
        <v>0</v>
      </c>
      <c r="Q796" t="n">
        <v>0</v>
      </c>
      <c r="R796" s="2" t="inlineStr"/>
    </row>
    <row r="797" ht="15" customHeight="1">
      <c r="A797" t="inlineStr">
        <is>
          <t>A 62349-2018</t>
        </is>
      </c>
      <c r="B797" s="1" t="n">
        <v>43416</v>
      </c>
      <c r="C797" s="1" t="n">
        <v>45353</v>
      </c>
      <c r="D797" t="inlineStr">
        <is>
          <t>VÄRMLANDS LÄN</t>
        </is>
      </c>
      <c r="E797" t="inlineStr">
        <is>
          <t>FORSHAGA</t>
        </is>
      </c>
      <c r="G797" t="n">
        <v>0.5</v>
      </c>
      <c r="H797" t="n">
        <v>0</v>
      </c>
      <c r="I797" t="n">
        <v>0</v>
      </c>
      <c r="J797" t="n">
        <v>0</v>
      </c>
      <c r="K797" t="n">
        <v>0</v>
      </c>
      <c r="L797" t="n">
        <v>0</v>
      </c>
      <c r="M797" t="n">
        <v>0</v>
      </c>
      <c r="N797" t="n">
        <v>0</v>
      </c>
      <c r="O797" t="n">
        <v>0</v>
      </c>
      <c r="P797" t="n">
        <v>0</v>
      </c>
      <c r="Q797" t="n">
        <v>0</v>
      </c>
      <c r="R797" s="2" t="inlineStr"/>
    </row>
    <row r="798" ht="15" customHeight="1">
      <c r="A798" t="inlineStr">
        <is>
          <t>A 62368-2018</t>
        </is>
      </c>
      <c r="B798" s="1" t="n">
        <v>43416</v>
      </c>
      <c r="C798" s="1" t="n">
        <v>45353</v>
      </c>
      <c r="D798" t="inlineStr">
        <is>
          <t>VÄRMLANDS LÄN</t>
        </is>
      </c>
      <c r="E798" t="inlineStr">
        <is>
          <t>SÄFFLE</t>
        </is>
      </c>
      <c r="G798" t="n">
        <v>3.5</v>
      </c>
      <c r="H798" t="n">
        <v>0</v>
      </c>
      <c r="I798" t="n">
        <v>0</v>
      </c>
      <c r="J798" t="n">
        <v>0</v>
      </c>
      <c r="K798" t="n">
        <v>0</v>
      </c>
      <c r="L798" t="n">
        <v>0</v>
      </c>
      <c r="M798" t="n">
        <v>0</v>
      </c>
      <c r="N798" t="n">
        <v>0</v>
      </c>
      <c r="O798" t="n">
        <v>0</v>
      </c>
      <c r="P798" t="n">
        <v>0</v>
      </c>
      <c r="Q798" t="n">
        <v>0</v>
      </c>
      <c r="R798" s="2" t="inlineStr"/>
    </row>
    <row r="799" ht="15" customHeight="1">
      <c r="A799" t="inlineStr">
        <is>
          <t>A 62384-2018</t>
        </is>
      </c>
      <c r="B799" s="1" t="n">
        <v>43416</v>
      </c>
      <c r="C799" s="1" t="n">
        <v>45353</v>
      </c>
      <c r="D799" t="inlineStr">
        <is>
          <t>VÄRMLANDS LÄN</t>
        </is>
      </c>
      <c r="E799" t="inlineStr">
        <is>
          <t>SUNNE</t>
        </is>
      </c>
      <c r="G799" t="n">
        <v>1.5</v>
      </c>
      <c r="H799" t="n">
        <v>0</v>
      </c>
      <c r="I799" t="n">
        <v>0</v>
      </c>
      <c r="J799" t="n">
        <v>0</v>
      </c>
      <c r="K799" t="n">
        <v>0</v>
      </c>
      <c r="L799" t="n">
        <v>0</v>
      </c>
      <c r="M799" t="n">
        <v>0</v>
      </c>
      <c r="N799" t="n">
        <v>0</v>
      </c>
      <c r="O799" t="n">
        <v>0</v>
      </c>
      <c r="P799" t="n">
        <v>0</v>
      </c>
      <c r="Q799" t="n">
        <v>0</v>
      </c>
      <c r="R799" s="2" t="inlineStr"/>
    </row>
    <row r="800" ht="15" customHeight="1">
      <c r="A800" t="inlineStr">
        <is>
          <t>A 63232-2018</t>
        </is>
      </c>
      <c r="B800" s="1" t="n">
        <v>43416</v>
      </c>
      <c r="C800" s="1" t="n">
        <v>45353</v>
      </c>
      <c r="D800" t="inlineStr">
        <is>
          <t>VÄRMLANDS LÄN</t>
        </is>
      </c>
      <c r="E800" t="inlineStr">
        <is>
          <t>SÄFFLE</t>
        </is>
      </c>
      <c r="G800" t="n">
        <v>2.5</v>
      </c>
      <c r="H800" t="n">
        <v>0</v>
      </c>
      <c r="I800" t="n">
        <v>0</v>
      </c>
      <c r="J800" t="n">
        <v>0</v>
      </c>
      <c r="K800" t="n">
        <v>0</v>
      </c>
      <c r="L800" t="n">
        <v>0</v>
      </c>
      <c r="M800" t="n">
        <v>0</v>
      </c>
      <c r="N800" t="n">
        <v>0</v>
      </c>
      <c r="O800" t="n">
        <v>0</v>
      </c>
      <c r="P800" t="n">
        <v>0</v>
      </c>
      <c r="Q800" t="n">
        <v>0</v>
      </c>
      <c r="R800" s="2" t="inlineStr"/>
    </row>
    <row r="801" ht="15" customHeight="1">
      <c r="A801" t="inlineStr">
        <is>
          <t>A 63325-2018</t>
        </is>
      </c>
      <c r="B801" s="1" t="n">
        <v>43416</v>
      </c>
      <c r="C801" s="1" t="n">
        <v>45353</v>
      </c>
      <c r="D801" t="inlineStr">
        <is>
          <t>VÄRMLANDS LÄN</t>
        </is>
      </c>
      <c r="E801" t="inlineStr">
        <is>
          <t>SÄFFLE</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63407-2018</t>
        </is>
      </c>
      <c r="B802" s="1" t="n">
        <v>43416</v>
      </c>
      <c r="C802" s="1" t="n">
        <v>45353</v>
      </c>
      <c r="D802" t="inlineStr">
        <is>
          <t>VÄRMLANDS LÄN</t>
        </is>
      </c>
      <c r="E802" t="inlineStr">
        <is>
          <t>TORSBY</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63422-2018</t>
        </is>
      </c>
      <c r="B803" s="1" t="n">
        <v>43416</v>
      </c>
      <c r="C803" s="1" t="n">
        <v>45353</v>
      </c>
      <c r="D803" t="inlineStr">
        <is>
          <t>VÄRMLANDS LÄN</t>
        </is>
      </c>
      <c r="E803" t="inlineStr">
        <is>
          <t>HAGFORS</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63560-2018</t>
        </is>
      </c>
      <c r="B804" s="1" t="n">
        <v>43416</v>
      </c>
      <c r="C804" s="1" t="n">
        <v>45353</v>
      </c>
      <c r="D804" t="inlineStr">
        <is>
          <t>VÄRMLANDS LÄN</t>
        </is>
      </c>
      <c r="E804" t="inlineStr">
        <is>
          <t>KRISTINEHAMN</t>
        </is>
      </c>
      <c r="G804" t="n">
        <v>2.3</v>
      </c>
      <c r="H804" t="n">
        <v>0</v>
      </c>
      <c r="I804" t="n">
        <v>0</v>
      </c>
      <c r="J804" t="n">
        <v>0</v>
      </c>
      <c r="K804" t="n">
        <v>0</v>
      </c>
      <c r="L804" t="n">
        <v>0</v>
      </c>
      <c r="M804" t="n">
        <v>0</v>
      </c>
      <c r="N804" t="n">
        <v>0</v>
      </c>
      <c r="O804" t="n">
        <v>0</v>
      </c>
      <c r="P804" t="n">
        <v>0</v>
      </c>
      <c r="Q804" t="n">
        <v>0</v>
      </c>
      <c r="R804" s="2" t="inlineStr"/>
    </row>
    <row r="805" ht="15" customHeight="1">
      <c r="A805" t="inlineStr">
        <is>
          <t>A 63095-2018</t>
        </is>
      </c>
      <c r="B805" s="1" t="n">
        <v>43418</v>
      </c>
      <c r="C805" s="1" t="n">
        <v>45353</v>
      </c>
      <c r="D805" t="inlineStr">
        <is>
          <t>VÄRMLANDS LÄN</t>
        </is>
      </c>
      <c r="E805" t="inlineStr">
        <is>
          <t>TORSBY</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63037-2018</t>
        </is>
      </c>
      <c r="B806" s="1" t="n">
        <v>43418</v>
      </c>
      <c r="C806" s="1" t="n">
        <v>45353</v>
      </c>
      <c r="D806" t="inlineStr">
        <is>
          <t>VÄRMLANDS LÄN</t>
        </is>
      </c>
      <c r="E806" t="inlineStr">
        <is>
          <t>HAGFORS</t>
        </is>
      </c>
      <c r="G806" t="n">
        <v>3.5</v>
      </c>
      <c r="H806" t="n">
        <v>0</v>
      </c>
      <c r="I806" t="n">
        <v>0</v>
      </c>
      <c r="J806" t="n">
        <v>0</v>
      </c>
      <c r="K806" t="n">
        <v>0</v>
      </c>
      <c r="L806" t="n">
        <v>0</v>
      </c>
      <c r="M806" t="n">
        <v>0</v>
      </c>
      <c r="N806" t="n">
        <v>0</v>
      </c>
      <c r="O806" t="n">
        <v>0</v>
      </c>
      <c r="P806" t="n">
        <v>0</v>
      </c>
      <c r="Q806" t="n">
        <v>0</v>
      </c>
      <c r="R806" s="2" t="inlineStr"/>
    </row>
    <row r="807" ht="15" customHeight="1">
      <c r="A807" t="inlineStr">
        <is>
          <t>A 63185-2018</t>
        </is>
      </c>
      <c r="B807" s="1" t="n">
        <v>43418</v>
      </c>
      <c r="C807" s="1" t="n">
        <v>45353</v>
      </c>
      <c r="D807" t="inlineStr">
        <is>
          <t>VÄRMLANDS LÄN</t>
        </is>
      </c>
      <c r="E807" t="inlineStr">
        <is>
          <t>EDA</t>
        </is>
      </c>
      <c r="G807" t="n">
        <v>1.1</v>
      </c>
      <c r="H807" t="n">
        <v>0</v>
      </c>
      <c r="I807" t="n">
        <v>0</v>
      </c>
      <c r="J807" t="n">
        <v>0</v>
      </c>
      <c r="K807" t="n">
        <v>0</v>
      </c>
      <c r="L807" t="n">
        <v>0</v>
      </c>
      <c r="M807" t="n">
        <v>0</v>
      </c>
      <c r="N807" t="n">
        <v>0</v>
      </c>
      <c r="O807" t="n">
        <v>0</v>
      </c>
      <c r="P807" t="n">
        <v>0</v>
      </c>
      <c r="Q807" t="n">
        <v>0</v>
      </c>
      <c r="R807" s="2" t="inlineStr"/>
    </row>
    <row r="808" ht="15" customHeight="1">
      <c r="A808" t="inlineStr">
        <is>
          <t>A 63172-2018</t>
        </is>
      </c>
      <c r="B808" s="1" t="n">
        <v>43418</v>
      </c>
      <c r="C808" s="1" t="n">
        <v>45353</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63182-2018</t>
        </is>
      </c>
      <c r="B809" s="1" t="n">
        <v>43418</v>
      </c>
      <c r="C809" s="1" t="n">
        <v>45353</v>
      </c>
      <c r="D809" t="inlineStr">
        <is>
          <t>VÄRMLANDS LÄN</t>
        </is>
      </c>
      <c r="E809" t="inlineStr">
        <is>
          <t>EDA</t>
        </is>
      </c>
      <c r="G809" t="n">
        <v>0.5</v>
      </c>
      <c r="H809" t="n">
        <v>0</v>
      </c>
      <c r="I809" t="n">
        <v>0</v>
      </c>
      <c r="J809" t="n">
        <v>0</v>
      </c>
      <c r="K809" t="n">
        <v>0</v>
      </c>
      <c r="L809" t="n">
        <v>0</v>
      </c>
      <c r="M809" t="n">
        <v>0</v>
      </c>
      <c r="N809" t="n">
        <v>0</v>
      </c>
      <c r="O809" t="n">
        <v>0</v>
      </c>
      <c r="P809" t="n">
        <v>0</v>
      </c>
      <c r="Q809" t="n">
        <v>0</v>
      </c>
      <c r="R809" s="2" t="inlineStr"/>
    </row>
    <row r="810" ht="15" customHeight="1">
      <c r="A810" t="inlineStr">
        <is>
          <t>A 63104-2018</t>
        </is>
      </c>
      <c r="B810" s="1" t="n">
        <v>43418</v>
      </c>
      <c r="C810" s="1" t="n">
        <v>45353</v>
      </c>
      <c r="D810" t="inlineStr">
        <is>
          <t>VÄRMLANDS LÄN</t>
        </is>
      </c>
      <c r="E810" t="inlineStr">
        <is>
          <t>TORSBY</t>
        </is>
      </c>
      <c r="F810" t="inlineStr">
        <is>
          <t>Bergvik skog väst AB</t>
        </is>
      </c>
      <c r="G810" t="n">
        <v>38.3</v>
      </c>
      <c r="H810" t="n">
        <v>0</v>
      </c>
      <c r="I810" t="n">
        <v>0</v>
      </c>
      <c r="J810" t="n">
        <v>0</v>
      </c>
      <c r="K810" t="n">
        <v>0</v>
      </c>
      <c r="L810" t="n">
        <v>0</v>
      </c>
      <c r="M810" t="n">
        <v>0</v>
      </c>
      <c r="N810" t="n">
        <v>0</v>
      </c>
      <c r="O810" t="n">
        <v>0</v>
      </c>
      <c r="P810" t="n">
        <v>0</v>
      </c>
      <c r="Q810" t="n">
        <v>0</v>
      </c>
      <c r="R810" s="2" t="inlineStr"/>
    </row>
    <row r="811" ht="15" customHeight="1">
      <c r="A811" t="inlineStr">
        <is>
          <t>A 63740-2018</t>
        </is>
      </c>
      <c r="B811" s="1" t="n">
        <v>43418</v>
      </c>
      <c r="C811" s="1" t="n">
        <v>45353</v>
      </c>
      <c r="D811" t="inlineStr">
        <is>
          <t>VÄRMLANDS LÄN</t>
        </is>
      </c>
      <c r="E811" t="inlineStr">
        <is>
          <t>ARVIKA</t>
        </is>
      </c>
      <c r="G811" t="n">
        <v>9.1</v>
      </c>
      <c r="H811" t="n">
        <v>0</v>
      </c>
      <c r="I811" t="n">
        <v>0</v>
      </c>
      <c r="J811" t="n">
        <v>0</v>
      </c>
      <c r="K811" t="n">
        <v>0</v>
      </c>
      <c r="L811" t="n">
        <v>0</v>
      </c>
      <c r="M811" t="n">
        <v>0</v>
      </c>
      <c r="N811" t="n">
        <v>0</v>
      </c>
      <c r="O811" t="n">
        <v>0</v>
      </c>
      <c r="P811" t="n">
        <v>0</v>
      </c>
      <c r="Q811" t="n">
        <v>0</v>
      </c>
      <c r="R811" s="2" t="inlineStr"/>
    </row>
    <row r="812" ht="15" customHeight="1">
      <c r="A812" t="inlineStr">
        <is>
          <t>A 63035-2018</t>
        </is>
      </c>
      <c r="B812" s="1" t="n">
        <v>43418</v>
      </c>
      <c r="C812" s="1" t="n">
        <v>45353</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63109-2018</t>
        </is>
      </c>
      <c r="B813" s="1" t="n">
        <v>43418</v>
      </c>
      <c r="C813" s="1" t="n">
        <v>45353</v>
      </c>
      <c r="D813" t="inlineStr">
        <is>
          <t>VÄRMLANDS LÄN</t>
        </is>
      </c>
      <c r="E813" t="inlineStr">
        <is>
          <t>TORSBY</t>
        </is>
      </c>
      <c r="F813" t="inlineStr">
        <is>
          <t>Bergvik skog väst AB</t>
        </is>
      </c>
      <c r="G813" t="n">
        <v>19.7</v>
      </c>
      <c r="H813" t="n">
        <v>0</v>
      </c>
      <c r="I813" t="n">
        <v>0</v>
      </c>
      <c r="J813" t="n">
        <v>0</v>
      </c>
      <c r="K813" t="n">
        <v>0</v>
      </c>
      <c r="L813" t="n">
        <v>0</v>
      </c>
      <c r="M813" t="n">
        <v>0</v>
      </c>
      <c r="N813" t="n">
        <v>0</v>
      </c>
      <c r="O813" t="n">
        <v>0</v>
      </c>
      <c r="P813" t="n">
        <v>0</v>
      </c>
      <c r="Q813" t="n">
        <v>0</v>
      </c>
      <c r="R813" s="2" t="inlineStr"/>
    </row>
    <row r="814" ht="15" customHeight="1">
      <c r="A814" t="inlineStr">
        <is>
          <t>A 63103-2018</t>
        </is>
      </c>
      <c r="B814" s="1" t="n">
        <v>43418</v>
      </c>
      <c r="C814" s="1" t="n">
        <v>45353</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63090-2018</t>
        </is>
      </c>
      <c r="B815" s="1" t="n">
        <v>43418</v>
      </c>
      <c r="C815" s="1" t="n">
        <v>45353</v>
      </c>
      <c r="D815" t="inlineStr">
        <is>
          <t>VÄRMLANDS LÄN</t>
        </is>
      </c>
      <c r="E815" t="inlineStr">
        <is>
          <t>TORSBY</t>
        </is>
      </c>
      <c r="F815" t="inlineStr">
        <is>
          <t>Bergvik skog väst AB</t>
        </is>
      </c>
      <c r="G815" t="n">
        <v>41.8</v>
      </c>
      <c r="H815" t="n">
        <v>0</v>
      </c>
      <c r="I815" t="n">
        <v>0</v>
      </c>
      <c r="J815" t="n">
        <v>0</v>
      </c>
      <c r="K815" t="n">
        <v>0</v>
      </c>
      <c r="L815" t="n">
        <v>0</v>
      </c>
      <c r="M815" t="n">
        <v>0</v>
      </c>
      <c r="N815" t="n">
        <v>0</v>
      </c>
      <c r="O815" t="n">
        <v>0</v>
      </c>
      <c r="P815" t="n">
        <v>0</v>
      </c>
      <c r="Q815" t="n">
        <v>0</v>
      </c>
      <c r="R815" s="2" t="inlineStr"/>
    </row>
    <row r="816" ht="15" customHeight="1">
      <c r="A816" t="inlineStr">
        <is>
          <t>A 63742-2018</t>
        </is>
      </c>
      <c r="B816" s="1" t="n">
        <v>43418</v>
      </c>
      <c r="C816" s="1" t="n">
        <v>45353</v>
      </c>
      <c r="D816" t="inlineStr">
        <is>
          <t>VÄRMLANDS LÄN</t>
        </is>
      </c>
      <c r="E816" t="inlineStr">
        <is>
          <t>ARVIKA</t>
        </is>
      </c>
      <c r="G816" t="n">
        <v>2.7</v>
      </c>
      <c r="H816" t="n">
        <v>0</v>
      </c>
      <c r="I816" t="n">
        <v>0</v>
      </c>
      <c r="J816" t="n">
        <v>0</v>
      </c>
      <c r="K816" t="n">
        <v>0</v>
      </c>
      <c r="L816" t="n">
        <v>0</v>
      </c>
      <c r="M816" t="n">
        <v>0</v>
      </c>
      <c r="N816" t="n">
        <v>0</v>
      </c>
      <c r="O816" t="n">
        <v>0</v>
      </c>
      <c r="P816" t="n">
        <v>0</v>
      </c>
      <c r="Q816" t="n">
        <v>0</v>
      </c>
      <c r="R816" s="2" t="inlineStr"/>
    </row>
    <row r="817" ht="15" customHeight="1">
      <c r="A817" t="inlineStr">
        <is>
          <t>A 63741-2018</t>
        </is>
      </c>
      <c r="B817" s="1" t="n">
        <v>43418</v>
      </c>
      <c r="C817" s="1" t="n">
        <v>45353</v>
      </c>
      <c r="D817" t="inlineStr">
        <is>
          <t>VÄRMLANDS LÄN</t>
        </is>
      </c>
      <c r="E817" t="inlineStr">
        <is>
          <t>ARVIKA</t>
        </is>
      </c>
      <c r="G817" t="n">
        <v>1.7</v>
      </c>
      <c r="H817" t="n">
        <v>0</v>
      </c>
      <c r="I817" t="n">
        <v>0</v>
      </c>
      <c r="J817" t="n">
        <v>0</v>
      </c>
      <c r="K817" t="n">
        <v>0</v>
      </c>
      <c r="L817" t="n">
        <v>0</v>
      </c>
      <c r="M817" t="n">
        <v>0</v>
      </c>
      <c r="N817" t="n">
        <v>0</v>
      </c>
      <c r="O817" t="n">
        <v>0</v>
      </c>
      <c r="P817" t="n">
        <v>0</v>
      </c>
      <c r="Q817" t="n">
        <v>0</v>
      </c>
      <c r="R817" s="2" t="inlineStr"/>
    </row>
    <row r="818" ht="15" customHeight="1">
      <c r="A818" t="inlineStr">
        <is>
          <t>A 59383-2018</t>
        </is>
      </c>
      <c r="B818" s="1" t="n">
        <v>43418</v>
      </c>
      <c r="C818" s="1" t="n">
        <v>45353</v>
      </c>
      <c r="D818" t="inlineStr">
        <is>
          <t>VÄRMLANDS LÄN</t>
        </is>
      </c>
      <c r="E818" t="inlineStr">
        <is>
          <t>TORSBY</t>
        </is>
      </c>
      <c r="G818" t="n">
        <v>7.8</v>
      </c>
      <c r="H818" t="n">
        <v>0</v>
      </c>
      <c r="I818" t="n">
        <v>0</v>
      </c>
      <c r="J818" t="n">
        <v>0</v>
      </c>
      <c r="K818" t="n">
        <v>0</v>
      </c>
      <c r="L818" t="n">
        <v>0</v>
      </c>
      <c r="M818" t="n">
        <v>0</v>
      </c>
      <c r="N818" t="n">
        <v>0</v>
      </c>
      <c r="O818" t="n">
        <v>0</v>
      </c>
      <c r="P818" t="n">
        <v>0</v>
      </c>
      <c r="Q818" t="n">
        <v>0</v>
      </c>
      <c r="R818" s="2" t="inlineStr"/>
    </row>
    <row r="819" ht="15" customHeight="1">
      <c r="A819" t="inlineStr">
        <is>
          <t>A 59289-2018</t>
        </is>
      </c>
      <c r="B819" s="1" t="n">
        <v>43418</v>
      </c>
      <c r="C819" s="1" t="n">
        <v>45353</v>
      </c>
      <c r="D819" t="inlineStr">
        <is>
          <t>VÄRMLANDS LÄN</t>
        </is>
      </c>
      <c r="E819" t="inlineStr">
        <is>
          <t>EDA</t>
        </is>
      </c>
      <c r="G819" t="n">
        <v>1</v>
      </c>
      <c r="H819" t="n">
        <v>0</v>
      </c>
      <c r="I819" t="n">
        <v>0</v>
      </c>
      <c r="J819" t="n">
        <v>0</v>
      </c>
      <c r="K819" t="n">
        <v>0</v>
      </c>
      <c r="L819" t="n">
        <v>0</v>
      </c>
      <c r="M819" t="n">
        <v>0</v>
      </c>
      <c r="N819" t="n">
        <v>0</v>
      </c>
      <c r="O819" t="n">
        <v>0</v>
      </c>
      <c r="P819" t="n">
        <v>0</v>
      </c>
      <c r="Q819" t="n">
        <v>0</v>
      </c>
      <c r="R819" s="2" t="inlineStr"/>
    </row>
    <row r="820" ht="15" customHeight="1">
      <c r="A820" t="inlineStr">
        <is>
          <t>A 59301-2018</t>
        </is>
      </c>
      <c r="B820" s="1" t="n">
        <v>43418</v>
      </c>
      <c r="C820" s="1" t="n">
        <v>45353</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59339-2018</t>
        </is>
      </c>
      <c r="B821" s="1" t="n">
        <v>43418</v>
      </c>
      <c r="C821" s="1" t="n">
        <v>45353</v>
      </c>
      <c r="D821" t="inlineStr">
        <is>
          <t>VÄRMLANDS LÄN</t>
        </is>
      </c>
      <c r="E821" t="inlineStr">
        <is>
          <t>KARLSTAD</t>
        </is>
      </c>
      <c r="G821" t="n">
        <v>1.3</v>
      </c>
      <c r="H821" t="n">
        <v>0</v>
      </c>
      <c r="I821" t="n">
        <v>0</v>
      </c>
      <c r="J821" t="n">
        <v>0</v>
      </c>
      <c r="K821" t="n">
        <v>0</v>
      </c>
      <c r="L821" t="n">
        <v>0</v>
      </c>
      <c r="M821" t="n">
        <v>0</v>
      </c>
      <c r="N821" t="n">
        <v>0</v>
      </c>
      <c r="O821" t="n">
        <v>0</v>
      </c>
      <c r="P821" t="n">
        <v>0</v>
      </c>
      <c r="Q821" t="n">
        <v>0</v>
      </c>
      <c r="R821" s="2" t="inlineStr"/>
    </row>
    <row r="822" ht="15" customHeight="1">
      <c r="A822" t="inlineStr">
        <is>
          <t>A 59504-2018</t>
        </is>
      </c>
      <c r="B822" s="1" t="n">
        <v>43419</v>
      </c>
      <c r="C822" s="1" t="n">
        <v>45353</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64337-2018</t>
        </is>
      </c>
      <c r="B823" s="1" t="n">
        <v>43419</v>
      </c>
      <c r="C823" s="1" t="n">
        <v>45353</v>
      </c>
      <c r="D823" t="inlineStr">
        <is>
          <t>VÄRMLANDS LÄN</t>
        </is>
      </c>
      <c r="E823" t="inlineStr">
        <is>
          <t>SÄFFLE</t>
        </is>
      </c>
      <c r="G823" t="n">
        <v>3.3</v>
      </c>
      <c r="H823" t="n">
        <v>0</v>
      </c>
      <c r="I823" t="n">
        <v>0</v>
      </c>
      <c r="J823" t="n">
        <v>0</v>
      </c>
      <c r="K823" t="n">
        <v>0</v>
      </c>
      <c r="L823" t="n">
        <v>0</v>
      </c>
      <c r="M823" t="n">
        <v>0</v>
      </c>
      <c r="N823" t="n">
        <v>0</v>
      </c>
      <c r="O823" t="n">
        <v>0</v>
      </c>
      <c r="P823" t="n">
        <v>0</v>
      </c>
      <c r="Q823" t="n">
        <v>0</v>
      </c>
      <c r="R823" s="2" t="inlineStr"/>
    </row>
    <row r="824" ht="15" customHeight="1">
      <c r="A824" t="inlineStr">
        <is>
          <t>A 59628-2018</t>
        </is>
      </c>
      <c r="B824" s="1" t="n">
        <v>43419</v>
      </c>
      <c r="C824" s="1" t="n">
        <v>45353</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64484-2018</t>
        </is>
      </c>
      <c r="B825" s="1" t="n">
        <v>43419</v>
      </c>
      <c r="C825" s="1" t="n">
        <v>45353</v>
      </c>
      <c r="D825" t="inlineStr">
        <is>
          <t>VÄRMLANDS LÄN</t>
        </is>
      </c>
      <c r="E825" t="inlineStr">
        <is>
          <t>SÄFFLE</t>
        </is>
      </c>
      <c r="G825" t="n">
        <v>0.6</v>
      </c>
      <c r="H825" t="n">
        <v>0</v>
      </c>
      <c r="I825" t="n">
        <v>0</v>
      </c>
      <c r="J825" t="n">
        <v>0</v>
      </c>
      <c r="K825" t="n">
        <v>0</v>
      </c>
      <c r="L825" t="n">
        <v>0</v>
      </c>
      <c r="M825" t="n">
        <v>0</v>
      </c>
      <c r="N825" t="n">
        <v>0</v>
      </c>
      <c r="O825" t="n">
        <v>0</v>
      </c>
      <c r="P825" t="n">
        <v>0</v>
      </c>
      <c r="Q825" t="n">
        <v>0</v>
      </c>
      <c r="R825" s="2" t="inlineStr"/>
    </row>
    <row r="826" ht="15" customHeight="1">
      <c r="A826" t="inlineStr">
        <is>
          <t>A 59851-2018</t>
        </is>
      </c>
      <c r="B826" s="1" t="n">
        <v>43419</v>
      </c>
      <c r="C826" s="1" t="n">
        <v>45353</v>
      </c>
      <c r="D826" t="inlineStr">
        <is>
          <t>VÄRMLANDS LÄN</t>
        </is>
      </c>
      <c r="E826" t="inlineStr">
        <is>
          <t>FORSHAGA</t>
        </is>
      </c>
      <c r="G826" t="n">
        <v>2.9</v>
      </c>
      <c r="H826" t="n">
        <v>0</v>
      </c>
      <c r="I826" t="n">
        <v>0</v>
      </c>
      <c r="J826" t="n">
        <v>0</v>
      </c>
      <c r="K826" t="n">
        <v>0</v>
      </c>
      <c r="L826" t="n">
        <v>0</v>
      </c>
      <c r="M826" t="n">
        <v>0</v>
      </c>
      <c r="N826" t="n">
        <v>0</v>
      </c>
      <c r="O826" t="n">
        <v>0</v>
      </c>
      <c r="P826" t="n">
        <v>0</v>
      </c>
      <c r="Q826" t="n">
        <v>0</v>
      </c>
      <c r="R826" s="2" t="inlineStr"/>
    </row>
    <row r="827" ht="15" customHeight="1">
      <c r="A827" t="inlineStr">
        <is>
          <t>A 59637-2018</t>
        </is>
      </c>
      <c r="B827" s="1" t="n">
        <v>43419</v>
      </c>
      <c r="C827" s="1" t="n">
        <v>45353</v>
      </c>
      <c r="D827" t="inlineStr">
        <is>
          <t>VÄRMLANDS LÄN</t>
        </is>
      </c>
      <c r="E827" t="inlineStr">
        <is>
          <t>EDA</t>
        </is>
      </c>
      <c r="G827" t="n">
        <v>1</v>
      </c>
      <c r="H827" t="n">
        <v>0</v>
      </c>
      <c r="I827" t="n">
        <v>0</v>
      </c>
      <c r="J827" t="n">
        <v>0</v>
      </c>
      <c r="K827" t="n">
        <v>0</v>
      </c>
      <c r="L827" t="n">
        <v>0</v>
      </c>
      <c r="M827" t="n">
        <v>0</v>
      </c>
      <c r="N827" t="n">
        <v>0</v>
      </c>
      <c r="O827" t="n">
        <v>0</v>
      </c>
      <c r="P827" t="n">
        <v>0</v>
      </c>
      <c r="Q827" t="n">
        <v>0</v>
      </c>
      <c r="R827" s="2" t="inlineStr"/>
    </row>
    <row r="828" ht="15" customHeight="1">
      <c r="A828" t="inlineStr">
        <is>
          <t>A 59612-2018</t>
        </is>
      </c>
      <c r="B828" s="1" t="n">
        <v>43419</v>
      </c>
      <c r="C828" s="1" t="n">
        <v>45353</v>
      </c>
      <c r="D828" t="inlineStr">
        <is>
          <t>VÄRMLANDS LÄN</t>
        </is>
      </c>
      <c r="E828" t="inlineStr">
        <is>
          <t>KARLSTAD</t>
        </is>
      </c>
      <c r="F828" t="inlineStr">
        <is>
          <t>Kommuner</t>
        </is>
      </c>
      <c r="G828" t="n">
        <v>13.8</v>
      </c>
      <c r="H828" t="n">
        <v>0</v>
      </c>
      <c r="I828" t="n">
        <v>0</v>
      </c>
      <c r="J828" t="n">
        <v>0</v>
      </c>
      <c r="K828" t="n">
        <v>0</v>
      </c>
      <c r="L828" t="n">
        <v>0</v>
      </c>
      <c r="M828" t="n">
        <v>0</v>
      </c>
      <c r="N828" t="n">
        <v>0</v>
      </c>
      <c r="O828" t="n">
        <v>0</v>
      </c>
      <c r="P828" t="n">
        <v>0</v>
      </c>
      <c r="Q828" t="n">
        <v>0</v>
      </c>
      <c r="R828" s="2" t="inlineStr"/>
    </row>
    <row r="829" ht="15" customHeight="1">
      <c r="A829" t="inlineStr">
        <is>
          <t>A 64487-2018</t>
        </is>
      </c>
      <c r="B829" s="1" t="n">
        <v>43419</v>
      </c>
      <c r="C829" s="1" t="n">
        <v>45353</v>
      </c>
      <c r="D829" t="inlineStr">
        <is>
          <t>VÄRMLANDS LÄN</t>
        </is>
      </c>
      <c r="E829" t="inlineStr">
        <is>
          <t>SÄFFLE</t>
        </is>
      </c>
      <c r="G829" t="n">
        <v>0.7</v>
      </c>
      <c r="H829" t="n">
        <v>0</v>
      </c>
      <c r="I829" t="n">
        <v>0</v>
      </c>
      <c r="J829" t="n">
        <v>0</v>
      </c>
      <c r="K829" t="n">
        <v>0</v>
      </c>
      <c r="L829" t="n">
        <v>0</v>
      </c>
      <c r="M829" t="n">
        <v>0</v>
      </c>
      <c r="N829" t="n">
        <v>0</v>
      </c>
      <c r="O829" t="n">
        <v>0</v>
      </c>
      <c r="P829" t="n">
        <v>0</v>
      </c>
      <c r="Q829" t="n">
        <v>0</v>
      </c>
      <c r="R829" s="2" t="inlineStr"/>
    </row>
    <row r="830" ht="15" customHeight="1">
      <c r="A830" t="inlineStr">
        <is>
          <t>A 59631-2018</t>
        </is>
      </c>
      <c r="B830" s="1" t="n">
        <v>43419</v>
      </c>
      <c r="C830" s="1" t="n">
        <v>45353</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59854-2018</t>
        </is>
      </c>
      <c r="B831" s="1" t="n">
        <v>43419</v>
      </c>
      <c r="C831" s="1" t="n">
        <v>45353</v>
      </c>
      <c r="D831" t="inlineStr">
        <is>
          <t>VÄRMLANDS LÄN</t>
        </is>
      </c>
      <c r="E831" t="inlineStr">
        <is>
          <t>FORSHAGA</t>
        </is>
      </c>
      <c r="G831" t="n">
        <v>1.2</v>
      </c>
      <c r="H831" t="n">
        <v>0</v>
      </c>
      <c r="I831" t="n">
        <v>0</v>
      </c>
      <c r="J831" t="n">
        <v>0</v>
      </c>
      <c r="K831" t="n">
        <v>0</v>
      </c>
      <c r="L831" t="n">
        <v>0</v>
      </c>
      <c r="M831" t="n">
        <v>0</v>
      </c>
      <c r="N831" t="n">
        <v>0</v>
      </c>
      <c r="O831" t="n">
        <v>0</v>
      </c>
      <c r="P831" t="n">
        <v>0</v>
      </c>
      <c r="Q831" t="n">
        <v>0</v>
      </c>
      <c r="R831" s="2" t="inlineStr"/>
    </row>
    <row r="832" ht="15" customHeight="1">
      <c r="A832" t="inlineStr">
        <is>
          <t>A 64318-2018</t>
        </is>
      </c>
      <c r="B832" s="1" t="n">
        <v>43419</v>
      </c>
      <c r="C832" s="1" t="n">
        <v>45353</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59881-2018</t>
        </is>
      </c>
      <c r="B833" s="1" t="n">
        <v>43419</v>
      </c>
      <c r="C833" s="1" t="n">
        <v>45353</v>
      </c>
      <c r="D833" t="inlineStr">
        <is>
          <t>VÄRMLANDS LÄN</t>
        </is>
      </c>
      <c r="E833" t="inlineStr">
        <is>
          <t>FORSHAGA</t>
        </is>
      </c>
      <c r="F833" t="inlineStr">
        <is>
          <t>Bergvik skog väst AB</t>
        </is>
      </c>
      <c r="G833" t="n">
        <v>11.3</v>
      </c>
      <c r="H833" t="n">
        <v>0</v>
      </c>
      <c r="I833" t="n">
        <v>0</v>
      </c>
      <c r="J833" t="n">
        <v>0</v>
      </c>
      <c r="K833" t="n">
        <v>0</v>
      </c>
      <c r="L833" t="n">
        <v>0</v>
      </c>
      <c r="M833" t="n">
        <v>0</v>
      </c>
      <c r="N833" t="n">
        <v>0</v>
      </c>
      <c r="O833" t="n">
        <v>0</v>
      </c>
      <c r="P833" t="n">
        <v>0</v>
      </c>
      <c r="Q833" t="n">
        <v>0</v>
      </c>
      <c r="R833" s="2" t="inlineStr"/>
    </row>
    <row r="834" ht="15" customHeight="1">
      <c r="A834" t="inlineStr">
        <is>
          <t>A 59520-2018</t>
        </is>
      </c>
      <c r="B834" s="1" t="n">
        <v>43419</v>
      </c>
      <c r="C834" s="1" t="n">
        <v>45353</v>
      </c>
      <c r="D834" t="inlineStr">
        <is>
          <t>VÄRMLANDS LÄN</t>
        </is>
      </c>
      <c r="E834" t="inlineStr">
        <is>
          <t>KARLSTAD</t>
        </is>
      </c>
      <c r="G834" t="n">
        <v>1.1</v>
      </c>
      <c r="H834" t="n">
        <v>0</v>
      </c>
      <c r="I834" t="n">
        <v>0</v>
      </c>
      <c r="J834" t="n">
        <v>0</v>
      </c>
      <c r="K834" t="n">
        <v>0</v>
      </c>
      <c r="L834" t="n">
        <v>0</v>
      </c>
      <c r="M834" t="n">
        <v>0</v>
      </c>
      <c r="N834" t="n">
        <v>0</v>
      </c>
      <c r="O834" t="n">
        <v>0</v>
      </c>
      <c r="P834" t="n">
        <v>0</v>
      </c>
      <c r="Q834" t="n">
        <v>0</v>
      </c>
      <c r="R834" s="2" t="inlineStr"/>
    </row>
    <row r="835" ht="15" customHeight="1">
      <c r="A835" t="inlineStr">
        <is>
          <t>A 60645-2018</t>
        </is>
      </c>
      <c r="B835" s="1" t="n">
        <v>43420</v>
      </c>
      <c r="C835" s="1" t="n">
        <v>45353</v>
      </c>
      <c r="D835" t="inlineStr">
        <is>
          <t>VÄRMLANDS LÄN</t>
        </is>
      </c>
      <c r="E835" t="inlineStr">
        <is>
          <t>ÅRJÄNG</t>
        </is>
      </c>
      <c r="G835" t="n">
        <v>7.9</v>
      </c>
      <c r="H835" t="n">
        <v>0</v>
      </c>
      <c r="I835" t="n">
        <v>0</v>
      </c>
      <c r="J835" t="n">
        <v>0</v>
      </c>
      <c r="K835" t="n">
        <v>0</v>
      </c>
      <c r="L835" t="n">
        <v>0</v>
      </c>
      <c r="M835" t="n">
        <v>0</v>
      </c>
      <c r="N835" t="n">
        <v>0</v>
      </c>
      <c r="O835" t="n">
        <v>0</v>
      </c>
      <c r="P835" t="n">
        <v>0</v>
      </c>
      <c r="Q835" t="n">
        <v>0</v>
      </c>
      <c r="R835" s="2" t="inlineStr"/>
    </row>
    <row r="836" ht="15" customHeight="1">
      <c r="A836" t="inlineStr">
        <is>
          <t>A 64652-2018</t>
        </is>
      </c>
      <c r="B836" s="1" t="n">
        <v>43420</v>
      </c>
      <c r="C836" s="1" t="n">
        <v>45353</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60452-2018</t>
        </is>
      </c>
      <c r="B837" s="1" t="n">
        <v>43420</v>
      </c>
      <c r="C837" s="1" t="n">
        <v>45353</v>
      </c>
      <c r="D837" t="inlineStr">
        <is>
          <t>VÄRMLANDS LÄN</t>
        </is>
      </c>
      <c r="E837" t="inlineStr">
        <is>
          <t>ARVIKA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64518-2018</t>
        </is>
      </c>
      <c r="B838" s="1" t="n">
        <v>43420</v>
      </c>
      <c r="C838" s="1" t="n">
        <v>45353</v>
      </c>
      <c r="D838" t="inlineStr">
        <is>
          <t>VÄRMLANDS LÄN</t>
        </is>
      </c>
      <c r="E838" t="inlineStr">
        <is>
          <t>STORFORS</t>
        </is>
      </c>
      <c r="G838" t="n">
        <v>0.7</v>
      </c>
      <c r="H838" t="n">
        <v>0</v>
      </c>
      <c r="I838" t="n">
        <v>0</v>
      </c>
      <c r="J838" t="n">
        <v>0</v>
      </c>
      <c r="K838" t="n">
        <v>0</v>
      </c>
      <c r="L838" t="n">
        <v>0</v>
      </c>
      <c r="M838" t="n">
        <v>0</v>
      </c>
      <c r="N838" t="n">
        <v>0</v>
      </c>
      <c r="O838" t="n">
        <v>0</v>
      </c>
      <c r="P838" t="n">
        <v>0</v>
      </c>
      <c r="Q838" t="n">
        <v>0</v>
      </c>
      <c r="R838" s="2" t="inlineStr"/>
    </row>
    <row r="839" ht="15" customHeight="1">
      <c r="A839" t="inlineStr">
        <is>
          <t>A 60559-2018</t>
        </is>
      </c>
      <c r="B839" s="1" t="n">
        <v>43420</v>
      </c>
      <c r="C839" s="1" t="n">
        <v>45353</v>
      </c>
      <c r="D839" t="inlineStr">
        <is>
          <t>VÄRMLANDS LÄN</t>
        </is>
      </c>
      <c r="E839" t="inlineStr">
        <is>
          <t>ARVIKA</t>
        </is>
      </c>
      <c r="G839" t="n">
        <v>0.5</v>
      </c>
      <c r="H839" t="n">
        <v>0</v>
      </c>
      <c r="I839" t="n">
        <v>0</v>
      </c>
      <c r="J839" t="n">
        <v>0</v>
      </c>
      <c r="K839" t="n">
        <v>0</v>
      </c>
      <c r="L839" t="n">
        <v>0</v>
      </c>
      <c r="M839" t="n">
        <v>0</v>
      </c>
      <c r="N839" t="n">
        <v>0</v>
      </c>
      <c r="O839" t="n">
        <v>0</v>
      </c>
      <c r="P839" t="n">
        <v>0</v>
      </c>
      <c r="Q839" t="n">
        <v>0</v>
      </c>
      <c r="R839" s="2" t="inlineStr"/>
    </row>
    <row r="840" ht="15" customHeight="1">
      <c r="A840" t="inlineStr">
        <is>
          <t>A 60528-2018</t>
        </is>
      </c>
      <c r="B840" s="1" t="n">
        <v>43420</v>
      </c>
      <c r="C840" s="1" t="n">
        <v>45353</v>
      </c>
      <c r="D840" t="inlineStr">
        <is>
          <t>VÄRMLANDS LÄN</t>
        </is>
      </c>
      <c r="E840" t="inlineStr">
        <is>
          <t>ARVIKA</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59969-2018</t>
        </is>
      </c>
      <c r="B841" s="1" t="n">
        <v>43420</v>
      </c>
      <c r="C841" s="1" t="n">
        <v>45353</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60760-2018</t>
        </is>
      </c>
      <c r="B842" s="1" t="n">
        <v>43421</v>
      </c>
      <c r="C842" s="1" t="n">
        <v>45353</v>
      </c>
      <c r="D842" t="inlineStr">
        <is>
          <t>VÄRMLANDS LÄN</t>
        </is>
      </c>
      <c r="E842" t="inlineStr">
        <is>
          <t>HAGFORS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60879-2018</t>
        </is>
      </c>
      <c r="B843" s="1" t="n">
        <v>43422</v>
      </c>
      <c r="C843" s="1" t="n">
        <v>45353</v>
      </c>
      <c r="D843" t="inlineStr">
        <is>
          <t>VÄRMLANDS LÄN</t>
        </is>
      </c>
      <c r="E843" t="inlineStr">
        <is>
          <t>EDA</t>
        </is>
      </c>
      <c r="G843" t="n">
        <v>0.9</v>
      </c>
      <c r="H843" t="n">
        <v>0</v>
      </c>
      <c r="I843" t="n">
        <v>0</v>
      </c>
      <c r="J843" t="n">
        <v>0</v>
      </c>
      <c r="K843" t="n">
        <v>0</v>
      </c>
      <c r="L843" t="n">
        <v>0</v>
      </c>
      <c r="M843" t="n">
        <v>0</v>
      </c>
      <c r="N843" t="n">
        <v>0</v>
      </c>
      <c r="O843" t="n">
        <v>0</v>
      </c>
      <c r="P843" t="n">
        <v>0</v>
      </c>
      <c r="Q843" t="n">
        <v>0</v>
      </c>
      <c r="R843" s="2" t="inlineStr"/>
    </row>
    <row r="844" ht="15" customHeight="1">
      <c r="A844" t="inlineStr">
        <is>
          <t>A 61171-2018</t>
        </is>
      </c>
      <c r="B844" s="1" t="n">
        <v>43423</v>
      </c>
      <c r="C844" s="1" t="n">
        <v>45353</v>
      </c>
      <c r="D844" t="inlineStr">
        <is>
          <t>VÄRMLANDS LÄN</t>
        </is>
      </c>
      <c r="E844" t="inlineStr">
        <is>
          <t>FORSHAGA</t>
        </is>
      </c>
      <c r="G844" t="n">
        <v>2.2</v>
      </c>
      <c r="H844" t="n">
        <v>0</v>
      </c>
      <c r="I844" t="n">
        <v>0</v>
      </c>
      <c r="J844" t="n">
        <v>0</v>
      </c>
      <c r="K844" t="n">
        <v>0</v>
      </c>
      <c r="L844" t="n">
        <v>0</v>
      </c>
      <c r="M844" t="n">
        <v>0</v>
      </c>
      <c r="N844" t="n">
        <v>0</v>
      </c>
      <c r="O844" t="n">
        <v>0</v>
      </c>
      <c r="P844" t="n">
        <v>0</v>
      </c>
      <c r="Q844" t="n">
        <v>0</v>
      </c>
      <c r="R844" s="2" t="inlineStr"/>
    </row>
    <row r="845" ht="15" customHeight="1">
      <c r="A845" t="inlineStr">
        <is>
          <t>A 61126-2018</t>
        </is>
      </c>
      <c r="B845" s="1" t="n">
        <v>43423</v>
      </c>
      <c r="C845" s="1" t="n">
        <v>45353</v>
      </c>
      <c r="D845" t="inlineStr">
        <is>
          <t>VÄRMLANDS LÄN</t>
        </is>
      </c>
      <c r="E845" t="inlineStr">
        <is>
          <t>SUNNE</t>
        </is>
      </c>
      <c r="G845" t="n">
        <v>6.9</v>
      </c>
      <c r="H845" t="n">
        <v>0</v>
      </c>
      <c r="I845" t="n">
        <v>0</v>
      </c>
      <c r="J845" t="n">
        <v>0</v>
      </c>
      <c r="K845" t="n">
        <v>0</v>
      </c>
      <c r="L845" t="n">
        <v>0</v>
      </c>
      <c r="M845" t="n">
        <v>0</v>
      </c>
      <c r="N845" t="n">
        <v>0</v>
      </c>
      <c r="O845" t="n">
        <v>0</v>
      </c>
      <c r="P845" t="n">
        <v>0</v>
      </c>
      <c r="Q845" t="n">
        <v>0</v>
      </c>
      <c r="R845" s="2" t="inlineStr"/>
    </row>
    <row r="846" ht="15" customHeight="1">
      <c r="A846" t="inlineStr">
        <is>
          <t>A 61035-2018</t>
        </is>
      </c>
      <c r="B846" s="1" t="n">
        <v>43423</v>
      </c>
      <c r="C846" s="1" t="n">
        <v>45353</v>
      </c>
      <c r="D846" t="inlineStr">
        <is>
          <t>VÄRMLANDS LÄN</t>
        </is>
      </c>
      <c r="E846" t="inlineStr">
        <is>
          <t>KIL</t>
        </is>
      </c>
      <c r="G846" t="n">
        <v>2.2</v>
      </c>
      <c r="H846" t="n">
        <v>0</v>
      </c>
      <c r="I846" t="n">
        <v>0</v>
      </c>
      <c r="J846" t="n">
        <v>0</v>
      </c>
      <c r="K846" t="n">
        <v>0</v>
      </c>
      <c r="L846" t="n">
        <v>0</v>
      </c>
      <c r="M846" t="n">
        <v>0</v>
      </c>
      <c r="N846" t="n">
        <v>0</v>
      </c>
      <c r="O846" t="n">
        <v>0</v>
      </c>
      <c r="P846" t="n">
        <v>0</v>
      </c>
      <c r="Q846" t="n">
        <v>0</v>
      </c>
      <c r="R846" s="2" t="inlineStr"/>
    </row>
    <row r="847" ht="15" customHeight="1">
      <c r="A847" t="inlineStr">
        <is>
          <t>A 60912-2018</t>
        </is>
      </c>
      <c r="B847" s="1" t="n">
        <v>43423</v>
      </c>
      <c r="C847" s="1" t="n">
        <v>45353</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61124-2018</t>
        </is>
      </c>
      <c r="B848" s="1" t="n">
        <v>43423</v>
      </c>
      <c r="C848" s="1" t="n">
        <v>45353</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61392-2018</t>
        </is>
      </c>
      <c r="B849" s="1" t="n">
        <v>43424</v>
      </c>
      <c r="C849" s="1" t="n">
        <v>45353</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61616-2018</t>
        </is>
      </c>
      <c r="B850" s="1" t="n">
        <v>43424</v>
      </c>
      <c r="C850" s="1" t="n">
        <v>45353</v>
      </c>
      <c r="D850" t="inlineStr">
        <is>
          <t>VÄRMLANDS LÄN</t>
        </is>
      </c>
      <c r="E850" t="inlineStr">
        <is>
          <t>SUNNE</t>
        </is>
      </c>
      <c r="G850" t="n">
        <v>1.8</v>
      </c>
      <c r="H850" t="n">
        <v>0</v>
      </c>
      <c r="I850" t="n">
        <v>0</v>
      </c>
      <c r="J850" t="n">
        <v>0</v>
      </c>
      <c r="K850" t="n">
        <v>0</v>
      </c>
      <c r="L850" t="n">
        <v>0</v>
      </c>
      <c r="M850" t="n">
        <v>0</v>
      </c>
      <c r="N850" t="n">
        <v>0</v>
      </c>
      <c r="O850" t="n">
        <v>0</v>
      </c>
      <c r="P850" t="n">
        <v>0</v>
      </c>
      <c r="Q850" t="n">
        <v>0</v>
      </c>
      <c r="R850" s="2" t="inlineStr"/>
    </row>
    <row r="851" ht="15" customHeight="1">
      <c r="A851" t="inlineStr">
        <is>
          <t>A 65277-2018</t>
        </is>
      </c>
      <c r="B851" s="1" t="n">
        <v>43424</v>
      </c>
      <c r="C851" s="1" t="n">
        <v>45353</v>
      </c>
      <c r="D851" t="inlineStr">
        <is>
          <t>VÄRMLANDS LÄN</t>
        </is>
      </c>
      <c r="E851" t="inlineStr">
        <is>
          <t>SUNNE</t>
        </is>
      </c>
      <c r="G851" t="n">
        <v>10.9</v>
      </c>
      <c r="H851" t="n">
        <v>0</v>
      </c>
      <c r="I851" t="n">
        <v>0</v>
      </c>
      <c r="J851" t="n">
        <v>0</v>
      </c>
      <c r="K851" t="n">
        <v>0</v>
      </c>
      <c r="L851" t="n">
        <v>0</v>
      </c>
      <c r="M851" t="n">
        <v>0</v>
      </c>
      <c r="N851" t="n">
        <v>0</v>
      </c>
      <c r="O851" t="n">
        <v>0</v>
      </c>
      <c r="P851" t="n">
        <v>0</v>
      </c>
      <c r="Q851" t="n">
        <v>0</v>
      </c>
      <c r="R851" s="2" t="inlineStr"/>
    </row>
    <row r="852" ht="15" customHeight="1">
      <c r="A852" t="inlineStr">
        <is>
          <t>A 62211-2018</t>
        </is>
      </c>
      <c r="B852" s="1" t="n">
        <v>43424</v>
      </c>
      <c r="C852" s="1" t="n">
        <v>45353</v>
      </c>
      <c r="D852" t="inlineStr">
        <is>
          <t>VÄRMLANDS LÄN</t>
        </is>
      </c>
      <c r="E852" t="inlineStr">
        <is>
          <t>KRISTINEHAMN</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17001-2019</t>
        </is>
      </c>
      <c r="B853" s="1" t="n">
        <v>43424</v>
      </c>
      <c r="C853" s="1" t="n">
        <v>45353</v>
      </c>
      <c r="D853" t="inlineStr">
        <is>
          <t>VÄRMLANDS LÄN</t>
        </is>
      </c>
      <c r="E853" t="inlineStr">
        <is>
          <t>GRUMS</t>
        </is>
      </c>
      <c r="G853" t="n">
        <v>0.8</v>
      </c>
      <c r="H853" t="n">
        <v>0</v>
      </c>
      <c r="I853" t="n">
        <v>0</v>
      </c>
      <c r="J853" t="n">
        <v>0</v>
      </c>
      <c r="K853" t="n">
        <v>0</v>
      </c>
      <c r="L853" t="n">
        <v>0</v>
      </c>
      <c r="M853" t="n">
        <v>0</v>
      </c>
      <c r="N853" t="n">
        <v>0</v>
      </c>
      <c r="O853" t="n">
        <v>0</v>
      </c>
      <c r="P853" t="n">
        <v>0</v>
      </c>
      <c r="Q853" t="n">
        <v>0</v>
      </c>
      <c r="R853" s="2" t="inlineStr"/>
    </row>
    <row r="854" ht="15" customHeight="1">
      <c r="A854" t="inlineStr">
        <is>
          <t>A 65271-2018</t>
        </is>
      </c>
      <c r="B854" s="1" t="n">
        <v>43424</v>
      </c>
      <c r="C854" s="1" t="n">
        <v>45353</v>
      </c>
      <c r="D854" t="inlineStr">
        <is>
          <t>VÄRMLANDS LÄN</t>
        </is>
      </c>
      <c r="E854" t="inlineStr">
        <is>
          <t>SUNNE</t>
        </is>
      </c>
      <c r="G854" t="n">
        <v>2.5</v>
      </c>
      <c r="H854" t="n">
        <v>0</v>
      </c>
      <c r="I854" t="n">
        <v>0</v>
      </c>
      <c r="J854" t="n">
        <v>0</v>
      </c>
      <c r="K854" t="n">
        <v>0</v>
      </c>
      <c r="L854" t="n">
        <v>0</v>
      </c>
      <c r="M854" t="n">
        <v>0</v>
      </c>
      <c r="N854" t="n">
        <v>0</v>
      </c>
      <c r="O854" t="n">
        <v>0</v>
      </c>
      <c r="P854" t="n">
        <v>0</v>
      </c>
      <c r="Q854" t="n">
        <v>0</v>
      </c>
      <c r="R854" s="2" t="inlineStr"/>
    </row>
    <row r="855" ht="15" customHeight="1">
      <c r="A855" t="inlineStr">
        <is>
          <t>A 61388-2018</t>
        </is>
      </c>
      <c r="B855" s="1" t="n">
        <v>43424</v>
      </c>
      <c r="C855" s="1" t="n">
        <v>45353</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65390-2018</t>
        </is>
      </c>
      <c r="B856" s="1" t="n">
        <v>43424</v>
      </c>
      <c r="C856" s="1" t="n">
        <v>45353</v>
      </c>
      <c r="D856" t="inlineStr">
        <is>
          <t>VÄRMLANDS LÄN</t>
        </is>
      </c>
      <c r="E856" t="inlineStr">
        <is>
          <t>HAGFORS</t>
        </is>
      </c>
      <c r="G856" t="n">
        <v>2.7</v>
      </c>
      <c r="H856" t="n">
        <v>0</v>
      </c>
      <c r="I856" t="n">
        <v>0</v>
      </c>
      <c r="J856" t="n">
        <v>0</v>
      </c>
      <c r="K856" t="n">
        <v>0</v>
      </c>
      <c r="L856" t="n">
        <v>0</v>
      </c>
      <c r="M856" t="n">
        <v>0</v>
      </c>
      <c r="N856" t="n">
        <v>0</v>
      </c>
      <c r="O856" t="n">
        <v>0</v>
      </c>
      <c r="P856" t="n">
        <v>0</v>
      </c>
      <c r="Q856" t="n">
        <v>0</v>
      </c>
      <c r="R856" s="2" t="inlineStr"/>
    </row>
    <row r="857" ht="15" customHeight="1">
      <c r="A857" t="inlineStr">
        <is>
          <t>A 65640-2018</t>
        </is>
      </c>
      <c r="B857" s="1" t="n">
        <v>43425</v>
      </c>
      <c r="C857" s="1" t="n">
        <v>45353</v>
      </c>
      <c r="D857" t="inlineStr">
        <is>
          <t>VÄRMLANDS LÄN</t>
        </is>
      </c>
      <c r="E857" t="inlineStr">
        <is>
          <t>TORSBY</t>
        </is>
      </c>
      <c r="G857" t="n">
        <v>5.4</v>
      </c>
      <c r="H857" t="n">
        <v>0</v>
      </c>
      <c r="I857" t="n">
        <v>0</v>
      </c>
      <c r="J857" t="n">
        <v>0</v>
      </c>
      <c r="K857" t="n">
        <v>0</v>
      </c>
      <c r="L857" t="n">
        <v>0</v>
      </c>
      <c r="M857" t="n">
        <v>0</v>
      </c>
      <c r="N857" t="n">
        <v>0</v>
      </c>
      <c r="O857" t="n">
        <v>0</v>
      </c>
      <c r="P857" t="n">
        <v>0</v>
      </c>
      <c r="Q857" t="n">
        <v>0</v>
      </c>
      <c r="R857" s="2" t="inlineStr"/>
    </row>
    <row r="858" ht="15" customHeight="1">
      <c r="A858" t="inlineStr">
        <is>
          <t>A 65675-2018</t>
        </is>
      </c>
      <c r="B858" s="1" t="n">
        <v>43425</v>
      </c>
      <c r="C858" s="1" t="n">
        <v>45353</v>
      </c>
      <c r="D858" t="inlineStr">
        <is>
          <t>VÄRMLANDS LÄN</t>
        </is>
      </c>
      <c r="E858" t="inlineStr">
        <is>
          <t>ARVIKA</t>
        </is>
      </c>
      <c r="G858" t="n">
        <v>2.9</v>
      </c>
      <c r="H858" t="n">
        <v>0</v>
      </c>
      <c r="I858" t="n">
        <v>0</v>
      </c>
      <c r="J858" t="n">
        <v>0</v>
      </c>
      <c r="K858" t="n">
        <v>0</v>
      </c>
      <c r="L858" t="n">
        <v>0</v>
      </c>
      <c r="M858" t="n">
        <v>0</v>
      </c>
      <c r="N858" t="n">
        <v>0</v>
      </c>
      <c r="O858" t="n">
        <v>0</v>
      </c>
      <c r="P858" t="n">
        <v>0</v>
      </c>
      <c r="Q858" t="n">
        <v>0</v>
      </c>
      <c r="R858" s="2" t="inlineStr"/>
    </row>
    <row r="859" ht="15" customHeight="1">
      <c r="A859" t="inlineStr">
        <is>
          <t>A 61697-2018</t>
        </is>
      </c>
      <c r="B859" s="1" t="n">
        <v>43425</v>
      </c>
      <c r="C859" s="1" t="n">
        <v>45353</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62158-2018</t>
        </is>
      </c>
      <c r="B860" s="1" t="n">
        <v>43425</v>
      </c>
      <c r="C860" s="1" t="n">
        <v>45353</v>
      </c>
      <c r="D860" t="inlineStr">
        <is>
          <t>VÄRMLANDS LÄN</t>
        </is>
      </c>
      <c r="E860" t="inlineStr">
        <is>
          <t>SUNNE</t>
        </is>
      </c>
      <c r="G860" t="n">
        <v>1.2</v>
      </c>
      <c r="H860" t="n">
        <v>0</v>
      </c>
      <c r="I860" t="n">
        <v>0</v>
      </c>
      <c r="J860" t="n">
        <v>0</v>
      </c>
      <c r="K860" t="n">
        <v>0</v>
      </c>
      <c r="L860" t="n">
        <v>0</v>
      </c>
      <c r="M860" t="n">
        <v>0</v>
      </c>
      <c r="N860" t="n">
        <v>0</v>
      </c>
      <c r="O860" t="n">
        <v>0</v>
      </c>
      <c r="P860" t="n">
        <v>0</v>
      </c>
      <c r="Q860" t="n">
        <v>0</v>
      </c>
      <c r="R860" s="2" t="inlineStr"/>
    </row>
    <row r="861" ht="15" customHeight="1">
      <c r="A861" t="inlineStr">
        <is>
          <t>A 62199-2018</t>
        </is>
      </c>
      <c r="B861" s="1" t="n">
        <v>43425</v>
      </c>
      <c r="C861" s="1" t="n">
        <v>45353</v>
      </c>
      <c r="D861" t="inlineStr">
        <is>
          <t>VÄRMLANDS LÄN</t>
        </is>
      </c>
      <c r="E861" t="inlineStr">
        <is>
          <t>KARLSTAD</t>
        </is>
      </c>
      <c r="G861" t="n">
        <v>1.1</v>
      </c>
      <c r="H861" t="n">
        <v>0</v>
      </c>
      <c r="I861" t="n">
        <v>0</v>
      </c>
      <c r="J861" t="n">
        <v>0</v>
      </c>
      <c r="K861" t="n">
        <v>0</v>
      </c>
      <c r="L861" t="n">
        <v>0</v>
      </c>
      <c r="M861" t="n">
        <v>0</v>
      </c>
      <c r="N861" t="n">
        <v>0</v>
      </c>
      <c r="O861" t="n">
        <v>0</v>
      </c>
      <c r="P861" t="n">
        <v>0</v>
      </c>
      <c r="Q861" t="n">
        <v>0</v>
      </c>
      <c r="R861" s="2" t="inlineStr"/>
    </row>
    <row r="862" ht="15" customHeight="1">
      <c r="A862" t="inlineStr">
        <is>
          <t>A 65668-2018</t>
        </is>
      </c>
      <c r="B862" s="1" t="n">
        <v>43425</v>
      </c>
      <c r="C862" s="1" t="n">
        <v>45353</v>
      </c>
      <c r="D862" t="inlineStr">
        <is>
          <t>VÄRMLANDS LÄN</t>
        </is>
      </c>
      <c r="E862" t="inlineStr">
        <is>
          <t>ARVIKA</t>
        </is>
      </c>
      <c r="G862" t="n">
        <v>0.5</v>
      </c>
      <c r="H862" t="n">
        <v>0</v>
      </c>
      <c r="I862" t="n">
        <v>0</v>
      </c>
      <c r="J862" t="n">
        <v>0</v>
      </c>
      <c r="K862" t="n">
        <v>0</v>
      </c>
      <c r="L862" t="n">
        <v>0</v>
      </c>
      <c r="M862" t="n">
        <v>0</v>
      </c>
      <c r="N862" t="n">
        <v>0</v>
      </c>
      <c r="O862" t="n">
        <v>0</v>
      </c>
      <c r="P862" t="n">
        <v>0</v>
      </c>
      <c r="Q862" t="n">
        <v>0</v>
      </c>
      <c r="R862" s="2" t="inlineStr"/>
    </row>
    <row r="863" ht="15" customHeight="1">
      <c r="A863" t="inlineStr">
        <is>
          <t>A 65645-2018</t>
        </is>
      </c>
      <c r="B863" s="1" t="n">
        <v>43425</v>
      </c>
      <c r="C863" s="1" t="n">
        <v>45353</v>
      </c>
      <c r="D863" t="inlineStr">
        <is>
          <t>VÄRMLANDS LÄN</t>
        </is>
      </c>
      <c r="E863" t="inlineStr">
        <is>
          <t>KARLSTAD</t>
        </is>
      </c>
      <c r="G863" t="n">
        <v>1.2</v>
      </c>
      <c r="H863" t="n">
        <v>0</v>
      </c>
      <c r="I863" t="n">
        <v>0</v>
      </c>
      <c r="J863" t="n">
        <v>0</v>
      </c>
      <c r="K863" t="n">
        <v>0</v>
      </c>
      <c r="L863" t="n">
        <v>0</v>
      </c>
      <c r="M863" t="n">
        <v>0</v>
      </c>
      <c r="N863" t="n">
        <v>0</v>
      </c>
      <c r="O863" t="n">
        <v>0</v>
      </c>
      <c r="P863" t="n">
        <v>0</v>
      </c>
      <c r="Q863" t="n">
        <v>0</v>
      </c>
      <c r="R863" s="2" t="inlineStr"/>
    </row>
    <row r="864" ht="15" customHeight="1">
      <c r="A864" t="inlineStr">
        <is>
          <t>A 61833-2018</t>
        </is>
      </c>
      <c r="B864" s="1" t="n">
        <v>43425</v>
      </c>
      <c r="C864" s="1" t="n">
        <v>45353</v>
      </c>
      <c r="D864" t="inlineStr">
        <is>
          <t>VÄRMLANDS LÄN</t>
        </is>
      </c>
      <c r="E864" t="inlineStr">
        <is>
          <t>ÅRJÄNG</t>
        </is>
      </c>
      <c r="G864" t="n">
        <v>3.7</v>
      </c>
      <c r="H864" t="n">
        <v>0</v>
      </c>
      <c r="I864" t="n">
        <v>0</v>
      </c>
      <c r="J864" t="n">
        <v>0</v>
      </c>
      <c r="K864" t="n">
        <v>0</v>
      </c>
      <c r="L864" t="n">
        <v>0</v>
      </c>
      <c r="M864" t="n">
        <v>0</v>
      </c>
      <c r="N864" t="n">
        <v>0</v>
      </c>
      <c r="O864" t="n">
        <v>0</v>
      </c>
      <c r="P864" t="n">
        <v>0</v>
      </c>
      <c r="Q864" t="n">
        <v>0</v>
      </c>
      <c r="R864" s="2" t="inlineStr"/>
    </row>
    <row r="865" ht="15" customHeight="1">
      <c r="A865" t="inlineStr">
        <is>
          <t>A 61698-2018</t>
        </is>
      </c>
      <c r="B865" s="1" t="n">
        <v>43425</v>
      </c>
      <c r="C865" s="1" t="n">
        <v>45353</v>
      </c>
      <c r="D865" t="inlineStr">
        <is>
          <t>VÄRMLANDS LÄN</t>
        </is>
      </c>
      <c r="E865" t="inlineStr">
        <is>
          <t>KRISTINEHAMN</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61751-2018</t>
        </is>
      </c>
      <c r="B866" s="1" t="n">
        <v>43425</v>
      </c>
      <c r="C866" s="1" t="n">
        <v>45353</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65858-2018</t>
        </is>
      </c>
      <c r="B867" s="1" t="n">
        <v>43426</v>
      </c>
      <c r="C867" s="1" t="n">
        <v>45353</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65897-2018</t>
        </is>
      </c>
      <c r="B868" s="1" t="n">
        <v>43426</v>
      </c>
      <c r="C868" s="1" t="n">
        <v>45353</v>
      </c>
      <c r="D868" t="inlineStr">
        <is>
          <t>VÄRMLANDS LÄN</t>
        </is>
      </c>
      <c r="E868" t="inlineStr">
        <is>
          <t>TORSBY</t>
        </is>
      </c>
      <c r="G868" t="n">
        <v>6.6</v>
      </c>
      <c r="H868" t="n">
        <v>0</v>
      </c>
      <c r="I868" t="n">
        <v>0</v>
      </c>
      <c r="J868" t="n">
        <v>0</v>
      </c>
      <c r="K868" t="n">
        <v>0</v>
      </c>
      <c r="L868" t="n">
        <v>0</v>
      </c>
      <c r="M868" t="n">
        <v>0</v>
      </c>
      <c r="N868" t="n">
        <v>0</v>
      </c>
      <c r="O868" t="n">
        <v>0</v>
      </c>
      <c r="P868" t="n">
        <v>0</v>
      </c>
      <c r="Q868" t="n">
        <v>0</v>
      </c>
      <c r="R868" s="2" t="inlineStr"/>
    </row>
    <row r="869" ht="15" customHeight="1">
      <c r="A869" t="inlineStr">
        <is>
          <t>A 66233-2018</t>
        </is>
      </c>
      <c r="B869" s="1" t="n">
        <v>43426</v>
      </c>
      <c r="C869" s="1" t="n">
        <v>45353</v>
      </c>
      <c r="D869" t="inlineStr">
        <is>
          <t>VÄRMLANDS LÄN</t>
        </is>
      </c>
      <c r="E869" t="inlineStr">
        <is>
          <t>HAGFORS</t>
        </is>
      </c>
      <c r="G869" t="n">
        <v>4.3</v>
      </c>
      <c r="H869" t="n">
        <v>0</v>
      </c>
      <c r="I869" t="n">
        <v>0</v>
      </c>
      <c r="J869" t="n">
        <v>0</v>
      </c>
      <c r="K869" t="n">
        <v>0</v>
      </c>
      <c r="L869" t="n">
        <v>0</v>
      </c>
      <c r="M869" t="n">
        <v>0</v>
      </c>
      <c r="N869" t="n">
        <v>0</v>
      </c>
      <c r="O869" t="n">
        <v>0</v>
      </c>
      <c r="P869" t="n">
        <v>0</v>
      </c>
      <c r="Q869" t="n">
        <v>0</v>
      </c>
      <c r="R869" s="2" t="inlineStr"/>
    </row>
    <row r="870" ht="15" customHeight="1">
      <c r="A870" t="inlineStr">
        <is>
          <t>A 62866-2018</t>
        </is>
      </c>
      <c r="B870" s="1" t="n">
        <v>43426</v>
      </c>
      <c r="C870" s="1" t="n">
        <v>45353</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65761-2018</t>
        </is>
      </c>
      <c r="B871" s="1" t="n">
        <v>43426</v>
      </c>
      <c r="C871" s="1" t="n">
        <v>45353</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65698-2018</t>
        </is>
      </c>
      <c r="B872" s="1" t="n">
        <v>43426</v>
      </c>
      <c r="C872" s="1" t="n">
        <v>45353</v>
      </c>
      <c r="D872" t="inlineStr">
        <is>
          <t>VÄRMLANDS LÄN</t>
        </is>
      </c>
      <c r="E872" t="inlineStr">
        <is>
          <t>TORSBY</t>
        </is>
      </c>
      <c r="G872" t="n">
        <v>2.2</v>
      </c>
      <c r="H872" t="n">
        <v>0</v>
      </c>
      <c r="I872" t="n">
        <v>0</v>
      </c>
      <c r="J872" t="n">
        <v>0</v>
      </c>
      <c r="K872" t="n">
        <v>0</v>
      </c>
      <c r="L872" t="n">
        <v>0</v>
      </c>
      <c r="M872" t="n">
        <v>0</v>
      </c>
      <c r="N872" t="n">
        <v>0</v>
      </c>
      <c r="O872" t="n">
        <v>0</v>
      </c>
      <c r="P872" t="n">
        <v>0</v>
      </c>
      <c r="Q872" t="n">
        <v>0</v>
      </c>
      <c r="R872" s="2" t="inlineStr"/>
    </row>
    <row r="873" ht="15" customHeight="1">
      <c r="A873" t="inlineStr">
        <is>
          <t>A 62868-2018</t>
        </is>
      </c>
      <c r="B873" s="1" t="n">
        <v>43426</v>
      </c>
      <c r="C873" s="1" t="n">
        <v>45353</v>
      </c>
      <c r="D873" t="inlineStr">
        <is>
          <t>VÄRMLANDS LÄN</t>
        </is>
      </c>
      <c r="E873" t="inlineStr">
        <is>
          <t>MUNKFORS</t>
        </is>
      </c>
      <c r="F873" t="inlineStr">
        <is>
          <t>Bergvik skog väst AB</t>
        </is>
      </c>
      <c r="G873" t="n">
        <v>57.8</v>
      </c>
      <c r="H873" t="n">
        <v>0</v>
      </c>
      <c r="I873" t="n">
        <v>0</v>
      </c>
      <c r="J873" t="n">
        <v>0</v>
      </c>
      <c r="K873" t="n">
        <v>0</v>
      </c>
      <c r="L873" t="n">
        <v>0</v>
      </c>
      <c r="M873" t="n">
        <v>0</v>
      </c>
      <c r="N873" t="n">
        <v>0</v>
      </c>
      <c r="O873" t="n">
        <v>0</v>
      </c>
      <c r="P873" t="n">
        <v>0</v>
      </c>
      <c r="Q873" t="n">
        <v>0</v>
      </c>
      <c r="R873" s="2" t="inlineStr"/>
    </row>
    <row r="874" ht="15" customHeight="1">
      <c r="A874" t="inlineStr">
        <is>
          <t>A 65728-2018</t>
        </is>
      </c>
      <c r="B874" s="1" t="n">
        <v>43426</v>
      </c>
      <c r="C874" s="1" t="n">
        <v>45353</v>
      </c>
      <c r="D874" t="inlineStr">
        <is>
          <t>VÄRMLANDS LÄN</t>
        </is>
      </c>
      <c r="E874" t="inlineStr">
        <is>
          <t>ARVIKA</t>
        </is>
      </c>
      <c r="G874" t="n">
        <v>2.7</v>
      </c>
      <c r="H874" t="n">
        <v>0</v>
      </c>
      <c r="I874" t="n">
        <v>0</v>
      </c>
      <c r="J874" t="n">
        <v>0</v>
      </c>
      <c r="K874" t="n">
        <v>0</v>
      </c>
      <c r="L874" t="n">
        <v>0</v>
      </c>
      <c r="M874" t="n">
        <v>0</v>
      </c>
      <c r="N874" t="n">
        <v>0</v>
      </c>
      <c r="O874" t="n">
        <v>0</v>
      </c>
      <c r="P874" t="n">
        <v>0</v>
      </c>
      <c r="Q874" t="n">
        <v>0</v>
      </c>
      <c r="R874" s="2" t="inlineStr"/>
    </row>
    <row r="875" ht="15" customHeight="1">
      <c r="A875" t="inlineStr">
        <is>
          <t>A 65691-2018</t>
        </is>
      </c>
      <c r="B875" s="1" t="n">
        <v>43426</v>
      </c>
      <c r="C875" s="1" t="n">
        <v>45353</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63236-2018</t>
        </is>
      </c>
      <c r="B876" s="1" t="n">
        <v>43426</v>
      </c>
      <c r="C876" s="1" t="n">
        <v>45353</v>
      </c>
      <c r="D876" t="inlineStr">
        <is>
          <t>VÄRMLANDS LÄN</t>
        </is>
      </c>
      <c r="E876" t="inlineStr">
        <is>
          <t>HAGFORS</t>
        </is>
      </c>
      <c r="G876" t="n">
        <v>10.3</v>
      </c>
      <c r="H876" t="n">
        <v>0</v>
      </c>
      <c r="I876" t="n">
        <v>0</v>
      </c>
      <c r="J876" t="n">
        <v>0</v>
      </c>
      <c r="K876" t="n">
        <v>0</v>
      </c>
      <c r="L876" t="n">
        <v>0</v>
      </c>
      <c r="M876" t="n">
        <v>0</v>
      </c>
      <c r="N876" t="n">
        <v>0</v>
      </c>
      <c r="O876" t="n">
        <v>0</v>
      </c>
      <c r="P876" t="n">
        <v>0</v>
      </c>
      <c r="Q876" t="n">
        <v>0</v>
      </c>
      <c r="R876" s="2" t="inlineStr"/>
    </row>
    <row r="877" ht="15" customHeight="1">
      <c r="A877" t="inlineStr">
        <is>
          <t>A 65663-2018</t>
        </is>
      </c>
      <c r="B877" s="1" t="n">
        <v>43426</v>
      </c>
      <c r="C877" s="1" t="n">
        <v>45353</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63228-2018</t>
        </is>
      </c>
      <c r="B878" s="1" t="n">
        <v>43426</v>
      </c>
      <c r="C878" s="1" t="n">
        <v>45353</v>
      </c>
      <c r="D878" t="inlineStr">
        <is>
          <t>VÄRMLANDS LÄN</t>
        </is>
      </c>
      <c r="E878" t="inlineStr">
        <is>
          <t>TORSBY</t>
        </is>
      </c>
      <c r="G878" t="n">
        <v>5</v>
      </c>
      <c r="H878" t="n">
        <v>0</v>
      </c>
      <c r="I878" t="n">
        <v>0</v>
      </c>
      <c r="J878" t="n">
        <v>0</v>
      </c>
      <c r="K878" t="n">
        <v>0</v>
      </c>
      <c r="L878" t="n">
        <v>0</v>
      </c>
      <c r="M878" t="n">
        <v>0</v>
      </c>
      <c r="N878" t="n">
        <v>0</v>
      </c>
      <c r="O878" t="n">
        <v>0</v>
      </c>
      <c r="P878" t="n">
        <v>0</v>
      </c>
      <c r="Q878" t="n">
        <v>0</v>
      </c>
      <c r="R878" s="2" t="inlineStr"/>
    </row>
    <row r="879" ht="15" customHeight="1">
      <c r="A879" t="inlineStr">
        <is>
          <t>A 65986-2018</t>
        </is>
      </c>
      <c r="B879" s="1" t="n">
        <v>43426</v>
      </c>
      <c r="C879" s="1" t="n">
        <v>45353</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65887-2018</t>
        </is>
      </c>
      <c r="B880" s="1" t="n">
        <v>43426</v>
      </c>
      <c r="C880" s="1" t="n">
        <v>45353</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62587-2018</t>
        </is>
      </c>
      <c r="B881" s="1" t="n">
        <v>43426</v>
      </c>
      <c r="C881" s="1" t="n">
        <v>45353</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66077-2018</t>
        </is>
      </c>
      <c r="B882" s="1" t="n">
        <v>43426</v>
      </c>
      <c r="C882" s="1" t="n">
        <v>45353</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65696-2018</t>
        </is>
      </c>
      <c r="B883" s="1" t="n">
        <v>43426</v>
      </c>
      <c r="C883" s="1" t="n">
        <v>45353</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65873-2018</t>
        </is>
      </c>
      <c r="B884" s="1" t="n">
        <v>43426</v>
      </c>
      <c r="C884" s="1" t="n">
        <v>45353</v>
      </c>
      <c r="D884" t="inlineStr">
        <is>
          <t>VÄRMLANDS LÄN</t>
        </is>
      </c>
      <c r="E884" t="inlineStr">
        <is>
          <t>TORSBY</t>
        </is>
      </c>
      <c r="G884" t="n">
        <v>2.2</v>
      </c>
      <c r="H884" t="n">
        <v>0</v>
      </c>
      <c r="I884" t="n">
        <v>0</v>
      </c>
      <c r="J884" t="n">
        <v>0</v>
      </c>
      <c r="K884" t="n">
        <v>0</v>
      </c>
      <c r="L884" t="n">
        <v>0</v>
      </c>
      <c r="M884" t="n">
        <v>0</v>
      </c>
      <c r="N884" t="n">
        <v>0</v>
      </c>
      <c r="O884" t="n">
        <v>0</v>
      </c>
      <c r="P884" t="n">
        <v>0</v>
      </c>
      <c r="Q884" t="n">
        <v>0</v>
      </c>
      <c r="R884" s="2" t="inlineStr"/>
    </row>
    <row r="885" ht="15" customHeight="1">
      <c r="A885" t="inlineStr">
        <is>
          <t>A 63308-2018</t>
        </is>
      </c>
      <c r="B885" s="1" t="n">
        <v>43427</v>
      </c>
      <c r="C885" s="1" t="n">
        <v>45353</v>
      </c>
      <c r="D885" t="inlineStr">
        <is>
          <t>VÄRMLANDS LÄN</t>
        </is>
      </c>
      <c r="E885" t="inlineStr">
        <is>
          <t>SUNNE</t>
        </is>
      </c>
      <c r="G885" t="n">
        <v>1.2</v>
      </c>
      <c r="H885" t="n">
        <v>0</v>
      </c>
      <c r="I885" t="n">
        <v>0</v>
      </c>
      <c r="J885" t="n">
        <v>0</v>
      </c>
      <c r="K885" t="n">
        <v>0</v>
      </c>
      <c r="L885" t="n">
        <v>0</v>
      </c>
      <c r="M885" t="n">
        <v>0</v>
      </c>
      <c r="N885" t="n">
        <v>0</v>
      </c>
      <c r="O885" t="n">
        <v>0</v>
      </c>
      <c r="P885" t="n">
        <v>0</v>
      </c>
      <c r="Q885" t="n">
        <v>0</v>
      </c>
      <c r="R885" s="2" t="inlineStr"/>
    </row>
    <row r="886" ht="15" customHeight="1">
      <c r="A886" t="inlineStr">
        <is>
          <t>A 63574-2018</t>
        </is>
      </c>
      <c r="B886" s="1" t="n">
        <v>43427</v>
      </c>
      <c r="C886" s="1" t="n">
        <v>45353</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63677-2018</t>
        </is>
      </c>
      <c r="B887" s="1" t="n">
        <v>43427</v>
      </c>
      <c r="C887" s="1" t="n">
        <v>45353</v>
      </c>
      <c r="D887" t="inlineStr">
        <is>
          <t>VÄRMLANDS LÄN</t>
        </is>
      </c>
      <c r="E887" t="inlineStr">
        <is>
          <t>HAGFORS</t>
        </is>
      </c>
      <c r="G887" t="n">
        <v>3.7</v>
      </c>
      <c r="H887" t="n">
        <v>0</v>
      </c>
      <c r="I887" t="n">
        <v>0</v>
      </c>
      <c r="J887" t="n">
        <v>0</v>
      </c>
      <c r="K887" t="n">
        <v>0</v>
      </c>
      <c r="L887" t="n">
        <v>0</v>
      </c>
      <c r="M887" t="n">
        <v>0</v>
      </c>
      <c r="N887" t="n">
        <v>0</v>
      </c>
      <c r="O887" t="n">
        <v>0</v>
      </c>
      <c r="P887" t="n">
        <v>0</v>
      </c>
      <c r="Q887" t="n">
        <v>0</v>
      </c>
      <c r="R887" s="2" t="inlineStr"/>
    </row>
    <row r="888" ht="15" customHeight="1">
      <c r="A888" t="inlineStr">
        <is>
          <t>A 63615-2018</t>
        </is>
      </c>
      <c r="B888" s="1" t="n">
        <v>43427</v>
      </c>
      <c r="C888" s="1" t="n">
        <v>45353</v>
      </c>
      <c r="D888" t="inlineStr">
        <is>
          <t>VÄRMLANDS LÄN</t>
        </is>
      </c>
      <c r="E888" t="inlineStr">
        <is>
          <t>SUNNE</t>
        </is>
      </c>
      <c r="G888" t="n">
        <v>1.8</v>
      </c>
      <c r="H888" t="n">
        <v>0</v>
      </c>
      <c r="I888" t="n">
        <v>0</v>
      </c>
      <c r="J888" t="n">
        <v>0</v>
      </c>
      <c r="K888" t="n">
        <v>0</v>
      </c>
      <c r="L888" t="n">
        <v>0</v>
      </c>
      <c r="M888" t="n">
        <v>0</v>
      </c>
      <c r="N888" t="n">
        <v>0</v>
      </c>
      <c r="O888" t="n">
        <v>0</v>
      </c>
      <c r="P888" t="n">
        <v>0</v>
      </c>
      <c r="Q888" t="n">
        <v>0</v>
      </c>
      <c r="R888" s="2" t="inlineStr"/>
    </row>
    <row r="889" ht="15" customHeight="1">
      <c r="A889" t="inlineStr">
        <is>
          <t>A 63521-2018</t>
        </is>
      </c>
      <c r="B889" s="1" t="n">
        <v>43427</v>
      </c>
      <c r="C889" s="1" t="n">
        <v>45353</v>
      </c>
      <c r="D889" t="inlineStr">
        <is>
          <t>VÄRMLANDS LÄN</t>
        </is>
      </c>
      <c r="E889" t="inlineStr">
        <is>
          <t>ARVIKA</t>
        </is>
      </c>
      <c r="F889" t="inlineStr">
        <is>
          <t>Bergvik skog väst AB</t>
        </is>
      </c>
      <c r="G889" t="n">
        <v>12.9</v>
      </c>
      <c r="H889" t="n">
        <v>0</v>
      </c>
      <c r="I889" t="n">
        <v>0</v>
      </c>
      <c r="J889" t="n">
        <v>0</v>
      </c>
      <c r="K889" t="n">
        <v>0</v>
      </c>
      <c r="L889" t="n">
        <v>0</v>
      </c>
      <c r="M889" t="n">
        <v>0</v>
      </c>
      <c r="N889" t="n">
        <v>0</v>
      </c>
      <c r="O889" t="n">
        <v>0</v>
      </c>
      <c r="P889" t="n">
        <v>0</v>
      </c>
      <c r="Q889" t="n">
        <v>0</v>
      </c>
      <c r="R889" s="2" t="inlineStr"/>
    </row>
    <row r="890" ht="15" customHeight="1">
      <c r="A890" t="inlineStr">
        <is>
          <t>A 63679-2018</t>
        </is>
      </c>
      <c r="B890" s="1" t="n">
        <v>43427</v>
      </c>
      <c r="C890" s="1" t="n">
        <v>45353</v>
      </c>
      <c r="D890" t="inlineStr">
        <is>
          <t>VÄRMLANDS LÄN</t>
        </is>
      </c>
      <c r="E890" t="inlineStr">
        <is>
          <t>HAGFORS</t>
        </is>
      </c>
      <c r="G890" t="n">
        <v>14.3</v>
      </c>
      <c r="H890" t="n">
        <v>0</v>
      </c>
      <c r="I890" t="n">
        <v>0</v>
      </c>
      <c r="J890" t="n">
        <v>0</v>
      </c>
      <c r="K890" t="n">
        <v>0</v>
      </c>
      <c r="L890" t="n">
        <v>0</v>
      </c>
      <c r="M890" t="n">
        <v>0</v>
      </c>
      <c r="N890" t="n">
        <v>0</v>
      </c>
      <c r="O890" t="n">
        <v>0</v>
      </c>
      <c r="P890" t="n">
        <v>0</v>
      </c>
      <c r="Q890" t="n">
        <v>0</v>
      </c>
      <c r="R890" s="2" t="inlineStr"/>
    </row>
    <row r="891" ht="15" customHeight="1">
      <c r="A891" t="inlineStr">
        <is>
          <t>A 63356-2018</t>
        </is>
      </c>
      <c r="B891" s="1" t="n">
        <v>43427</v>
      </c>
      <c r="C891" s="1" t="n">
        <v>45353</v>
      </c>
      <c r="D891" t="inlineStr">
        <is>
          <t>VÄRMLANDS LÄN</t>
        </is>
      </c>
      <c r="E891" t="inlineStr">
        <is>
          <t>KIL</t>
        </is>
      </c>
      <c r="F891" t="inlineStr">
        <is>
          <t>Bergvik skog väst AB</t>
        </is>
      </c>
      <c r="G891" t="n">
        <v>4.4</v>
      </c>
      <c r="H891" t="n">
        <v>0</v>
      </c>
      <c r="I891" t="n">
        <v>0</v>
      </c>
      <c r="J891" t="n">
        <v>0</v>
      </c>
      <c r="K891" t="n">
        <v>0</v>
      </c>
      <c r="L891" t="n">
        <v>0</v>
      </c>
      <c r="M891" t="n">
        <v>0</v>
      </c>
      <c r="N891" t="n">
        <v>0</v>
      </c>
      <c r="O891" t="n">
        <v>0</v>
      </c>
      <c r="P891" t="n">
        <v>0</v>
      </c>
      <c r="Q891" t="n">
        <v>0</v>
      </c>
      <c r="R891" s="2" t="inlineStr"/>
    </row>
    <row r="892" ht="15" customHeight="1">
      <c r="A892" t="inlineStr">
        <is>
          <t>A 63339-2018</t>
        </is>
      </c>
      <c r="B892" s="1" t="n">
        <v>43427</v>
      </c>
      <c r="C892" s="1" t="n">
        <v>45353</v>
      </c>
      <c r="D892" t="inlineStr">
        <is>
          <t>VÄRMLANDS LÄN</t>
        </is>
      </c>
      <c r="E892" t="inlineStr">
        <is>
          <t>HAGFORS</t>
        </is>
      </c>
      <c r="G892" t="n">
        <v>1.8</v>
      </c>
      <c r="H892" t="n">
        <v>0</v>
      </c>
      <c r="I892" t="n">
        <v>0</v>
      </c>
      <c r="J892" t="n">
        <v>0</v>
      </c>
      <c r="K892" t="n">
        <v>0</v>
      </c>
      <c r="L892" t="n">
        <v>0</v>
      </c>
      <c r="M892" t="n">
        <v>0</v>
      </c>
      <c r="N892" t="n">
        <v>0</v>
      </c>
      <c r="O892" t="n">
        <v>0</v>
      </c>
      <c r="P892" t="n">
        <v>0</v>
      </c>
      <c r="Q892" t="n">
        <v>0</v>
      </c>
      <c r="R892" s="2" t="inlineStr"/>
    </row>
    <row r="893" ht="15" customHeight="1">
      <c r="A893" t="inlineStr">
        <is>
          <t>A 63348-2018</t>
        </is>
      </c>
      <c r="B893" s="1" t="n">
        <v>43427</v>
      </c>
      <c r="C893" s="1" t="n">
        <v>45353</v>
      </c>
      <c r="D893" t="inlineStr">
        <is>
          <t>VÄRMLANDS LÄN</t>
        </is>
      </c>
      <c r="E893" t="inlineStr">
        <is>
          <t>KIL</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63458-2018</t>
        </is>
      </c>
      <c r="B894" s="1" t="n">
        <v>43427</v>
      </c>
      <c r="C894" s="1" t="n">
        <v>45353</v>
      </c>
      <c r="D894" t="inlineStr">
        <is>
          <t>VÄRMLANDS LÄN</t>
        </is>
      </c>
      <c r="E894" t="inlineStr">
        <is>
          <t>KARLSTAD</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63419-2018</t>
        </is>
      </c>
      <c r="B895" s="1" t="n">
        <v>43427</v>
      </c>
      <c r="C895" s="1" t="n">
        <v>45353</v>
      </c>
      <c r="D895" t="inlineStr">
        <is>
          <t>VÄRMLANDS LÄN</t>
        </is>
      </c>
      <c r="E895" t="inlineStr">
        <is>
          <t>KARLSTAD</t>
        </is>
      </c>
      <c r="F895" t="inlineStr">
        <is>
          <t>Kyrkan</t>
        </is>
      </c>
      <c r="G895" t="n">
        <v>2.9</v>
      </c>
      <c r="H895" t="n">
        <v>0</v>
      </c>
      <c r="I895" t="n">
        <v>0</v>
      </c>
      <c r="J895" t="n">
        <v>0</v>
      </c>
      <c r="K895" t="n">
        <v>0</v>
      </c>
      <c r="L895" t="n">
        <v>0</v>
      </c>
      <c r="M895" t="n">
        <v>0</v>
      </c>
      <c r="N895" t="n">
        <v>0</v>
      </c>
      <c r="O895" t="n">
        <v>0</v>
      </c>
      <c r="P895" t="n">
        <v>0</v>
      </c>
      <c r="Q895" t="n">
        <v>0</v>
      </c>
      <c r="R895" s="2" t="inlineStr"/>
    </row>
    <row r="896" ht="15" customHeight="1">
      <c r="A896" t="inlineStr">
        <is>
          <t>A 63727-2018</t>
        </is>
      </c>
      <c r="B896" s="1" t="n">
        <v>43428</v>
      </c>
      <c r="C896" s="1" t="n">
        <v>45353</v>
      </c>
      <c r="D896" t="inlineStr">
        <is>
          <t>VÄRMLANDS LÄN</t>
        </is>
      </c>
      <c r="E896" t="inlineStr">
        <is>
          <t>FORSHAGA</t>
        </is>
      </c>
      <c r="G896" t="n">
        <v>0.3</v>
      </c>
      <c r="H896" t="n">
        <v>0</v>
      </c>
      <c r="I896" t="n">
        <v>0</v>
      </c>
      <c r="J896" t="n">
        <v>0</v>
      </c>
      <c r="K896" t="n">
        <v>0</v>
      </c>
      <c r="L896" t="n">
        <v>0</v>
      </c>
      <c r="M896" t="n">
        <v>0</v>
      </c>
      <c r="N896" t="n">
        <v>0</v>
      </c>
      <c r="O896" t="n">
        <v>0</v>
      </c>
      <c r="P896" t="n">
        <v>0</v>
      </c>
      <c r="Q896" t="n">
        <v>0</v>
      </c>
      <c r="R896" s="2" t="inlineStr"/>
    </row>
    <row r="897" ht="15" customHeight="1">
      <c r="A897" t="inlineStr">
        <is>
          <t>A 64164-2018</t>
        </is>
      </c>
      <c r="B897" s="1" t="n">
        <v>43430</v>
      </c>
      <c r="C897" s="1" t="n">
        <v>45353</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66876-2018</t>
        </is>
      </c>
      <c r="B898" s="1" t="n">
        <v>43430</v>
      </c>
      <c r="C898" s="1" t="n">
        <v>45353</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64193-2018</t>
        </is>
      </c>
      <c r="B899" s="1" t="n">
        <v>43430</v>
      </c>
      <c r="C899" s="1" t="n">
        <v>45353</v>
      </c>
      <c r="D899" t="inlineStr">
        <is>
          <t>VÄRMLANDS LÄN</t>
        </is>
      </c>
      <c r="E899" t="inlineStr">
        <is>
          <t>GRUMS</t>
        </is>
      </c>
      <c r="G899" t="n">
        <v>1.6</v>
      </c>
      <c r="H899" t="n">
        <v>0</v>
      </c>
      <c r="I899" t="n">
        <v>0</v>
      </c>
      <c r="J899" t="n">
        <v>0</v>
      </c>
      <c r="K899" t="n">
        <v>0</v>
      </c>
      <c r="L899" t="n">
        <v>0</v>
      </c>
      <c r="M899" t="n">
        <v>0</v>
      </c>
      <c r="N899" t="n">
        <v>0</v>
      </c>
      <c r="O899" t="n">
        <v>0</v>
      </c>
      <c r="P899" t="n">
        <v>0</v>
      </c>
      <c r="Q899" t="n">
        <v>0</v>
      </c>
      <c r="R899" s="2" t="inlineStr"/>
    </row>
    <row r="900" ht="15" customHeight="1">
      <c r="A900" t="inlineStr">
        <is>
          <t>A 64165-2018</t>
        </is>
      </c>
      <c r="B900" s="1" t="n">
        <v>43430</v>
      </c>
      <c r="C900" s="1" t="n">
        <v>45353</v>
      </c>
      <c r="D900" t="inlineStr">
        <is>
          <t>VÄRMLANDS LÄN</t>
        </is>
      </c>
      <c r="E900" t="inlineStr">
        <is>
          <t>SÄFFLE</t>
        </is>
      </c>
      <c r="G900" t="n">
        <v>2.4</v>
      </c>
      <c r="H900" t="n">
        <v>0</v>
      </c>
      <c r="I900" t="n">
        <v>0</v>
      </c>
      <c r="J900" t="n">
        <v>0</v>
      </c>
      <c r="K900" t="n">
        <v>0</v>
      </c>
      <c r="L900" t="n">
        <v>0</v>
      </c>
      <c r="M900" t="n">
        <v>0</v>
      </c>
      <c r="N900" t="n">
        <v>0</v>
      </c>
      <c r="O900" t="n">
        <v>0</v>
      </c>
      <c r="P900" t="n">
        <v>0</v>
      </c>
      <c r="Q900" t="n">
        <v>0</v>
      </c>
      <c r="R900" s="2" t="inlineStr"/>
    </row>
    <row r="901" ht="15" customHeight="1">
      <c r="A901" t="inlineStr">
        <is>
          <t>A 64226-2018</t>
        </is>
      </c>
      <c r="B901" s="1" t="n">
        <v>43430</v>
      </c>
      <c r="C901" s="1" t="n">
        <v>45353</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64051-2018</t>
        </is>
      </c>
      <c r="B902" s="1" t="n">
        <v>43430</v>
      </c>
      <c r="C902" s="1" t="n">
        <v>45353</v>
      </c>
      <c r="D902" t="inlineStr">
        <is>
          <t>VÄRMLANDS LÄN</t>
        </is>
      </c>
      <c r="E902" t="inlineStr">
        <is>
          <t>TORSBY</t>
        </is>
      </c>
      <c r="F902" t="inlineStr">
        <is>
          <t>Bergvik skog väst AB</t>
        </is>
      </c>
      <c r="G902" t="n">
        <v>3.1</v>
      </c>
      <c r="H902" t="n">
        <v>0</v>
      </c>
      <c r="I902" t="n">
        <v>0</v>
      </c>
      <c r="J902" t="n">
        <v>0</v>
      </c>
      <c r="K902" t="n">
        <v>0</v>
      </c>
      <c r="L902" t="n">
        <v>0</v>
      </c>
      <c r="M902" t="n">
        <v>0</v>
      </c>
      <c r="N902" t="n">
        <v>0</v>
      </c>
      <c r="O902" t="n">
        <v>0</v>
      </c>
      <c r="P902" t="n">
        <v>0</v>
      </c>
      <c r="Q902" t="n">
        <v>0</v>
      </c>
      <c r="R902" s="2" t="inlineStr"/>
    </row>
    <row r="903" ht="15" customHeight="1">
      <c r="A903" t="inlineStr">
        <is>
          <t>A 66603-2018</t>
        </is>
      </c>
      <c r="B903" s="1" t="n">
        <v>43430</v>
      </c>
      <c r="C903" s="1" t="n">
        <v>45353</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66987-2018</t>
        </is>
      </c>
      <c r="B904" s="1" t="n">
        <v>43430</v>
      </c>
      <c r="C904" s="1" t="n">
        <v>45353</v>
      </c>
      <c r="D904" t="inlineStr">
        <is>
          <t>VÄRMLANDS LÄN</t>
        </is>
      </c>
      <c r="E904" t="inlineStr">
        <is>
          <t>TORSBY</t>
        </is>
      </c>
      <c r="G904" t="n">
        <v>7.9</v>
      </c>
      <c r="H904" t="n">
        <v>0</v>
      </c>
      <c r="I904" t="n">
        <v>0</v>
      </c>
      <c r="J904" t="n">
        <v>0</v>
      </c>
      <c r="K904" t="n">
        <v>0</v>
      </c>
      <c r="L904" t="n">
        <v>0</v>
      </c>
      <c r="M904" t="n">
        <v>0</v>
      </c>
      <c r="N904" t="n">
        <v>0</v>
      </c>
      <c r="O904" t="n">
        <v>0</v>
      </c>
      <c r="P904" t="n">
        <v>0</v>
      </c>
      <c r="Q904" t="n">
        <v>0</v>
      </c>
      <c r="R904" s="2" t="inlineStr"/>
    </row>
    <row r="905" ht="15" customHeight="1">
      <c r="A905" t="inlineStr">
        <is>
          <t>A 64474-2018</t>
        </is>
      </c>
      <c r="B905" s="1" t="n">
        <v>43431</v>
      </c>
      <c r="C905" s="1" t="n">
        <v>45353</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64511-2018</t>
        </is>
      </c>
      <c r="B906" s="1" t="n">
        <v>43431</v>
      </c>
      <c r="C906" s="1" t="n">
        <v>45353</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64572-2018</t>
        </is>
      </c>
      <c r="B907" s="1" t="n">
        <v>43431</v>
      </c>
      <c r="C907" s="1" t="n">
        <v>45353</v>
      </c>
      <c r="D907" t="inlineStr">
        <is>
          <t>VÄRMLANDS LÄN</t>
        </is>
      </c>
      <c r="E907" t="inlineStr">
        <is>
          <t>KARLSTAD</t>
        </is>
      </c>
      <c r="G907" t="n">
        <v>1.7</v>
      </c>
      <c r="H907" t="n">
        <v>0</v>
      </c>
      <c r="I907" t="n">
        <v>0</v>
      </c>
      <c r="J907" t="n">
        <v>0</v>
      </c>
      <c r="K907" t="n">
        <v>0</v>
      </c>
      <c r="L907" t="n">
        <v>0</v>
      </c>
      <c r="M907" t="n">
        <v>0</v>
      </c>
      <c r="N907" t="n">
        <v>0</v>
      </c>
      <c r="O907" t="n">
        <v>0</v>
      </c>
      <c r="P907" t="n">
        <v>0</v>
      </c>
      <c r="Q907" t="n">
        <v>0</v>
      </c>
      <c r="R907" s="2" t="inlineStr"/>
    </row>
    <row r="908" ht="15" customHeight="1">
      <c r="A908" t="inlineStr">
        <is>
          <t>A 64470-2018</t>
        </is>
      </c>
      <c r="B908" s="1" t="n">
        <v>43431</v>
      </c>
      <c r="C908" s="1" t="n">
        <v>45353</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64507-2018</t>
        </is>
      </c>
      <c r="B909" s="1" t="n">
        <v>43431</v>
      </c>
      <c r="C909" s="1" t="n">
        <v>45353</v>
      </c>
      <c r="D909" t="inlineStr">
        <is>
          <t>VÄRMLANDS LÄN</t>
        </is>
      </c>
      <c r="E909" t="inlineStr">
        <is>
          <t>HAGFORS</t>
        </is>
      </c>
      <c r="F909" t="inlineStr">
        <is>
          <t>Bergvik skog väst AB</t>
        </is>
      </c>
      <c r="G909" t="n">
        <v>31.1</v>
      </c>
      <c r="H909" t="n">
        <v>0</v>
      </c>
      <c r="I909" t="n">
        <v>0</v>
      </c>
      <c r="J909" t="n">
        <v>0</v>
      </c>
      <c r="K909" t="n">
        <v>0</v>
      </c>
      <c r="L909" t="n">
        <v>0</v>
      </c>
      <c r="M909" t="n">
        <v>0</v>
      </c>
      <c r="N909" t="n">
        <v>0</v>
      </c>
      <c r="O909" t="n">
        <v>0</v>
      </c>
      <c r="P909" t="n">
        <v>0</v>
      </c>
      <c r="Q909" t="n">
        <v>0</v>
      </c>
      <c r="R909" s="2" t="inlineStr"/>
    </row>
    <row r="910" ht="15" customHeight="1">
      <c r="A910" t="inlineStr">
        <is>
          <t>A 64501-2018</t>
        </is>
      </c>
      <c r="B910" s="1" t="n">
        <v>43431</v>
      </c>
      <c r="C910" s="1" t="n">
        <v>45353</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64684-2018</t>
        </is>
      </c>
      <c r="B911" s="1" t="n">
        <v>43431</v>
      </c>
      <c r="C911" s="1" t="n">
        <v>45353</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66913-2018</t>
        </is>
      </c>
      <c r="B912" s="1" t="n">
        <v>43431</v>
      </c>
      <c r="C912" s="1" t="n">
        <v>45353</v>
      </c>
      <c r="D912" t="inlineStr">
        <is>
          <t>VÄRMLANDS LÄN</t>
        </is>
      </c>
      <c r="E912" t="inlineStr">
        <is>
          <t>KARLSTAD</t>
        </is>
      </c>
      <c r="G912" t="n">
        <v>10.1</v>
      </c>
      <c r="H912" t="n">
        <v>0</v>
      </c>
      <c r="I912" t="n">
        <v>0</v>
      </c>
      <c r="J912" t="n">
        <v>0</v>
      </c>
      <c r="K912" t="n">
        <v>0</v>
      </c>
      <c r="L912" t="n">
        <v>0</v>
      </c>
      <c r="M912" t="n">
        <v>0</v>
      </c>
      <c r="N912" t="n">
        <v>0</v>
      </c>
      <c r="O912" t="n">
        <v>0</v>
      </c>
      <c r="P912" t="n">
        <v>0</v>
      </c>
      <c r="Q912" t="n">
        <v>0</v>
      </c>
      <c r="R912" s="2" t="inlineStr"/>
    </row>
    <row r="913" ht="15" customHeight="1">
      <c r="A913" t="inlineStr">
        <is>
          <t>A 64877-2018</t>
        </is>
      </c>
      <c r="B913" s="1" t="n">
        <v>43431</v>
      </c>
      <c r="C913" s="1" t="n">
        <v>45353</v>
      </c>
      <c r="D913" t="inlineStr">
        <is>
          <t>VÄRMLANDS LÄN</t>
        </is>
      </c>
      <c r="E913" t="inlineStr">
        <is>
          <t>FILIPSTAD</t>
        </is>
      </c>
      <c r="G913" t="n">
        <v>0.9</v>
      </c>
      <c r="H913" t="n">
        <v>0</v>
      </c>
      <c r="I913" t="n">
        <v>0</v>
      </c>
      <c r="J913" t="n">
        <v>0</v>
      </c>
      <c r="K913" t="n">
        <v>0</v>
      </c>
      <c r="L913" t="n">
        <v>0</v>
      </c>
      <c r="M913" t="n">
        <v>0</v>
      </c>
      <c r="N913" t="n">
        <v>0</v>
      </c>
      <c r="O913" t="n">
        <v>0</v>
      </c>
      <c r="P913" t="n">
        <v>0</v>
      </c>
      <c r="Q913" t="n">
        <v>0</v>
      </c>
      <c r="R913" s="2" t="inlineStr"/>
    </row>
    <row r="914" ht="15" customHeight="1">
      <c r="A914" t="inlineStr">
        <is>
          <t>A 67274-2018</t>
        </is>
      </c>
      <c r="B914" s="1" t="n">
        <v>43431</v>
      </c>
      <c r="C914" s="1" t="n">
        <v>45353</v>
      </c>
      <c r="D914" t="inlineStr">
        <is>
          <t>VÄRMLANDS LÄN</t>
        </is>
      </c>
      <c r="E914" t="inlineStr">
        <is>
          <t>SÄFFLE</t>
        </is>
      </c>
      <c r="F914" t="inlineStr">
        <is>
          <t>Kommuner</t>
        </is>
      </c>
      <c r="G914" t="n">
        <v>5.9</v>
      </c>
      <c r="H914" t="n">
        <v>0</v>
      </c>
      <c r="I914" t="n">
        <v>0</v>
      </c>
      <c r="J914" t="n">
        <v>0</v>
      </c>
      <c r="K914" t="n">
        <v>0</v>
      </c>
      <c r="L914" t="n">
        <v>0</v>
      </c>
      <c r="M914" t="n">
        <v>0</v>
      </c>
      <c r="N914" t="n">
        <v>0</v>
      </c>
      <c r="O914" t="n">
        <v>0</v>
      </c>
      <c r="P914" t="n">
        <v>0</v>
      </c>
      <c r="Q914" t="n">
        <v>0</v>
      </c>
      <c r="R914" s="2" t="inlineStr"/>
    </row>
    <row r="915" ht="15" customHeight="1">
      <c r="A915" t="inlineStr">
        <is>
          <t>A 66744-2018</t>
        </is>
      </c>
      <c r="B915" s="1" t="n">
        <v>43431</v>
      </c>
      <c r="C915" s="1" t="n">
        <v>45353</v>
      </c>
      <c r="D915" t="inlineStr">
        <is>
          <t>VÄRMLANDS LÄN</t>
        </is>
      </c>
      <c r="E915" t="inlineStr">
        <is>
          <t>SÄFFLE</t>
        </is>
      </c>
      <c r="G915" t="n">
        <v>2</v>
      </c>
      <c r="H915" t="n">
        <v>0</v>
      </c>
      <c r="I915" t="n">
        <v>0</v>
      </c>
      <c r="J915" t="n">
        <v>0</v>
      </c>
      <c r="K915" t="n">
        <v>0</v>
      </c>
      <c r="L915" t="n">
        <v>0</v>
      </c>
      <c r="M915" t="n">
        <v>0</v>
      </c>
      <c r="N915" t="n">
        <v>0</v>
      </c>
      <c r="O915" t="n">
        <v>0</v>
      </c>
      <c r="P915" t="n">
        <v>0</v>
      </c>
      <c r="Q915" t="n">
        <v>0</v>
      </c>
      <c r="R915" s="2" t="inlineStr"/>
    </row>
    <row r="916" ht="15" customHeight="1">
      <c r="A916" t="inlineStr">
        <is>
          <t>A 64898-2018</t>
        </is>
      </c>
      <c r="B916" s="1" t="n">
        <v>43431</v>
      </c>
      <c r="C916" s="1" t="n">
        <v>45353</v>
      </c>
      <c r="D916" t="inlineStr">
        <is>
          <t>VÄRMLANDS LÄN</t>
        </is>
      </c>
      <c r="E916" t="inlineStr">
        <is>
          <t>SÄFFLE</t>
        </is>
      </c>
      <c r="G916" t="n">
        <v>3</v>
      </c>
      <c r="H916" t="n">
        <v>0</v>
      </c>
      <c r="I916" t="n">
        <v>0</v>
      </c>
      <c r="J916" t="n">
        <v>0</v>
      </c>
      <c r="K916" t="n">
        <v>0</v>
      </c>
      <c r="L916" t="n">
        <v>0</v>
      </c>
      <c r="M916" t="n">
        <v>0</v>
      </c>
      <c r="N916" t="n">
        <v>0</v>
      </c>
      <c r="O916" t="n">
        <v>0</v>
      </c>
      <c r="P916" t="n">
        <v>0</v>
      </c>
      <c r="Q916" t="n">
        <v>0</v>
      </c>
      <c r="R916" s="2" t="inlineStr"/>
    </row>
    <row r="917" ht="15" customHeight="1">
      <c r="A917" t="inlineStr">
        <is>
          <t>A 64860-2018</t>
        </is>
      </c>
      <c r="B917" s="1" t="n">
        <v>43431</v>
      </c>
      <c r="C917" s="1" t="n">
        <v>45353</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64844-2018</t>
        </is>
      </c>
      <c r="B918" s="1" t="n">
        <v>43431</v>
      </c>
      <c r="C918" s="1" t="n">
        <v>45353</v>
      </c>
      <c r="D918" t="inlineStr">
        <is>
          <t>VÄRMLANDS LÄN</t>
        </is>
      </c>
      <c r="E918" t="inlineStr">
        <is>
          <t>HAGFORS</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64523-2018</t>
        </is>
      </c>
      <c r="B919" s="1" t="n">
        <v>43431</v>
      </c>
      <c r="C919" s="1" t="n">
        <v>45353</v>
      </c>
      <c r="D919" t="inlineStr">
        <is>
          <t>VÄRMLANDS LÄN</t>
        </is>
      </c>
      <c r="E919" t="inlineStr">
        <is>
          <t>SUNNE</t>
        </is>
      </c>
      <c r="G919" t="n">
        <v>2</v>
      </c>
      <c r="H919" t="n">
        <v>0</v>
      </c>
      <c r="I919" t="n">
        <v>0</v>
      </c>
      <c r="J919" t="n">
        <v>0</v>
      </c>
      <c r="K919" t="n">
        <v>0</v>
      </c>
      <c r="L919" t="n">
        <v>0</v>
      </c>
      <c r="M919" t="n">
        <v>0</v>
      </c>
      <c r="N919" t="n">
        <v>0</v>
      </c>
      <c r="O919" t="n">
        <v>0</v>
      </c>
      <c r="P919" t="n">
        <v>0</v>
      </c>
      <c r="Q919" t="n">
        <v>0</v>
      </c>
      <c r="R919" s="2" t="inlineStr"/>
    </row>
    <row r="920" ht="15" customHeight="1">
      <c r="A920" t="inlineStr">
        <is>
          <t>A 67265-2018</t>
        </is>
      </c>
      <c r="B920" s="1" t="n">
        <v>43431</v>
      </c>
      <c r="C920" s="1" t="n">
        <v>45353</v>
      </c>
      <c r="D920" t="inlineStr">
        <is>
          <t>VÄRMLANDS LÄN</t>
        </is>
      </c>
      <c r="E920" t="inlineStr">
        <is>
          <t>SÄFFLE</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67127-2018</t>
        </is>
      </c>
      <c r="B921" s="1" t="n">
        <v>43431</v>
      </c>
      <c r="C921" s="1" t="n">
        <v>45353</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65231-2018</t>
        </is>
      </c>
      <c r="B922" s="1" t="n">
        <v>43432</v>
      </c>
      <c r="C922" s="1" t="n">
        <v>45353</v>
      </c>
      <c r="D922" t="inlineStr">
        <is>
          <t>VÄRMLANDS LÄN</t>
        </is>
      </c>
      <c r="E922" t="inlineStr">
        <is>
          <t>EDA</t>
        </is>
      </c>
      <c r="G922" t="n">
        <v>1.7</v>
      </c>
      <c r="H922" t="n">
        <v>0</v>
      </c>
      <c r="I922" t="n">
        <v>0</v>
      </c>
      <c r="J922" t="n">
        <v>0</v>
      </c>
      <c r="K922" t="n">
        <v>0</v>
      </c>
      <c r="L922" t="n">
        <v>0</v>
      </c>
      <c r="M922" t="n">
        <v>0</v>
      </c>
      <c r="N922" t="n">
        <v>0</v>
      </c>
      <c r="O922" t="n">
        <v>0</v>
      </c>
      <c r="P922" t="n">
        <v>0</v>
      </c>
      <c r="Q922" t="n">
        <v>0</v>
      </c>
      <c r="R922" s="2" t="inlineStr"/>
    </row>
    <row r="923" ht="15" customHeight="1">
      <c r="A923" t="inlineStr">
        <is>
          <t>A 67234-2018</t>
        </is>
      </c>
      <c r="B923" s="1" t="n">
        <v>43432</v>
      </c>
      <c r="C923" s="1" t="n">
        <v>45353</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65008-2018</t>
        </is>
      </c>
      <c r="B924" s="1" t="n">
        <v>43432</v>
      </c>
      <c r="C924" s="1" t="n">
        <v>45353</v>
      </c>
      <c r="D924" t="inlineStr">
        <is>
          <t>VÄRMLANDS LÄN</t>
        </is>
      </c>
      <c r="E924" t="inlineStr">
        <is>
          <t>ÅRJÄNG</t>
        </is>
      </c>
      <c r="G924" t="n">
        <v>3.3</v>
      </c>
      <c r="H924" t="n">
        <v>0</v>
      </c>
      <c r="I924" t="n">
        <v>0</v>
      </c>
      <c r="J924" t="n">
        <v>0</v>
      </c>
      <c r="K924" t="n">
        <v>0</v>
      </c>
      <c r="L924" t="n">
        <v>0</v>
      </c>
      <c r="M924" t="n">
        <v>0</v>
      </c>
      <c r="N924" t="n">
        <v>0</v>
      </c>
      <c r="O924" t="n">
        <v>0</v>
      </c>
      <c r="P924" t="n">
        <v>0</v>
      </c>
      <c r="Q924" t="n">
        <v>0</v>
      </c>
      <c r="R924" s="2" t="inlineStr"/>
    </row>
    <row r="925" ht="15" customHeight="1">
      <c r="A925" t="inlineStr">
        <is>
          <t>A 65053-2018</t>
        </is>
      </c>
      <c r="B925" s="1" t="n">
        <v>43432</v>
      </c>
      <c r="C925" s="1" t="n">
        <v>45353</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65127-2018</t>
        </is>
      </c>
      <c r="B926" s="1" t="n">
        <v>43432</v>
      </c>
      <c r="C926" s="1" t="n">
        <v>45353</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67238-2018</t>
        </is>
      </c>
      <c r="B927" s="1" t="n">
        <v>43432</v>
      </c>
      <c r="C927" s="1" t="n">
        <v>45353</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65643-2018</t>
        </is>
      </c>
      <c r="B928" s="1" t="n">
        <v>43433</v>
      </c>
      <c r="C928" s="1" t="n">
        <v>45353</v>
      </c>
      <c r="D928" t="inlineStr">
        <is>
          <t>VÄRMLANDS LÄN</t>
        </is>
      </c>
      <c r="E928" t="inlineStr">
        <is>
          <t>SUNNE</t>
        </is>
      </c>
      <c r="G928" t="n">
        <v>10.3</v>
      </c>
      <c r="H928" t="n">
        <v>0</v>
      </c>
      <c r="I928" t="n">
        <v>0</v>
      </c>
      <c r="J928" t="n">
        <v>0</v>
      </c>
      <c r="K928" t="n">
        <v>0</v>
      </c>
      <c r="L928" t="n">
        <v>0</v>
      </c>
      <c r="M928" t="n">
        <v>0</v>
      </c>
      <c r="N928" t="n">
        <v>0</v>
      </c>
      <c r="O928" t="n">
        <v>0</v>
      </c>
      <c r="P928" t="n">
        <v>0</v>
      </c>
      <c r="Q928" t="n">
        <v>0</v>
      </c>
      <c r="R928" s="2" t="inlineStr"/>
    </row>
    <row r="929" ht="15" customHeight="1">
      <c r="A929" t="inlineStr">
        <is>
          <t>A 65705-2018</t>
        </is>
      </c>
      <c r="B929" s="1" t="n">
        <v>43433</v>
      </c>
      <c r="C929" s="1" t="n">
        <v>45353</v>
      </c>
      <c r="D929" t="inlineStr">
        <is>
          <t>VÄRMLANDS LÄN</t>
        </is>
      </c>
      <c r="E929" t="inlineStr">
        <is>
          <t>TORSBY</t>
        </is>
      </c>
      <c r="F929" t="inlineStr">
        <is>
          <t>Bergvik skog väst AB</t>
        </is>
      </c>
      <c r="G929" t="n">
        <v>2.3</v>
      </c>
      <c r="H929" t="n">
        <v>0</v>
      </c>
      <c r="I929" t="n">
        <v>0</v>
      </c>
      <c r="J929" t="n">
        <v>0</v>
      </c>
      <c r="K929" t="n">
        <v>0</v>
      </c>
      <c r="L929" t="n">
        <v>0</v>
      </c>
      <c r="M929" t="n">
        <v>0</v>
      </c>
      <c r="N929" t="n">
        <v>0</v>
      </c>
      <c r="O929" t="n">
        <v>0</v>
      </c>
      <c r="P929" t="n">
        <v>0</v>
      </c>
      <c r="Q929" t="n">
        <v>0</v>
      </c>
      <c r="R929" s="2" t="inlineStr"/>
    </row>
    <row r="930" ht="15" customHeight="1">
      <c r="A930" t="inlineStr">
        <is>
          <t>A 65517-2018</t>
        </is>
      </c>
      <c r="B930" s="1" t="n">
        <v>43433</v>
      </c>
      <c r="C930" s="1" t="n">
        <v>45353</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65731-2018</t>
        </is>
      </c>
      <c r="B931" s="1" t="n">
        <v>43433</v>
      </c>
      <c r="C931" s="1" t="n">
        <v>45353</v>
      </c>
      <c r="D931" t="inlineStr">
        <is>
          <t>VÄRMLANDS LÄN</t>
        </is>
      </c>
      <c r="E931" t="inlineStr">
        <is>
          <t>SUNNE</t>
        </is>
      </c>
      <c r="G931" t="n">
        <v>1.6</v>
      </c>
      <c r="H931" t="n">
        <v>0</v>
      </c>
      <c r="I931" t="n">
        <v>0</v>
      </c>
      <c r="J931" t="n">
        <v>0</v>
      </c>
      <c r="K931" t="n">
        <v>0</v>
      </c>
      <c r="L931" t="n">
        <v>0</v>
      </c>
      <c r="M931" t="n">
        <v>0</v>
      </c>
      <c r="N931" t="n">
        <v>0</v>
      </c>
      <c r="O931" t="n">
        <v>0</v>
      </c>
      <c r="P931" t="n">
        <v>0</v>
      </c>
      <c r="Q931" t="n">
        <v>0</v>
      </c>
      <c r="R931" s="2" t="inlineStr"/>
    </row>
    <row r="932" ht="15" customHeight="1">
      <c r="A932" t="inlineStr">
        <is>
          <t>A 67685-2018</t>
        </is>
      </c>
      <c r="B932" s="1" t="n">
        <v>43433</v>
      </c>
      <c r="C932" s="1" t="n">
        <v>45353</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65628-2018</t>
        </is>
      </c>
      <c r="B933" s="1" t="n">
        <v>43433</v>
      </c>
      <c r="C933" s="1" t="n">
        <v>45353</v>
      </c>
      <c r="D933" t="inlineStr">
        <is>
          <t>VÄRMLANDS LÄN</t>
        </is>
      </c>
      <c r="E933" t="inlineStr">
        <is>
          <t>SUNNE</t>
        </is>
      </c>
      <c r="G933" t="n">
        <v>7.5</v>
      </c>
      <c r="H933" t="n">
        <v>0</v>
      </c>
      <c r="I933" t="n">
        <v>0</v>
      </c>
      <c r="J933" t="n">
        <v>0</v>
      </c>
      <c r="K933" t="n">
        <v>0</v>
      </c>
      <c r="L933" t="n">
        <v>0</v>
      </c>
      <c r="M933" t="n">
        <v>0</v>
      </c>
      <c r="N933" t="n">
        <v>0</v>
      </c>
      <c r="O933" t="n">
        <v>0</v>
      </c>
      <c r="P933" t="n">
        <v>0</v>
      </c>
      <c r="Q933" t="n">
        <v>0</v>
      </c>
      <c r="R933" s="2" t="inlineStr"/>
    </row>
    <row r="934" ht="15" customHeight="1">
      <c r="A934" t="inlineStr">
        <is>
          <t>A 65618-2018</t>
        </is>
      </c>
      <c r="B934" s="1" t="n">
        <v>43433</v>
      </c>
      <c r="C934" s="1" t="n">
        <v>45353</v>
      </c>
      <c r="D934" t="inlineStr">
        <is>
          <t>VÄRMLANDS LÄN</t>
        </is>
      </c>
      <c r="E934" t="inlineStr">
        <is>
          <t>SUNNE</t>
        </is>
      </c>
      <c r="G934" t="n">
        <v>1.3</v>
      </c>
      <c r="H934" t="n">
        <v>0</v>
      </c>
      <c r="I934" t="n">
        <v>0</v>
      </c>
      <c r="J934" t="n">
        <v>0</v>
      </c>
      <c r="K934" t="n">
        <v>0</v>
      </c>
      <c r="L934" t="n">
        <v>0</v>
      </c>
      <c r="M934" t="n">
        <v>0</v>
      </c>
      <c r="N934" t="n">
        <v>0</v>
      </c>
      <c r="O934" t="n">
        <v>0</v>
      </c>
      <c r="P934" t="n">
        <v>0</v>
      </c>
      <c r="Q934" t="n">
        <v>0</v>
      </c>
      <c r="R934" s="2" t="inlineStr"/>
    </row>
    <row r="935" ht="15" customHeight="1">
      <c r="A935" t="inlineStr">
        <is>
          <t>A 65612-2018</t>
        </is>
      </c>
      <c r="B935" s="1" t="n">
        <v>43433</v>
      </c>
      <c r="C935" s="1" t="n">
        <v>45353</v>
      </c>
      <c r="D935" t="inlineStr">
        <is>
          <t>VÄRMLANDS LÄN</t>
        </is>
      </c>
      <c r="E935" t="inlineStr">
        <is>
          <t>SUNNE</t>
        </is>
      </c>
      <c r="G935" t="n">
        <v>0.6</v>
      </c>
      <c r="H935" t="n">
        <v>0</v>
      </c>
      <c r="I935" t="n">
        <v>0</v>
      </c>
      <c r="J935" t="n">
        <v>0</v>
      </c>
      <c r="K935" t="n">
        <v>0</v>
      </c>
      <c r="L935" t="n">
        <v>0</v>
      </c>
      <c r="M935" t="n">
        <v>0</v>
      </c>
      <c r="N935" t="n">
        <v>0</v>
      </c>
      <c r="O935" t="n">
        <v>0</v>
      </c>
      <c r="P935" t="n">
        <v>0</v>
      </c>
      <c r="Q935" t="n">
        <v>0</v>
      </c>
      <c r="R935" s="2" t="inlineStr"/>
    </row>
    <row r="936" ht="15" customHeight="1">
      <c r="A936" t="inlineStr">
        <is>
          <t>A 65662-2018</t>
        </is>
      </c>
      <c r="B936" s="1" t="n">
        <v>43433</v>
      </c>
      <c r="C936" s="1" t="n">
        <v>45353</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65599-2018</t>
        </is>
      </c>
      <c r="B937" s="1" t="n">
        <v>43433</v>
      </c>
      <c r="C937" s="1" t="n">
        <v>45353</v>
      </c>
      <c r="D937" t="inlineStr">
        <is>
          <t>VÄRMLANDS LÄN</t>
        </is>
      </c>
      <c r="E937" t="inlineStr">
        <is>
          <t>SUNNE</t>
        </is>
      </c>
      <c r="G937" t="n">
        <v>2.9</v>
      </c>
      <c r="H937" t="n">
        <v>0</v>
      </c>
      <c r="I937" t="n">
        <v>0</v>
      </c>
      <c r="J937" t="n">
        <v>0</v>
      </c>
      <c r="K937" t="n">
        <v>0</v>
      </c>
      <c r="L937" t="n">
        <v>0</v>
      </c>
      <c r="M937" t="n">
        <v>0</v>
      </c>
      <c r="N937" t="n">
        <v>0</v>
      </c>
      <c r="O937" t="n">
        <v>0</v>
      </c>
      <c r="P937" t="n">
        <v>0</v>
      </c>
      <c r="Q937" t="n">
        <v>0</v>
      </c>
      <c r="R937" s="2" t="inlineStr"/>
    </row>
    <row r="938" ht="15" customHeight="1">
      <c r="A938" t="inlineStr">
        <is>
          <t>A 65743-2018</t>
        </is>
      </c>
      <c r="B938" s="1" t="n">
        <v>43433</v>
      </c>
      <c r="C938" s="1" t="n">
        <v>45353</v>
      </c>
      <c r="D938" t="inlineStr">
        <is>
          <t>VÄRMLANDS LÄN</t>
        </is>
      </c>
      <c r="E938" t="inlineStr">
        <is>
          <t>TORSBY</t>
        </is>
      </c>
      <c r="G938" t="n">
        <v>5</v>
      </c>
      <c r="H938" t="n">
        <v>0</v>
      </c>
      <c r="I938" t="n">
        <v>0</v>
      </c>
      <c r="J938" t="n">
        <v>0</v>
      </c>
      <c r="K938" t="n">
        <v>0</v>
      </c>
      <c r="L938" t="n">
        <v>0</v>
      </c>
      <c r="M938" t="n">
        <v>0</v>
      </c>
      <c r="N938" t="n">
        <v>0</v>
      </c>
      <c r="O938" t="n">
        <v>0</v>
      </c>
      <c r="P938" t="n">
        <v>0</v>
      </c>
      <c r="Q938" t="n">
        <v>0</v>
      </c>
      <c r="R938" s="2" t="inlineStr"/>
    </row>
    <row r="939" ht="15" customHeight="1">
      <c r="A939" t="inlineStr">
        <is>
          <t>A 65639-2018</t>
        </is>
      </c>
      <c r="B939" s="1" t="n">
        <v>43433</v>
      </c>
      <c r="C939" s="1" t="n">
        <v>45353</v>
      </c>
      <c r="D939" t="inlineStr">
        <is>
          <t>VÄRMLANDS LÄN</t>
        </is>
      </c>
      <c r="E939" t="inlineStr">
        <is>
          <t>SUNNE</t>
        </is>
      </c>
      <c r="G939" t="n">
        <v>7.9</v>
      </c>
      <c r="H939" t="n">
        <v>0</v>
      </c>
      <c r="I939" t="n">
        <v>0</v>
      </c>
      <c r="J939" t="n">
        <v>0</v>
      </c>
      <c r="K939" t="n">
        <v>0</v>
      </c>
      <c r="L939" t="n">
        <v>0</v>
      </c>
      <c r="M939" t="n">
        <v>0</v>
      </c>
      <c r="N939" t="n">
        <v>0</v>
      </c>
      <c r="O939" t="n">
        <v>0</v>
      </c>
      <c r="P939" t="n">
        <v>0</v>
      </c>
      <c r="Q939" t="n">
        <v>0</v>
      </c>
      <c r="R939" s="2" t="inlineStr"/>
    </row>
    <row r="940" ht="15" customHeight="1">
      <c r="A940" t="inlineStr">
        <is>
          <t>A 65605-2018</t>
        </is>
      </c>
      <c r="B940" s="1" t="n">
        <v>43433</v>
      </c>
      <c r="C940" s="1" t="n">
        <v>45353</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65523-2018</t>
        </is>
      </c>
      <c r="B941" s="1" t="n">
        <v>43433</v>
      </c>
      <c r="C941" s="1" t="n">
        <v>45353</v>
      </c>
      <c r="D941" t="inlineStr">
        <is>
          <t>VÄRMLANDS LÄN</t>
        </is>
      </c>
      <c r="E941" t="inlineStr">
        <is>
          <t>KIL</t>
        </is>
      </c>
      <c r="G941" t="n">
        <v>0.7</v>
      </c>
      <c r="H941" t="n">
        <v>0</v>
      </c>
      <c r="I941" t="n">
        <v>0</v>
      </c>
      <c r="J941" t="n">
        <v>0</v>
      </c>
      <c r="K941" t="n">
        <v>0</v>
      </c>
      <c r="L941" t="n">
        <v>0</v>
      </c>
      <c r="M941" t="n">
        <v>0</v>
      </c>
      <c r="N941" t="n">
        <v>0</v>
      </c>
      <c r="O941" t="n">
        <v>0</v>
      </c>
      <c r="P941" t="n">
        <v>0</v>
      </c>
      <c r="Q941" t="n">
        <v>0</v>
      </c>
      <c r="R941" s="2" t="inlineStr"/>
    </row>
    <row r="942" ht="15" customHeight="1">
      <c r="A942" t="inlineStr">
        <is>
          <t>A 65970-2018</t>
        </is>
      </c>
      <c r="B942" s="1" t="n">
        <v>43434</v>
      </c>
      <c r="C942" s="1" t="n">
        <v>45353</v>
      </c>
      <c r="D942" t="inlineStr">
        <is>
          <t>VÄRMLANDS LÄN</t>
        </is>
      </c>
      <c r="E942" t="inlineStr">
        <is>
          <t>SÄFFLE</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65890-2018</t>
        </is>
      </c>
      <c r="B943" s="1" t="n">
        <v>43434</v>
      </c>
      <c r="C943" s="1" t="n">
        <v>45353</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65969-2018</t>
        </is>
      </c>
      <c r="B944" s="1" t="n">
        <v>43434</v>
      </c>
      <c r="C944" s="1" t="n">
        <v>45353</v>
      </c>
      <c r="D944" t="inlineStr">
        <is>
          <t>VÄRMLANDS LÄN</t>
        </is>
      </c>
      <c r="E944" t="inlineStr">
        <is>
          <t>TORSBY</t>
        </is>
      </c>
      <c r="F944" t="inlineStr">
        <is>
          <t>Kommuner</t>
        </is>
      </c>
      <c r="G944" t="n">
        <v>1.5</v>
      </c>
      <c r="H944" t="n">
        <v>0</v>
      </c>
      <c r="I944" t="n">
        <v>0</v>
      </c>
      <c r="J944" t="n">
        <v>0</v>
      </c>
      <c r="K944" t="n">
        <v>0</v>
      </c>
      <c r="L944" t="n">
        <v>0</v>
      </c>
      <c r="M944" t="n">
        <v>0</v>
      </c>
      <c r="N944" t="n">
        <v>0</v>
      </c>
      <c r="O944" t="n">
        <v>0</v>
      </c>
      <c r="P944" t="n">
        <v>0</v>
      </c>
      <c r="Q944" t="n">
        <v>0</v>
      </c>
      <c r="R944" s="2" t="inlineStr"/>
    </row>
    <row r="945" ht="15" customHeight="1">
      <c r="A945" t="inlineStr">
        <is>
          <t>A 66135-2018</t>
        </is>
      </c>
      <c r="B945" s="1" t="n">
        <v>43434</v>
      </c>
      <c r="C945" s="1" t="n">
        <v>45353</v>
      </c>
      <c r="D945" t="inlineStr">
        <is>
          <t>VÄRMLANDS LÄN</t>
        </is>
      </c>
      <c r="E945" t="inlineStr">
        <is>
          <t>ARVIKA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66160-2018</t>
        </is>
      </c>
      <c r="B946" s="1" t="n">
        <v>43434</v>
      </c>
      <c r="C946" s="1" t="n">
        <v>45353</v>
      </c>
      <c r="D946" t="inlineStr">
        <is>
          <t>VÄRMLANDS LÄN</t>
        </is>
      </c>
      <c r="E946" t="inlineStr">
        <is>
          <t>KARLSTAD</t>
        </is>
      </c>
      <c r="G946" t="n">
        <v>1.6</v>
      </c>
      <c r="H946" t="n">
        <v>0</v>
      </c>
      <c r="I946" t="n">
        <v>0</v>
      </c>
      <c r="J946" t="n">
        <v>0</v>
      </c>
      <c r="K946" t="n">
        <v>0</v>
      </c>
      <c r="L946" t="n">
        <v>0</v>
      </c>
      <c r="M946" t="n">
        <v>0</v>
      </c>
      <c r="N946" t="n">
        <v>0</v>
      </c>
      <c r="O946" t="n">
        <v>0</v>
      </c>
      <c r="P946" t="n">
        <v>0</v>
      </c>
      <c r="Q946" t="n">
        <v>0</v>
      </c>
      <c r="R946" s="2" t="inlineStr"/>
    </row>
    <row r="947" ht="15" customHeight="1">
      <c r="A947" t="inlineStr">
        <is>
          <t>A 66098-2018</t>
        </is>
      </c>
      <c r="B947" s="1" t="n">
        <v>43434</v>
      </c>
      <c r="C947" s="1" t="n">
        <v>45353</v>
      </c>
      <c r="D947" t="inlineStr">
        <is>
          <t>VÄRMLANDS LÄN</t>
        </is>
      </c>
      <c r="E947" t="inlineStr">
        <is>
          <t>STORFORS</t>
        </is>
      </c>
      <c r="F947" t="inlineStr">
        <is>
          <t>Bergvik skog väst AB</t>
        </is>
      </c>
      <c r="G947" t="n">
        <v>42.6</v>
      </c>
      <c r="H947" t="n">
        <v>0</v>
      </c>
      <c r="I947" t="n">
        <v>0</v>
      </c>
      <c r="J947" t="n">
        <v>0</v>
      </c>
      <c r="K947" t="n">
        <v>0</v>
      </c>
      <c r="L947" t="n">
        <v>0</v>
      </c>
      <c r="M947" t="n">
        <v>0</v>
      </c>
      <c r="N947" t="n">
        <v>0</v>
      </c>
      <c r="O947" t="n">
        <v>0</v>
      </c>
      <c r="P947" t="n">
        <v>0</v>
      </c>
      <c r="Q947" t="n">
        <v>0</v>
      </c>
      <c r="R947" s="2" t="inlineStr"/>
    </row>
    <row r="948" ht="15" customHeight="1">
      <c r="A948" t="inlineStr">
        <is>
          <t>A 66153-2018</t>
        </is>
      </c>
      <c r="B948" s="1" t="n">
        <v>43434</v>
      </c>
      <c r="C948" s="1" t="n">
        <v>45353</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66034-2018</t>
        </is>
      </c>
      <c r="B949" s="1" t="n">
        <v>43434</v>
      </c>
      <c r="C949" s="1" t="n">
        <v>45353</v>
      </c>
      <c r="D949" t="inlineStr">
        <is>
          <t>VÄRMLANDS LÄN</t>
        </is>
      </c>
      <c r="E949" t="inlineStr">
        <is>
          <t>EDA</t>
        </is>
      </c>
      <c r="G949" t="n">
        <v>1.8</v>
      </c>
      <c r="H949" t="n">
        <v>0</v>
      </c>
      <c r="I949" t="n">
        <v>0</v>
      </c>
      <c r="J949" t="n">
        <v>0</v>
      </c>
      <c r="K949" t="n">
        <v>0</v>
      </c>
      <c r="L949" t="n">
        <v>0</v>
      </c>
      <c r="M949" t="n">
        <v>0</v>
      </c>
      <c r="N949" t="n">
        <v>0</v>
      </c>
      <c r="O949" t="n">
        <v>0</v>
      </c>
      <c r="P949" t="n">
        <v>0</v>
      </c>
      <c r="Q949" t="n">
        <v>0</v>
      </c>
      <c r="R949" s="2" t="inlineStr"/>
    </row>
    <row r="950" ht="15" customHeight="1">
      <c r="A950" t="inlineStr">
        <is>
          <t>A 66391-2018</t>
        </is>
      </c>
      <c r="B950" s="1" t="n">
        <v>43436</v>
      </c>
      <c r="C950" s="1" t="n">
        <v>45353</v>
      </c>
      <c r="D950" t="inlineStr">
        <is>
          <t>VÄRMLANDS LÄN</t>
        </is>
      </c>
      <c r="E950" t="inlineStr">
        <is>
          <t>ARVIKA</t>
        </is>
      </c>
      <c r="G950" t="n">
        <v>4</v>
      </c>
      <c r="H950" t="n">
        <v>0</v>
      </c>
      <c r="I950" t="n">
        <v>0</v>
      </c>
      <c r="J950" t="n">
        <v>0</v>
      </c>
      <c r="K950" t="n">
        <v>0</v>
      </c>
      <c r="L950" t="n">
        <v>0</v>
      </c>
      <c r="M950" t="n">
        <v>0</v>
      </c>
      <c r="N950" t="n">
        <v>0</v>
      </c>
      <c r="O950" t="n">
        <v>0</v>
      </c>
      <c r="P950" t="n">
        <v>0</v>
      </c>
      <c r="Q950" t="n">
        <v>0</v>
      </c>
      <c r="R950" s="2" t="inlineStr"/>
    </row>
    <row r="951" ht="15" customHeight="1">
      <c r="A951" t="inlineStr">
        <is>
          <t>A 66583-2018</t>
        </is>
      </c>
      <c r="B951" s="1" t="n">
        <v>43437</v>
      </c>
      <c r="C951" s="1" t="n">
        <v>45353</v>
      </c>
      <c r="D951" t="inlineStr">
        <is>
          <t>VÄRMLANDS LÄN</t>
        </is>
      </c>
      <c r="E951" t="inlineStr">
        <is>
          <t>KRISTINEHAMN</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66586-2018</t>
        </is>
      </c>
      <c r="B952" s="1" t="n">
        <v>43437</v>
      </c>
      <c r="C952" s="1" t="n">
        <v>45353</v>
      </c>
      <c r="D952" t="inlineStr">
        <is>
          <t>VÄRMLANDS LÄN</t>
        </is>
      </c>
      <c r="E952" t="inlineStr">
        <is>
          <t>KRISTINEHAMN</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68142-2018</t>
        </is>
      </c>
      <c r="B953" s="1" t="n">
        <v>43437</v>
      </c>
      <c r="C953" s="1" t="n">
        <v>45353</v>
      </c>
      <c r="D953" t="inlineStr">
        <is>
          <t>VÄRMLANDS LÄN</t>
        </is>
      </c>
      <c r="E953" t="inlineStr">
        <is>
          <t>FORSHAGA</t>
        </is>
      </c>
      <c r="G953" t="n">
        <v>1.6</v>
      </c>
      <c r="H953" t="n">
        <v>0</v>
      </c>
      <c r="I953" t="n">
        <v>0</v>
      </c>
      <c r="J953" t="n">
        <v>0</v>
      </c>
      <c r="K953" t="n">
        <v>0</v>
      </c>
      <c r="L953" t="n">
        <v>0</v>
      </c>
      <c r="M953" t="n">
        <v>0</v>
      </c>
      <c r="N953" t="n">
        <v>0</v>
      </c>
      <c r="O953" t="n">
        <v>0</v>
      </c>
      <c r="P953" t="n">
        <v>0</v>
      </c>
      <c r="Q953" t="n">
        <v>0</v>
      </c>
      <c r="R953" s="2" t="inlineStr"/>
    </row>
    <row r="954" ht="15" customHeight="1">
      <c r="A954" t="inlineStr">
        <is>
          <t>A 66606-2018</t>
        </is>
      </c>
      <c r="B954" s="1" t="n">
        <v>43437</v>
      </c>
      <c r="C954" s="1" t="n">
        <v>45353</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66527-2018</t>
        </is>
      </c>
      <c r="B955" s="1" t="n">
        <v>43437</v>
      </c>
      <c r="C955" s="1" t="n">
        <v>45353</v>
      </c>
      <c r="D955" t="inlineStr">
        <is>
          <t>VÄRMLANDS LÄN</t>
        </is>
      </c>
      <c r="E955" t="inlineStr">
        <is>
          <t>ARVIKA</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66785-2018</t>
        </is>
      </c>
      <c r="B956" s="1" t="n">
        <v>43437</v>
      </c>
      <c r="C956" s="1" t="n">
        <v>45353</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68229-2018</t>
        </is>
      </c>
      <c r="B957" s="1" t="n">
        <v>43437</v>
      </c>
      <c r="C957" s="1" t="n">
        <v>45353</v>
      </c>
      <c r="D957" t="inlineStr">
        <is>
          <t>VÄRMLANDS LÄN</t>
        </is>
      </c>
      <c r="E957" t="inlineStr">
        <is>
          <t>HAGFORS</t>
        </is>
      </c>
      <c r="F957" t="inlineStr">
        <is>
          <t>Kyrkan</t>
        </is>
      </c>
      <c r="G957" t="n">
        <v>6.8</v>
      </c>
      <c r="H957" t="n">
        <v>0</v>
      </c>
      <c r="I957" t="n">
        <v>0</v>
      </c>
      <c r="J957" t="n">
        <v>0</v>
      </c>
      <c r="K957" t="n">
        <v>0</v>
      </c>
      <c r="L957" t="n">
        <v>0</v>
      </c>
      <c r="M957" t="n">
        <v>0</v>
      </c>
      <c r="N957" t="n">
        <v>0</v>
      </c>
      <c r="O957" t="n">
        <v>0</v>
      </c>
      <c r="P957" t="n">
        <v>0</v>
      </c>
      <c r="Q957" t="n">
        <v>0</v>
      </c>
      <c r="R957" s="2" t="inlineStr"/>
    </row>
    <row r="958" ht="15" customHeight="1">
      <c r="A958" t="inlineStr">
        <is>
          <t>A 66689-2018</t>
        </is>
      </c>
      <c r="B958" s="1" t="n">
        <v>43437</v>
      </c>
      <c r="C958" s="1" t="n">
        <v>45353</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66784-2018</t>
        </is>
      </c>
      <c r="B959" s="1" t="n">
        <v>43437</v>
      </c>
      <c r="C959" s="1" t="n">
        <v>45353</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68214-2018</t>
        </is>
      </c>
      <c r="B960" s="1" t="n">
        <v>43437</v>
      </c>
      <c r="C960" s="1" t="n">
        <v>45353</v>
      </c>
      <c r="D960" t="inlineStr">
        <is>
          <t>VÄRMLANDS LÄN</t>
        </is>
      </c>
      <c r="E960" t="inlineStr">
        <is>
          <t>KARLSTAD</t>
        </is>
      </c>
      <c r="G960" t="n">
        <v>1.4</v>
      </c>
      <c r="H960" t="n">
        <v>0</v>
      </c>
      <c r="I960" t="n">
        <v>0</v>
      </c>
      <c r="J960" t="n">
        <v>0</v>
      </c>
      <c r="K960" t="n">
        <v>0</v>
      </c>
      <c r="L960" t="n">
        <v>0</v>
      </c>
      <c r="M960" t="n">
        <v>0</v>
      </c>
      <c r="N960" t="n">
        <v>0</v>
      </c>
      <c r="O960" t="n">
        <v>0</v>
      </c>
      <c r="P960" t="n">
        <v>0</v>
      </c>
      <c r="Q960" t="n">
        <v>0</v>
      </c>
      <c r="R960" s="2" t="inlineStr"/>
    </row>
    <row r="961" ht="15" customHeight="1">
      <c r="A961" t="inlineStr">
        <is>
          <t>A 66420-2018</t>
        </is>
      </c>
      <c r="B961" s="1" t="n">
        <v>43437</v>
      </c>
      <c r="C961" s="1" t="n">
        <v>45353</v>
      </c>
      <c r="D961" t="inlineStr">
        <is>
          <t>VÄRMLANDS LÄN</t>
        </is>
      </c>
      <c r="E961" t="inlineStr">
        <is>
          <t>ARVIKA</t>
        </is>
      </c>
      <c r="G961" t="n">
        <v>0.6</v>
      </c>
      <c r="H961" t="n">
        <v>0</v>
      </c>
      <c r="I961" t="n">
        <v>0</v>
      </c>
      <c r="J961" t="n">
        <v>0</v>
      </c>
      <c r="K961" t="n">
        <v>0</v>
      </c>
      <c r="L961" t="n">
        <v>0</v>
      </c>
      <c r="M961" t="n">
        <v>0</v>
      </c>
      <c r="N961" t="n">
        <v>0</v>
      </c>
      <c r="O961" t="n">
        <v>0</v>
      </c>
      <c r="P961" t="n">
        <v>0</v>
      </c>
      <c r="Q961" t="n">
        <v>0</v>
      </c>
      <c r="R961" s="2" t="inlineStr"/>
    </row>
    <row r="962" ht="15" customHeight="1">
      <c r="A962" t="inlineStr">
        <is>
          <t>A 66407-2018</t>
        </is>
      </c>
      <c r="B962" s="1" t="n">
        <v>43437</v>
      </c>
      <c r="C962" s="1" t="n">
        <v>45353</v>
      </c>
      <c r="D962" t="inlineStr">
        <is>
          <t>VÄRMLANDS LÄN</t>
        </is>
      </c>
      <c r="E962" t="inlineStr">
        <is>
          <t>STORFORS</t>
        </is>
      </c>
      <c r="F962" t="inlineStr">
        <is>
          <t>Bergvik skog väst AB</t>
        </is>
      </c>
      <c r="G962" t="n">
        <v>34.7</v>
      </c>
      <c r="H962" t="n">
        <v>0</v>
      </c>
      <c r="I962" t="n">
        <v>0</v>
      </c>
      <c r="J962" t="n">
        <v>0</v>
      </c>
      <c r="K962" t="n">
        <v>0</v>
      </c>
      <c r="L962" t="n">
        <v>0</v>
      </c>
      <c r="M962" t="n">
        <v>0</v>
      </c>
      <c r="N962" t="n">
        <v>0</v>
      </c>
      <c r="O962" t="n">
        <v>0</v>
      </c>
      <c r="P962" t="n">
        <v>0</v>
      </c>
      <c r="Q962" t="n">
        <v>0</v>
      </c>
      <c r="R962" s="2" t="inlineStr"/>
    </row>
    <row r="963" ht="15" customHeight="1">
      <c r="A963" t="inlineStr">
        <is>
          <t>A 68121-2018</t>
        </is>
      </c>
      <c r="B963" s="1" t="n">
        <v>43437</v>
      </c>
      <c r="C963" s="1" t="n">
        <v>45353</v>
      </c>
      <c r="D963" t="inlineStr">
        <is>
          <t>VÄRMLANDS LÄN</t>
        </is>
      </c>
      <c r="E963" t="inlineStr">
        <is>
          <t>FORSHAGA</t>
        </is>
      </c>
      <c r="G963" t="n">
        <v>3.3</v>
      </c>
      <c r="H963" t="n">
        <v>0</v>
      </c>
      <c r="I963" t="n">
        <v>0</v>
      </c>
      <c r="J963" t="n">
        <v>0</v>
      </c>
      <c r="K963" t="n">
        <v>0</v>
      </c>
      <c r="L963" t="n">
        <v>0</v>
      </c>
      <c r="M963" t="n">
        <v>0</v>
      </c>
      <c r="N963" t="n">
        <v>0</v>
      </c>
      <c r="O963" t="n">
        <v>0</v>
      </c>
      <c r="P963" t="n">
        <v>0</v>
      </c>
      <c r="Q963" t="n">
        <v>0</v>
      </c>
      <c r="R963" s="2" t="inlineStr"/>
    </row>
    <row r="964" ht="15" customHeight="1">
      <c r="A964" t="inlineStr">
        <is>
          <t>A 68053-2018</t>
        </is>
      </c>
      <c r="B964" s="1" t="n">
        <v>43437</v>
      </c>
      <c r="C964" s="1" t="n">
        <v>45353</v>
      </c>
      <c r="D964" t="inlineStr">
        <is>
          <t>VÄRMLANDS LÄN</t>
        </is>
      </c>
      <c r="E964" t="inlineStr">
        <is>
          <t>SÄFFLE</t>
        </is>
      </c>
      <c r="G964" t="n">
        <v>1.6</v>
      </c>
      <c r="H964" t="n">
        <v>0</v>
      </c>
      <c r="I964" t="n">
        <v>0</v>
      </c>
      <c r="J964" t="n">
        <v>0</v>
      </c>
      <c r="K964" t="n">
        <v>0</v>
      </c>
      <c r="L964" t="n">
        <v>0</v>
      </c>
      <c r="M964" t="n">
        <v>0</v>
      </c>
      <c r="N964" t="n">
        <v>0</v>
      </c>
      <c r="O964" t="n">
        <v>0</v>
      </c>
      <c r="P964" t="n">
        <v>0</v>
      </c>
      <c r="Q964" t="n">
        <v>0</v>
      </c>
      <c r="R964" s="2" t="inlineStr"/>
    </row>
    <row r="965" ht="15" customHeight="1">
      <c r="A965" t="inlineStr">
        <is>
          <t>A 66416-2018</t>
        </is>
      </c>
      <c r="B965" s="1" t="n">
        <v>43437</v>
      </c>
      <c r="C965" s="1" t="n">
        <v>45353</v>
      </c>
      <c r="D965" t="inlineStr">
        <is>
          <t>VÄRMLANDS LÄN</t>
        </is>
      </c>
      <c r="E965" t="inlineStr">
        <is>
          <t>ARVIKA</t>
        </is>
      </c>
      <c r="G965" t="n">
        <v>0.5</v>
      </c>
      <c r="H965" t="n">
        <v>0</v>
      </c>
      <c r="I965" t="n">
        <v>0</v>
      </c>
      <c r="J965" t="n">
        <v>0</v>
      </c>
      <c r="K965" t="n">
        <v>0</v>
      </c>
      <c r="L965" t="n">
        <v>0</v>
      </c>
      <c r="M965" t="n">
        <v>0</v>
      </c>
      <c r="N965" t="n">
        <v>0</v>
      </c>
      <c r="O965" t="n">
        <v>0</v>
      </c>
      <c r="P965" t="n">
        <v>0</v>
      </c>
      <c r="Q965" t="n">
        <v>0</v>
      </c>
      <c r="R965" s="2" t="inlineStr"/>
    </row>
    <row r="966" ht="15" customHeight="1">
      <c r="A966" t="inlineStr">
        <is>
          <t>A 66745-2018</t>
        </is>
      </c>
      <c r="B966" s="1" t="n">
        <v>43438</v>
      </c>
      <c r="C966" s="1" t="n">
        <v>45353</v>
      </c>
      <c r="D966" t="inlineStr">
        <is>
          <t>VÄRMLANDS LÄN</t>
        </is>
      </c>
      <c r="E966" t="inlineStr">
        <is>
          <t>ARVIKA</t>
        </is>
      </c>
      <c r="G966" t="n">
        <v>0.6</v>
      </c>
      <c r="H966" t="n">
        <v>0</v>
      </c>
      <c r="I966" t="n">
        <v>0</v>
      </c>
      <c r="J966" t="n">
        <v>0</v>
      </c>
      <c r="K966" t="n">
        <v>0</v>
      </c>
      <c r="L966" t="n">
        <v>0</v>
      </c>
      <c r="M966" t="n">
        <v>0</v>
      </c>
      <c r="N966" t="n">
        <v>0</v>
      </c>
      <c r="O966" t="n">
        <v>0</v>
      </c>
      <c r="P966" t="n">
        <v>0</v>
      </c>
      <c r="Q966" t="n">
        <v>0</v>
      </c>
      <c r="R966" s="2" t="inlineStr"/>
    </row>
    <row r="967" ht="15" customHeight="1">
      <c r="A967" t="inlineStr">
        <is>
          <t>A 66951-2018</t>
        </is>
      </c>
      <c r="B967" s="1" t="n">
        <v>43438</v>
      </c>
      <c r="C967" s="1" t="n">
        <v>45353</v>
      </c>
      <c r="D967" t="inlineStr">
        <is>
          <t>VÄRMLANDS LÄN</t>
        </is>
      </c>
      <c r="E967" t="inlineStr">
        <is>
          <t>FILIPSTAD</t>
        </is>
      </c>
      <c r="G967" t="n">
        <v>5.4</v>
      </c>
      <c r="H967" t="n">
        <v>0</v>
      </c>
      <c r="I967" t="n">
        <v>0</v>
      </c>
      <c r="J967" t="n">
        <v>0</v>
      </c>
      <c r="K967" t="n">
        <v>0</v>
      </c>
      <c r="L967" t="n">
        <v>0</v>
      </c>
      <c r="M967" t="n">
        <v>0</v>
      </c>
      <c r="N967" t="n">
        <v>0</v>
      </c>
      <c r="O967" t="n">
        <v>0</v>
      </c>
      <c r="P967" t="n">
        <v>0</v>
      </c>
      <c r="Q967" t="n">
        <v>0</v>
      </c>
      <c r="R967" s="2" t="inlineStr"/>
    </row>
    <row r="968" ht="15" customHeight="1">
      <c r="A968" t="inlineStr">
        <is>
          <t>A 66970-2018</t>
        </is>
      </c>
      <c r="B968" s="1" t="n">
        <v>43438</v>
      </c>
      <c r="C968" s="1" t="n">
        <v>45353</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67095-2018</t>
        </is>
      </c>
      <c r="B969" s="1" t="n">
        <v>43438</v>
      </c>
      <c r="C969" s="1" t="n">
        <v>45353</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66889-2018</t>
        </is>
      </c>
      <c r="B970" s="1" t="n">
        <v>43438</v>
      </c>
      <c r="C970" s="1" t="n">
        <v>45353</v>
      </c>
      <c r="D970" t="inlineStr">
        <is>
          <t>VÄRMLANDS LÄN</t>
        </is>
      </c>
      <c r="E970" t="inlineStr">
        <is>
          <t>HAGFORS</t>
        </is>
      </c>
      <c r="G970" t="n">
        <v>1</v>
      </c>
      <c r="H970" t="n">
        <v>0</v>
      </c>
      <c r="I970" t="n">
        <v>0</v>
      </c>
      <c r="J970" t="n">
        <v>0</v>
      </c>
      <c r="K970" t="n">
        <v>0</v>
      </c>
      <c r="L970" t="n">
        <v>0</v>
      </c>
      <c r="M970" t="n">
        <v>0</v>
      </c>
      <c r="N970" t="n">
        <v>0</v>
      </c>
      <c r="O970" t="n">
        <v>0</v>
      </c>
      <c r="P970" t="n">
        <v>0</v>
      </c>
      <c r="Q970" t="n">
        <v>0</v>
      </c>
      <c r="R970" s="2" t="inlineStr"/>
    </row>
    <row r="971" ht="15" customHeight="1">
      <c r="A971" t="inlineStr">
        <is>
          <t>A 67009-2018</t>
        </is>
      </c>
      <c r="B971" s="1" t="n">
        <v>43438</v>
      </c>
      <c r="C971" s="1" t="n">
        <v>45353</v>
      </c>
      <c r="D971" t="inlineStr">
        <is>
          <t>VÄRMLANDS LÄN</t>
        </is>
      </c>
      <c r="E971" t="inlineStr">
        <is>
          <t>ARVIKA</t>
        </is>
      </c>
      <c r="G971" t="n">
        <v>1</v>
      </c>
      <c r="H971" t="n">
        <v>0</v>
      </c>
      <c r="I971" t="n">
        <v>0</v>
      </c>
      <c r="J971" t="n">
        <v>0</v>
      </c>
      <c r="K971" t="n">
        <v>0</v>
      </c>
      <c r="L971" t="n">
        <v>0</v>
      </c>
      <c r="M971" t="n">
        <v>0</v>
      </c>
      <c r="N971" t="n">
        <v>0</v>
      </c>
      <c r="O971" t="n">
        <v>0</v>
      </c>
      <c r="P971" t="n">
        <v>0</v>
      </c>
      <c r="Q971" t="n">
        <v>0</v>
      </c>
      <c r="R971" s="2" t="inlineStr"/>
    </row>
    <row r="972" ht="15" customHeight="1">
      <c r="A972" t="inlineStr">
        <is>
          <t>A 66752-2018</t>
        </is>
      </c>
      <c r="B972" s="1" t="n">
        <v>43438</v>
      </c>
      <c r="C972" s="1" t="n">
        <v>45353</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67149-2018</t>
        </is>
      </c>
      <c r="B973" s="1" t="n">
        <v>43438</v>
      </c>
      <c r="C973" s="1" t="n">
        <v>45353</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67126-2018</t>
        </is>
      </c>
      <c r="B974" s="1" t="n">
        <v>43438</v>
      </c>
      <c r="C974" s="1" t="n">
        <v>45353</v>
      </c>
      <c r="D974" t="inlineStr">
        <is>
          <t>VÄRMLANDS LÄN</t>
        </is>
      </c>
      <c r="E974" t="inlineStr">
        <is>
          <t>HAGFORS</t>
        </is>
      </c>
      <c r="G974" t="n">
        <v>0.6</v>
      </c>
      <c r="H974" t="n">
        <v>0</v>
      </c>
      <c r="I974" t="n">
        <v>0</v>
      </c>
      <c r="J974" t="n">
        <v>0</v>
      </c>
      <c r="K974" t="n">
        <v>0</v>
      </c>
      <c r="L974" t="n">
        <v>0</v>
      </c>
      <c r="M974" t="n">
        <v>0</v>
      </c>
      <c r="N974" t="n">
        <v>0</v>
      </c>
      <c r="O974" t="n">
        <v>0</v>
      </c>
      <c r="P974" t="n">
        <v>0</v>
      </c>
      <c r="Q974" t="n">
        <v>0</v>
      </c>
      <c r="R974" s="2" t="inlineStr"/>
    </row>
    <row r="975" ht="15" customHeight="1">
      <c r="A975" t="inlineStr">
        <is>
          <t>A 66887-2018</t>
        </is>
      </c>
      <c r="B975" s="1" t="n">
        <v>43438</v>
      </c>
      <c r="C975" s="1" t="n">
        <v>45353</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67502-2018</t>
        </is>
      </c>
      <c r="B976" s="1" t="n">
        <v>43439</v>
      </c>
      <c r="C976" s="1" t="n">
        <v>45353</v>
      </c>
      <c r="D976" t="inlineStr">
        <is>
          <t>VÄRMLANDS LÄN</t>
        </is>
      </c>
      <c r="E976" t="inlineStr">
        <is>
          <t>HAMMARÖ</t>
        </is>
      </c>
      <c r="G976" t="n">
        <v>1.1</v>
      </c>
      <c r="H976" t="n">
        <v>0</v>
      </c>
      <c r="I976" t="n">
        <v>0</v>
      </c>
      <c r="J976" t="n">
        <v>0</v>
      </c>
      <c r="K976" t="n">
        <v>0</v>
      </c>
      <c r="L976" t="n">
        <v>0</v>
      </c>
      <c r="M976" t="n">
        <v>0</v>
      </c>
      <c r="N976" t="n">
        <v>0</v>
      </c>
      <c r="O976" t="n">
        <v>0</v>
      </c>
      <c r="P976" t="n">
        <v>0</v>
      </c>
      <c r="Q976" t="n">
        <v>0</v>
      </c>
      <c r="R976" s="2" t="inlineStr"/>
    </row>
    <row r="977" ht="15" customHeight="1">
      <c r="A977" t="inlineStr">
        <is>
          <t>A 68459-2018</t>
        </is>
      </c>
      <c r="B977" s="1" t="n">
        <v>43439</v>
      </c>
      <c r="C977" s="1" t="n">
        <v>45353</v>
      </c>
      <c r="D977" t="inlineStr">
        <is>
          <t>VÄRMLANDS LÄN</t>
        </is>
      </c>
      <c r="E977" t="inlineStr">
        <is>
          <t>SUNNE</t>
        </is>
      </c>
      <c r="G977" t="n">
        <v>1.5</v>
      </c>
      <c r="H977" t="n">
        <v>0</v>
      </c>
      <c r="I977" t="n">
        <v>0</v>
      </c>
      <c r="J977" t="n">
        <v>0</v>
      </c>
      <c r="K977" t="n">
        <v>0</v>
      </c>
      <c r="L977" t="n">
        <v>0</v>
      </c>
      <c r="M977" t="n">
        <v>0</v>
      </c>
      <c r="N977" t="n">
        <v>0</v>
      </c>
      <c r="O977" t="n">
        <v>0</v>
      </c>
      <c r="P977" t="n">
        <v>0</v>
      </c>
      <c r="Q977" t="n">
        <v>0</v>
      </c>
      <c r="R977" s="2" t="inlineStr"/>
    </row>
    <row r="978" ht="15" customHeight="1">
      <c r="A978" t="inlineStr">
        <is>
          <t>A 67441-2018</t>
        </is>
      </c>
      <c r="B978" s="1" t="n">
        <v>43439</v>
      </c>
      <c r="C978" s="1" t="n">
        <v>45353</v>
      </c>
      <c r="D978" t="inlineStr">
        <is>
          <t>VÄRMLANDS LÄN</t>
        </is>
      </c>
      <c r="E978" t="inlineStr">
        <is>
          <t>KIL</t>
        </is>
      </c>
      <c r="G978" t="n">
        <v>1.4</v>
      </c>
      <c r="H978" t="n">
        <v>0</v>
      </c>
      <c r="I978" t="n">
        <v>0</v>
      </c>
      <c r="J978" t="n">
        <v>0</v>
      </c>
      <c r="K978" t="n">
        <v>0</v>
      </c>
      <c r="L978" t="n">
        <v>0</v>
      </c>
      <c r="M978" t="n">
        <v>0</v>
      </c>
      <c r="N978" t="n">
        <v>0</v>
      </c>
      <c r="O978" t="n">
        <v>0</v>
      </c>
      <c r="P978" t="n">
        <v>0</v>
      </c>
      <c r="Q978" t="n">
        <v>0</v>
      </c>
      <c r="R978" s="2" t="inlineStr"/>
    </row>
    <row r="979" ht="15" customHeight="1">
      <c r="A979" t="inlineStr">
        <is>
          <t>A 68745-2018</t>
        </is>
      </c>
      <c r="B979" s="1" t="n">
        <v>43439</v>
      </c>
      <c r="C979" s="1" t="n">
        <v>45353</v>
      </c>
      <c r="D979" t="inlineStr">
        <is>
          <t>VÄRMLANDS LÄN</t>
        </is>
      </c>
      <c r="E979" t="inlineStr">
        <is>
          <t>KRISTINEHAMN</t>
        </is>
      </c>
      <c r="G979" t="n">
        <v>3.3</v>
      </c>
      <c r="H979" t="n">
        <v>0</v>
      </c>
      <c r="I979" t="n">
        <v>0</v>
      </c>
      <c r="J979" t="n">
        <v>0</v>
      </c>
      <c r="K979" t="n">
        <v>0</v>
      </c>
      <c r="L979" t="n">
        <v>0</v>
      </c>
      <c r="M979" t="n">
        <v>0</v>
      </c>
      <c r="N979" t="n">
        <v>0</v>
      </c>
      <c r="O979" t="n">
        <v>0</v>
      </c>
      <c r="P979" t="n">
        <v>0</v>
      </c>
      <c r="Q979" t="n">
        <v>0</v>
      </c>
      <c r="R979" s="2" t="inlineStr"/>
    </row>
    <row r="980" ht="15" customHeight="1">
      <c r="A980" t="inlineStr">
        <is>
          <t>A 67225-2018</t>
        </is>
      </c>
      <c r="B980" s="1" t="n">
        <v>43439</v>
      </c>
      <c r="C980" s="1" t="n">
        <v>45353</v>
      </c>
      <c r="D980" t="inlineStr">
        <is>
          <t>VÄRMLANDS LÄN</t>
        </is>
      </c>
      <c r="E980" t="inlineStr">
        <is>
          <t>SUNNE</t>
        </is>
      </c>
      <c r="G980" t="n">
        <v>3.9</v>
      </c>
      <c r="H980" t="n">
        <v>0</v>
      </c>
      <c r="I980" t="n">
        <v>0</v>
      </c>
      <c r="J980" t="n">
        <v>0</v>
      </c>
      <c r="K980" t="n">
        <v>0</v>
      </c>
      <c r="L980" t="n">
        <v>0</v>
      </c>
      <c r="M980" t="n">
        <v>0</v>
      </c>
      <c r="N980" t="n">
        <v>0</v>
      </c>
      <c r="O980" t="n">
        <v>0</v>
      </c>
      <c r="P980" t="n">
        <v>0</v>
      </c>
      <c r="Q980" t="n">
        <v>0</v>
      </c>
      <c r="R980" s="2" t="inlineStr"/>
    </row>
    <row r="981" ht="15" customHeight="1">
      <c r="A981" t="inlineStr">
        <is>
          <t>A 67206-2018</t>
        </is>
      </c>
      <c r="B981" s="1" t="n">
        <v>43439</v>
      </c>
      <c r="C981" s="1" t="n">
        <v>45353</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67229-2018</t>
        </is>
      </c>
      <c r="B982" s="1" t="n">
        <v>43439</v>
      </c>
      <c r="C982" s="1" t="n">
        <v>45353</v>
      </c>
      <c r="D982" t="inlineStr">
        <is>
          <t>VÄRMLANDS LÄN</t>
        </is>
      </c>
      <c r="E982" t="inlineStr">
        <is>
          <t>SUNNE</t>
        </is>
      </c>
      <c r="G982" t="n">
        <v>3.7</v>
      </c>
      <c r="H982" t="n">
        <v>0</v>
      </c>
      <c r="I982" t="n">
        <v>0</v>
      </c>
      <c r="J982" t="n">
        <v>0</v>
      </c>
      <c r="K982" t="n">
        <v>0</v>
      </c>
      <c r="L982" t="n">
        <v>0</v>
      </c>
      <c r="M982" t="n">
        <v>0</v>
      </c>
      <c r="N982" t="n">
        <v>0</v>
      </c>
      <c r="O982" t="n">
        <v>0</v>
      </c>
      <c r="P982" t="n">
        <v>0</v>
      </c>
      <c r="Q982" t="n">
        <v>0</v>
      </c>
      <c r="R982" s="2" t="inlineStr"/>
    </row>
    <row r="983" ht="15" customHeight="1">
      <c r="A983" t="inlineStr">
        <is>
          <t>A 67878-2018</t>
        </is>
      </c>
      <c r="B983" s="1" t="n">
        <v>43440</v>
      </c>
      <c r="C983" s="1" t="n">
        <v>45353</v>
      </c>
      <c r="D983" t="inlineStr">
        <is>
          <t>VÄRMLANDS LÄN</t>
        </is>
      </c>
      <c r="E983" t="inlineStr">
        <is>
          <t>TORSBY</t>
        </is>
      </c>
      <c r="F983" t="inlineStr">
        <is>
          <t>Bergvik skog väst AB</t>
        </is>
      </c>
      <c r="G983" t="n">
        <v>9.6</v>
      </c>
      <c r="H983" t="n">
        <v>0</v>
      </c>
      <c r="I983" t="n">
        <v>0</v>
      </c>
      <c r="J983" t="n">
        <v>0</v>
      </c>
      <c r="K983" t="n">
        <v>0</v>
      </c>
      <c r="L983" t="n">
        <v>0</v>
      </c>
      <c r="M983" t="n">
        <v>0</v>
      </c>
      <c r="N983" t="n">
        <v>0</v>
      </c>
      <c r="O983" t="n">
        <v>0</v>
      </c>
      <c r="P983" t="n">
        <v>0</v>
      </c>
      <c r="Q983" t="n">
        <v>0</v>
      </c>
      <c r="R983" s="2" t="inlineStr"/>
    </row>
    <row r="984" ht="15" customHeight="1">
      <c r="A984" t="inlineStr">
        <is>
          <t>A 67604-2018</t>
        </is>
      </c>
      <c r="B984" s="1" t="n">
        <v>43440</v>
      </c>
      <c r="C984" s="1" t="n">
        <v>45353</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67985-2018</t>
        </is>
      </c>
      <c r="B985" s="1" t="n">
        <v>43440</v>
      </c>
      <c r="C985" s="1" t="n">
        <v>45353</v>
      </c>
      <c r="D985" t="inlineStr">
        <is>
          <t>VÄRMLANDS LÄN</t>
        </is>
      </c>
      <c r="E985" t="inlineStr">
        <is>
          <t>ÅRJÄNG</t>
        </is>
      </c>
      <c r="G985" t="n">
        <v>6.1</v>
      </c>
      <c r="H985" t="n">
        <v>0</v>
      </c>
      <c r="I985" t="n">
        <v>0</v>
      </c>
      <c r="J985" t="n">
        <v>0</v>
      </c>
      <c r="K985" t="n">
        <v>0</v>
      </c>
      <c r="L985" t="n">
        <v>0</v>
      </c>
      <c r="M985" t="n">
        <v>0</v>
      </c>
      <c r="N985" t="n">
        <v>0</v>
      </c>
      <c r="O985" t="n">
        <v>0</v>
      </c>
      <c r="P985" t="n">
        <v>0</v>
      </c>
      <c r="Q985" t="n">
        <v>0</v>
      </c>
      <c r="R985" s="2" t="inlineStr"/>
    </row>
    <row r="986" ht="15" customHeight="1">
      <c r="A986" t="inlineStr">
        <is>
          <t>A 67775-2018</t>
        </is>
      </c>
      <c r="B986" s="1" t="n">
        <v>43440</v>
      </c>
      <c r="C986" s="1" t="n">
        <v>45353</v>
      </c>
      <c r="D986" t="inlineStr">
        <is>
          <t>VÄRMLANDS LÄN</t>
        </is>
      </c>
      <c r="E986" t="inlineStr">
        <is>
          <t>KARLSTAD</t>
        </is>
      </c>
      <c r="G986" t="n">
        <v>0.7</v>
      </c>
      <c r="H986" t="n">
        <v>0</v>
      </c>
      <c r="I986" t="n">
        <v>0</v>
      </c>
      <c r="J986" t="n">
        <v>0</v>
      </c>
      <c r="K986" t="n">
        <v>0</v>
      </c>
      <c r="L986" t="n">
        <v>0</v>
      </c>
      <c r="M986" t="n">
        <v>0</v>
      </c>
      <c r="N986" t="n">
        <v>0</v>
      </c>
      <c r="O986" t="n">
        <v>0</v>
      </c>
      <c r="P986" t="n">
        <v>0</v>
      </c>
      <c r="Q986" t="n">
        <v>0</v>
      </c>
      <c r="R986" s="2" t="inlineStr"/>
    </row>
    <row r="987" ht="15" customHeight="1">
      <c r="A987" t="inlineStr">
        <is>
          <t>A 67730-2018</t>
        </is>
      </c>
      <c r="B987" s="1" t="n">
        <v>43440</v>
      </c>
      <c r="C987" s="1" t="n">
        <v>45353</v>
      </c>
      <c r="D987" t="inlineStr">
        <is>
          <t>VÄRMLANDS LÄN</t>
        </is>
      </c>
      <c r="E987" t="inlineStr">
        <is>
          <t>TORSBY</t>
        </is>
      </c>
      <c r="F987" t="inlineStr">
        <is>
          <t>Bergvik skog väst AB</t>
        </is>
      </c>
      <c r="G987" t="n">
        <v>9.1</v>
      </c>
      <c r="H987" t="n">
        <v>0</v>
      </c>
      <c r="I987" t="n">
        <v>0</v>
      </c>
      <c r="J987" t="n">
        <v>0</v>
      </c>
      <c r="K987" t="n">
        <v>0</v>
      </c>
      <c r="L987" t="n">
        <v>0</v>
      </c>
      <c r="M987" t="n">
        <v>0</v>
      </c>
      <c r="N987" t="n">
        <v>0</v>
      </c>
      <c r="O987" t="n">
        <v>0</v>
      </c>
      <c r="P987" t="n">
        <v>0</v>
      </c>
      <c r="Q987" t="n">
        <v>0</v>
      </c>
      <c r="R987" s="2" t="inlineStr"/>
    </row>
    <row r="988" ht="15" customHeight="1">
      <c r="A988" t="inlineStr">
        <is>
          <t>A 67693-2018</t>
        </is>
      </c>
      <c r="B988" s="1" t="n">
        <v>43440</v>
      </c>
      <c r="C988" s="1" t="n">
        <v>45353</v>
      </c>
      <c r="D988" t="inlineStr">
        <is>
          <t>VÄRMLANDS LÄN</t>
        </is>
      </c>
      <c r="E988" t="inlineStr">
        <is>
          <t>KARLSTAD</t>
        </is>
      </c>
      <c r="G988" t="n">
        <v>1</v>
      </c>
      <c r="H988" t="n">
        <v>0</v>
      </c>
      <c r="I988" t="n">
        <v>0</v>
      </c>
      <c r="J988" t="n">
        <v>0</v>
      </c>
      <c r="K988" t="n">
        <v>0</v>
      </c>
      <c r="L988" t="n">
        <v>0</v>
      </c>
      <c r="M988" t="n">
        <v>0</v>
      </c>
      <c r="N988" t="n">
        <v>0</v>
      </c>
      <c r="O988" t="n">
        <v>0</v>
      </c>
      <c r="P988" t="n">
        <v>0</v>
      </c>
      <c r="Q988" t="n">
        <v>0</v>
      </c>
      <c r="R988" s="2" t="inlineStr"/>
    </row>
    <row r="989" ht="15" customHeight="1">
      <c r="A989" t="inlineStr">
        <is>
          <t>A 67981-2018</t>
        </is>
      </c>
      <c r="B989" s="1" t="n">
        <v>43440</v>
      </c>
      <c r="C989" s="1" t="n">
        <v>45353</v>
      </c>
      <c r="D989" t="inlineStr">
        <is>
          <t>VÄRMLANDS LÄN</t>
        </is>
      </c>
      <c r="E989" t="inlineStr">
        <is>
          <t>SUNNE</t>
        </is>
      </c>
      <c r="G989" t="n">
        <v>0.6</v>
      </c>
      <c r="H989" t="n">
        <v>0</v>
      </c>
      <c r="I989" t="n">
        <v>0</v>
      </c>
      <c r="J989" t="n">
        <v>0</v>
      </c>
      <c r="K989" t="n">
        <v>0</v>
      </c>
      <c r="L989" t="n">
        <v>0</v>
      </c>
      <c r="M989" t="n">
        <v>0</v>
      </c>
      <c r="N989" t="n">
        <v>0</v>
      </c>
      <c r="O989" t="n">
        <v>0</v>
      </c>
      <c r="P989" t="n">
        <v>0</v>
      </c>
      <c r="Q989" t="n">
        <v>0</v>
      </c>
      <c r="R989" s="2" t="inlineStr"/>
    </row>
    <row r="990" ht="15" customHeight="1">
      <c r="A990" t="inlineStr">
        <is>
          <t>A 67933-2018</t>
        </is>
      </c>
      <c r="B990" s="1" t="n">
        <v>43440</v>
      </c>
      <c r="C990" s="1" t="n">
        <v>45353</v>
      </c>
      <c r="D990" t="inlineStr">
        <is>
          <t>VÄRMLANDS LÄN</t>
        </is>
      </c>
      <c r="E990" t="inlineStr">
        <is>
          <t>ARVIKA</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68004-2018</t>
        </is>
      </c>
      <c r="B991" s="1" t="n">
        <v>43440</v>
      </c>
      <c r="C991" s="1" t="n">
        <v>45353</v>
      </c>
      <c r="D991" t="inlineStr">
        <is>
          <t>VÄRMLANDS LÄN</t>
        </is>
      </c>
      <c r="E991" t="inlineStr">
        <is>
          <t>SUNNE</t>
        </is>
      </c>
      <c r="G991" t="n">
        <v>4.3</v>
      </c>
      <c r="H991" t="n">
        <v>0</v>
      </c>
      <c r="I991" t="n">
        <v>0</v>
      </c>
      <c r="J991" t="n">
        <v>0</v>
      </c>
      <c r="K991" t="n">
        <v>0</v>
      </c>
      <c r="L991" t="n">
        <v>0</v>
      </c>
      <c r="M991" t="n">
        <v>0</v>
      </c>
      <c r="N991" t="n">
        <v>0</v>
      </c>
      <c r="O991" t="n">
        <v>0</v>
      </c>
      <c r="P991" t="n">
        <v>0</v>
      </c>
      <c r="Q991" t="n">
        <v>0</v>
      </c>
      <c r="R991" s="2" t="inlineStr"/>
    </row>
    <row r="992" ht="15" customHeight="1">
      <c r="A992" t="inlineStr">
        <is>
          <t>A 67784-2018</t>
        </is>
      </c>
      <c r="B992" s="1" t="n">
        <v>43440</v>
      </c>
      <c r="C992" s="1" t="n">
        <v>45353</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67662-2018</t>
        </is>
      </c>
      <c r="B993" s="1" t="n">
        <v>43440</v>
      </c>
      <c r="C993" s="1" t="n">
        <v>45353</v>
      </c>
      <c r="D993" t="inlineStr">
        <is>
          <t>VÄRMLANDS LÄN</t>
        </is>
      </c>
      <c r="E993" t="inlineStr">
        <is>
          <t>ARVIKA</t>
        </is>
      </c>
      <c r="G993" t="n">
        <v>2.2</v>
      </c>
      <c r="H993" t="n">
        <v>0</v>
      </c>
      <c r="I993" t="n">
        <v>0</v>
      </c>
      <c r="J993" t="n">
        <v>0</v>
      </c>
      <c r="K993" t="n">
        <v>0</v>
      </c>
      <c r="L993" t="n">
        <v>0</v>
      </c>
      <c r="M993" t="n">
        <v>0</v>
      </c>
      <c r="N993" t="n">
        <v>0</v>
      </c>
      <c r="O993" t="n">
        <v>0</v>
      </c>
      <c r="P993" t="n">
        <v>0</v>
      </c>
      <c r="Q993" t="n">
        <v>0</v>
      </c>
      <c r="R993" s="2" t="inlineStr"/>
    </row>
    <row r="994" ht="15" customHeight="1">
      <c r="A994" t="inlineStr">
        <is>
          <t>A 67602-2018</t>
        </is>
      </c>
      <c r="B994" s="1" t="n">
        <v>43440</v>
      </c>
      <c r="C994" s="1" t="n">
        <v>45353</v>
      </c>
      <c r="D994" t="inlineStr">
        <is>
          <t>VÄRMLANDS LÄN</t>
        </is>
      </c>
      <c r="E994" t="inlineStr">
        <is>
          <t>KARLSTAD</t>
        </is>
      </c>
      <c r="G994" t="n">
        <v>5.3</v>
      </c>
      <c r="H994" t="n">
        <v>0</v>
      </c>
      <c r="I994" t="n">
        <v>0</v>
      </c>
      <c r="J994" t="n">
        <v>0</v>
      </c>
      <c r="K994" t="n">
        <v>0</v>
      </c>
      <c r="L994" t="n">
        <v>0</v>
      </c>
      <c r="M994" t="n">
        <v>0</v>
      </c>
      <c r="N994" t="n">
        <v>0</v>
      </c>
      <c r="O994" t="n">
        <v>0</v>
      </c>
      <c r="P994" t="n">
        <v>0</v>
      </c>
      <c r="Q994" t="n">
        <v>0</v>
      </c>
      <c r="R994" s="2" t="inlineStr"/>
    </row>
    <row r="995" ht="15" customHeight="1">
      <c r="A995" t="inlineStr">
        <is>
          <t>A 69134-2018</t>
        </is>
      </c>
      <c r="B995" s="1" t="n">
        <v>43440</v>
      </c>
      <c r="C995" s="1" t="n">
        <v>45353</v>
      </c>
      <c r="D995" t="inlineStr">
        <is>
          <t>VÄRMLANDS LÄN</t>
        </is>
      </c>
      <c r="E995" t="inlineStr">
        <is>
          <t>TORSBY</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67688-2018</t>
        </is>
      </c>
      <c r="B996" s="1" t="n">
        <v>43440</v>
      </c>
      <c r="C996" s="1" t="n">
        <v>45353</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67656-2018</t>
        </is>
      </c>
      <c r="B997" s="1" t="n">
        <v>43440</v>
      </c>
      <c r="C997" s="1" t="n">
        <v>45353</v>
      </c>
      <c r="D997" t="inlineStr">
        <is>
          <t>VÄRMLANDS LÄN</t>
        </is>
      </c>
      <c r="E997" t="inlineStr">
        <is>
          <t>ARVIKA</t>
        </is>
      </c>
      <c r="G997" t="n">
        <v>1</v>
      </c>
      <c r="H997" t="n">
        <v>0</v>
      </c>
      <c r="I997" t="n">
        <v>0</v>
      </c>
      <c r="J997" t="n">
        <v>0</v>
      </c>
      <c r="K997" t="n">
        <v>0</v>
      </c>
      <c r="L997" t="n">
        <v>0</v>
      </c>
      <c r="M997" t="n">
        <v>0</v>
      </c>
      <c r="N997" t="n">
        <v>0</v>
      </c>
      <c r="O997" t="n">
        <v>0</v>
      </c>
      <c r="P997" t="n">
        <v>0</v>
      </c>
      <c r="Q997" t="n">
        <v>0</v>
      </c>
      <c r="R997" s="2" t="inlineStr"/>
    </row>
    <row r="998" ht="15" customHeight="1">
      <c r="A998" t="inlineStr">
        <is>
          <t>A 68063-2018</t>
        </is>
      </c>
      <c r="B998" s="1" t="n">
        <v>43441</v>
      </c>
      <c r="C998" s="1" t="n">
        <v>45353</v>
      </c>
      <c r="D998" t="inlineStr">
        <is>
          <t>VÄRMLANDS LÄN</t>
        </is>
      </c>
      <c r="E998" t="inlineStr">
        <is>
          <t>ARVIKA</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68018-2018</t>
        </is>
      </c>
      <c r="B999" s="1" t="n">
        <v>43441</v>
      </c>
      <c r="C999" s="1" t="n">
        <v>45353</v>
      </c>
      <c r="D999" t="inlineStr">
        <is>
          <t>VÄRMLANDS LÄN</t>
        </is>
      </c>
      <c r="E999" t="inlineStr">
        <is>
          <t>KRISTINEHAMN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68300-2018</t>
        </is>
      </c>
      <c r="B1000" s="1" t="n">
        <v>43441</v>
      </c>
      <c r="C1000" s="1" t="n">
        <v>45353</v>
      </c>
      <c r="D1000" t="inlineStr">
        <is>
          <t>VÄRMLANDS LÄN</t>
        </is>
      </c>
      <c r="E1000" t="inlineStr">
        <is>
          <t>GRUMS</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68338-2018</t>
        </is>
      </c>
      <c r="B1001" s="1" t="n">
        <v>43441</v>
      </c>
      <c r="C1001" s="1" t="n">
        <v>45353</v>
      </c>
      <c r="D1001" t="inlineStr">
        <is>
          <t>VÄRMLANDS LÄN</t>
        </is>
      </c>
      <c r="E1001" t="inlineStr">
        <is>
          <t>KARLSTAD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68361-2018</t>
        </is>
      </c>
      <c r="B1002" s="1" t="n">
        <v>43441</v>
      </c>
      <c r="C1002" s="1" t="n">
        <v>45353</v>
      </c>
      <c r="D1002" t="inlineStr">
        <is>
          <t>VÄRMLANDS LÄN</t>
        </is>
      </c>
      <c r="E1002" t="inlineStr">
        <is>
          <t>KRISTINEHAMN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68365-2018</t>
        </is>
      </c>
      <c r="B1003" s="1" t="n">
        <v>43441</v>
      </c>
      <c r="C1003" s="1" t="n">
        <v>45353</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68161-2018</t>
        </is>
      </c>
      <c r="B1004" s="1" t="n">
        <v>43441</v>
      </c>
      <c r="C1004" s="1" t="n">
        <v>45353</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68358-2018</t>
        </is>
      </c>
      <c r="B1005" s="1" t="n">
        <v>43441</v>
      </c>
      <c r="C1005" s="1" t="n">
        <v>45353</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68247-2018</t>
        </is>
      </c>
      <c r="B1006" s="1" t="n">
        <v>43441</v>
      </c>
      <c r="C1006" s="1" t="n">
        <v>45353</v>
      </c>
      <c r="D1006" t="inlineStr">
        <is>
          <t>VÄRMLANDS LÄN</t>
        </is>
      </c>
      <c r="E1006" t="inlineStr">
        <is>
          <t>EDA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68357-2018</t>
        </is>
      </c>
      <c r="B1007" s="1" t="n">
        <v>43441</v>
      </c>
      <c r="C1007" s="1" t="n">
        <v>45353</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68236-2018</t>
        </is>
      </c>
      <c r="B1008" s="1" t="n">
        <v>43441</v>
      </c>
      <c r="C1008" s="1" t="n">
        <v>45353</v>
      </c>
      <c r="D1008" t="inlineStr">
        <is>
          <t>VÄRMLANDS LÄN</t>
        </is>
      </c>
      <c r="E1008" t="inlineStr">
        <is>
          <t>EDA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68029-2018</t>
        </is>
      </c>
      <c r="B1009" s="1" t="n">
        <v>43441</v>
      </c>
      <c r="C1009" s="1" t="n">
        <v>45353</v>
      </c>
      <c r="D1009" t="inlineStr">
        <is>
          <t>VÄRMLANDS LÄN</t>
        </is>
      </c>
      <c r="E1009" t="inlineStr">
        <is>
          <t>ARVIKA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68440-2018</t>
        </is>
      </c>
      <c r="B1010" s="1" t="n">
        <v>43442</v>
      </c>
      <c r="C1010" s="1" t="n">
        <v>45353</v>
      </c>
      <c r="D1010" t="inlineStr">
        <is>
          <t>VÄRMLANDS LÄN</t>
        </is>
      </c>
      <c r="E1010" t="inlineStr">
        <is>
          <t>EDA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68412-2018</t>
        </is>
      </c>
      <c r="B1011" s="1" t="n">
        <v>43442</v>
      </c>
      <c r="C1011" s="1" t="n">
        <v>45353</v>
      </c>
      <c r="D1011" t="inlineStr">
        <is>
          <t>VÄRMLANDS LÄN</t>
        </is>
      </c>
      <c r="E1011" t="inlineStr">
        <is>
          <t>EDA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68406-2018</t>
        </is>
      </c>
      <c r="B1012" s="1" t="n">
        <v>43442</v>
      </c>
      <c r="C1012" s="1" t="n">
        <v>45353</v>
      </c>
      <c r="D1012" t="inlineStr">
        <is>
          <t>VÄRMLANDS LÄN</t>
        </is>
      </c>
      <c r="E1012" t="inlineStr">
        <is>
          <t>EDA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68487-2018</t>
        </is>
      </c>
      <c r="B1013" s="1" t="n">
        <v>43442</v>
      </c>
      <c r="C1013" s="1" t="n">
        <v>45353</v>
      </c>
      <c r="D1013" t="inlineStr">
        <is>
          <t>VÄRMLANDS LÄN</t>
        </is>
      </c>
      <c r="E1013" t="inlineStr">
        <is>
          <t>ÅRJÄNG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69319-2018</t>
        </is>
      </c>
      <c r="B1014" s="1" t="n">
        <v>43443</v>
      </c>
      <c r="C1014" s="1" t="n">
        <v>45353</v>
      </c>
      <c r="D1014" t="inlineStr">
        <is>
          <t>VÄRMLANDS LÄN</t>
        </is>
      </c>
      <c r="E1014" t="inlineStr">
        <is>
          <t>KIL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68647-2018</t>
        </is>
      </c>
      <c r="B1015" s="1" t="n">
        <v>43444</v>
      </c>
      <c r="C1015" s="1" t="n">
        <v>45353</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68720-2018</t>
        </is>
      </c>
      <c r="B1016" s="1" t="n">
        <v>43444</v>
      </c>
      <c r="C1016" s="1" t="n">
        <v>45353</v>
      </c>
      <c r="D1016" t="inlineStr">
        <is>
          <t>VÄRMLANDS LÄN</t>
        </is>
      </c>
      <c r="E1016" t="inlineStr">
        <is>
          <t>TORSBY</t>
        </is>
      </c>
      <c r="F1016" t="inlineStr">
        <is>
          <t>Bergvik skog väst AB</t>
        </is>
      </c>
      <c r="G1016" t="n">
        <v>35.1</v>
      </c>
      <c r="H1016" t="n">
        <v>0</v>
      </c>
      <c r="I1016" t="n">
        <v>0</v>
      </c>
      <c r="J1016" t="n">
        <v>0</v>
      </c>
      <c r="K1016" t="n">
        <v>0</v>
      </c>
      <c r="L1016" t="n">
        <v>0</v>
      </c>
      <c r="M1016" t="n">
        <v>0</v>
      </c>
      <c r="N1016" t="n">
        <v>0</v>
      </c>
      <c r="O1016" t="n">
        <v>0</v>
      </c>
      <c r="P1016" t="n">
        <v>0</v>
      </c>
      <c r="Q1016" t="n">
        <v>0</v>
      </c>
      <c r="R1016" s="2" t="inlineStr"/>
    </row>
    <row r="1017" ht="15" customHeight="1">
      <c r="A1017" t="inlineStr">
        <is>
          <t>A 68611-2018</t>
        </is>
      </c>
      <c r="B1017" s="1" t="n">
        <v>43444</v>
      </c>
      <c r="C1017" s="1" t="n">
        <v>45353</v>
      </c>
      <c r="D1017" t="inlineStr">
        <is>
          <t>VÄRMLANDS LÄN</t>
        </is>
      </c>
      <c r="E1017" t="inlineStr">
        <is>
          <t>STORFORS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68802-2018</t>
        </is>
      </c>
      <c r="B1018" s="1" t="n">
        <v>43444</v>
      </c>
      <c r="C1018" s="1" t="n">
        <v>45353</v>
      </c>
      <c r="D1018" t="inlineStr">
        <is>
          <t>VÄRMLANDS LÄN</t>
        </is>
      </c>
      <c r="E1018" t="inlineStr">
        <is>
          <t>HAGFORS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68791-2018</t>
        </is>
      </c>
      <c r="B1019" s="1" t="n">
        <v>43444</v>
      </c>
      <c r="C1019" s="1" t="n">
        <v>45353</v>
      </c>
      <c r="D1019" t="inlineStr">
        <is>
          <t>VÄRMLANDS LÄN</t>
        </is>
      </c>
      <c r="E1019" t="inlineStr">
        <is>
          <t>TORSBY</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69750-2018</t>
        </is>
      </c>
      <c r="B1020" s="1" t="n">
        <v>43444</v>
      </c>
      <c r="C1020" s="1" t="n">
        <v>45353</v>
      </c>
      <c r="D1020" t="inlineStr">
        <is>
          <t>VÄRMLANDS LÄN</t>
        </is>
      </c>
      <c r="E1020" t="inlineStr">
        <is>
          <t>KARLSTAD</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68750-2018</t>
        </is>
      </c>
      <c r="B1021" s="1" t="n">
        <v>43444</v>
      </c>
      <c r="C1021" s="1" t="n">
        <v>45353</v>
      </c>
      <c r="D1021" t="inlineStr">
        <is>
          <t>VÄRMLANDS LÄN</t>
        </is>
      </c>
      <c r="E1021" t="inlineStr">
        <is>
          <t>FORSHAGA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69446-2018</t>
        </is>
      </c>
      <c r="B1022" s="1" t="n">
        <v>43444</v>
      </c>
      <c r="C1022" s="1" t="n">
        <v>45353</v>
      </c>
      <c r="D1022" t="inlineStr">
        <is>
          <t>VÄRMLANDS LÄN</t>
        </is>
      </c>
      <c r="E1022" t="inlineStr">
        <is>
          <t>SUNNE</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68774-2018</t>
        </is>
      </c>
      <c r="B1023" s="1" t="n">
        <v>43444</v>
      </c>
      <c r="C1023" s="1" t="n">
        <v>45353</v>
      </c>
      <c r="D1023" t="inlineStr">
        <is>
          <t>VÄRMLANDS LÄN</t>
        </is>
      </c>
      <c r="E1023" t="inlineStr">
        <is>
          <t>ARVIKA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68730-2018</t>
        </is>
      </c>
      <c r="B1024" s="1" t="n">
        <v>43444</v>
      </c>
      <c r="C1024" s="1" t="n">
        <v>45353</v>
      </c>
      <c r="D1024" t="inlineStr">
        <is>
          <t>VÄRMLANDS LÄN</t>
        </is>
      </c>
      <c r="E1024" t="inlineStr">
        <is>
          <t>EDA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69135-2018</t>
        </is>
      </c>
      <c r="B1025" s="1" t="n">
        <v>43445</v>
      </c>
      <c r="C1025" s="1" t="n">
        <v>45353</v>
      </c>
      <c r="D1025" t="inlineStr">
        <is>
          <t>VÄRMLANDS LÄN</t>
        </is>
      </c>
      <c r="E1025" t="inlineStr">
        <is>
          <t>TORSBY</t>
        </is>
      </c>
      <c r="F1025" t="inlineStr">
        <is>
          <t>Bergvik skog väst AB</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70096-2018</t>
        </is>
      </c>
      <c r="B1026" s="1" t="n">
        <v>43445</v>
      </c>
      <c r="C1026" s="1" t="n">
        <v>45353</v>
      </c>
      <c r="D1026" t="inlineStr">
        <is>
          <t>VÄRMLANDS LÄN</t>
        </is>
      </c>
      <c r="E1026" t="inlineStr">
        <is>
          <t>KARLSTAD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70046-2018</t>
        </is>
      </c>
      <c r="B1027" s="1" t="n">
        <v>43445</v>
      </c>
      <c r="C1027" s="1" t="n">
        <v>45353</v>
      </c>
      <c r="D1027" t="inlineStr">
        <is>
          <t>VÄRMLANDS LÄN</t>
        </is>
      </c>
      <c r="E1027" t="inlineStr">
        <is>
          <t>SÄFFLE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69336-2018</t>
        </is>
      </c>
      <c r="B1028" s="1" t="n">
        <v>43446</v>
      </c>
      <c r="C1028" s="1" t="n">
        <v>45353</v>
      </c>
      <c r="D1028" t="inlineStr">
        <is>
          <t>VÄRMLANDS LÄN</t>
        </is>
      </c>
      <c r="E1028" t="inlineStr">
        <is>
          <t>FILIPSTAD</t>
        </is>
      </c>
      <c r="F1028" t="inlineStr">
        <is>
          <t>Bergvik skog väst AB</t>
        </is>
      </c>
      <c r="G1028" t="n">
        <v>21.3</v>
      </c>
      <c r="H1028" t="n">
        <v>0</v>
      </c>
      <c r="I1028" t="n">
        <v>0</v>
      </c>
      <c r="J1028" t="n">
        <v>0</v>
      </c>
      <c r="K1028" t="n">
        <v>0</v>
      </c>
      <c r="L1028" t="n">
        <v>0</v>
      </c>
      <c r="M1028" t="n">
        <v>0</v>
      </c>
      <c r="N1028" t="n">
        <v>0</v>
      </c>
      <c r="O1028" t="n">
        <v>0</v>
      </c>
      <c r="P1028" t="n">
        <v>0</v>
      </c>
      <c r="Q1028" t="n">
        <v>0</v>
      </c>
      <c r="R1028" s="2" t="inlineStr"/>
    </row>
    <row r="1029" ht="15" customHeight="1">
      <c r="A1029" t="inlineStr">
        <is>
          <t>A 69293-2018</t>
        </is>
      </c>
      <c r="B1029" s="1" t="n">
        <v>43446</v>
      </c>
      <c r="C1029" s="1" t="n">
        <v>45353</v>
      </c>
      <c r="D1029" t="inlineStr">
        <is>
          <t>VÄRMLANDS LÄN</t>
        </is>
      </c>
      <c r="E1029" t="inlineStr">
        <is>
          <t>TORSBY</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70383-2018</t>
        </is>
      </c>
      <c r="B1030" s="1" t="n">
        <v>43446</v>
      </c>
      <c r="C1030" s="1" t="n">
        <v>45353</v>
      </c>
      <c r="D1030" t="inlineStr">
        <is>
          <t>VÄRMLANDS LÄN</t>
        </is>
      </c>
      <c r="E1030" t="inlineStr">
        <is>
          <t>EDA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70336-2018</t>
        </is>
      </c>
      <c r="B1031" s="1" t="n">
        <v>43446</v>
      </c>
      <c r="C1031" s="1" t="n">
        <v>45353</v>
      </c>
      <c r="D1031" t="inlineStr">
        <is>
          <t>VÄRMLANDS LÄN</t>
        </is>
      </c>
      <c r="E1031" t="inlineStr">
        <is>
          <t>HAGFORS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70331-2018</t>
        </is>
      </c>
      <c r="B1032" s="1" t="n">
        <v>43446</v>
      </c>
      <c r="C1032" s="1" t="n">
        <v>45353</v>
      </c>
      <c r="D1032" t="inlineStr">
        <is>
          <t>VÄRMLANDS LÄN</t>
        </is>
      </c>
      <c r="E1032" t="inlineStr">
        <is>
          <t>HAGFORS</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69378-2018</t>
        </is>
      </c>
      <c r="B1033" s="1" t="n">
        <v>43446</v>
      </c>
      <c r="C1033" s="1" t="n">
        <v>45353</v>
      </c>
      <c r="D1033" t="inlineStr">
        <is>
          <t>VÄRMLANDS LÄN</t>
        </is>
      </c>
      <c r="E1033" t="inlineStr">
        <is>
          <t>KARLSTAD</t>
        </is>
      </c>
      <c r="F1033" t="inlineStr">
        <is>
          <t>Kommuner</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69297-2018</t>
        </is>
      </c>
      <c r="B1034" s="1" t="n">
        <v>43446</v>
      </c>
      <c r="C1034" s="1" t="n">
        <v>45353</v>
      </c>
      <c r="D1034" t="inlineStr">
        <is>
          <t>VÄRMLANDS LÄN</t>
        </is>
      </c>
      <c r="E1034" t="inlineStr">
        <is>
          <t>TORSBY</t>
        </is>
      </c>
      <c r="F1034" t="inlineStr">
        <is>
          <t>Bergvik skog väst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69527-2018</t>
        </is>
      </c>
      <c r="B1035" s="1" t="n">
        <v>43446</v>
      </c>
      <c r="C1035" s="1" t="n">
        <v>45353</v>
      </c>
      <c r="D1035" t="inlineStr">
        <is>
          <t>VÄRMLANDS LÄN</t>
        </is>
      </c>
      <c r="E1035" t="inlineStr">
        <is>
          <t>MUNKFORS</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70333-2018</t>
        </is>
      </c>
      <c r="B1036" s="1" t="n">
        <v>43446</v>
      </c>
      <c r="C1036" s="1" t="n">
        <v>45353</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69552-2018</t>
        </is>
      </c>
      <c r="B1037" s="1" t="n">
        <v>43446</v>
      </c>
      <c r="C1037" s="1" t="n">
        <v>45353</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69819-2018</t>
        </is>
      </c>
      <c r="B1038" s="1" t="n">
        <v>43447</v>
      </c>
      <c r="C1038" s="1" t="n">
        <v>45353</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69948-2018</t>
        </is>
      </c>
      <c r="B1039" s="1" t="n">
        <v>43447</v>
      </c>
      <c r="C1039" s="1" t="n">
        <v>45353</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69886-2018</t>
        </is>
      </c>
      <c r="B1040" s="1" t="n">
        <v>43447</v>
      </c>
      <c r="C1040" s="1" t="n">
        <v>45353</v>
      </c>
      <c r="D1040" t="inlineStr">
        <is>
          <t>VÄRMLANDS LÄN</t>
        </is>
      </c>
      <c r="E1040" t="inlineStr">
        <is>
          <t>STORFORS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69817-2018</t>
        </is>
      </c>
      <c r="B1041" s="1" t="n">
        <v>43447</v>
      </c>
      <c r="C1041" s="1" t="n">
        <v>45353</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69816-2018</t>
        </is>
      </c>
      <c r="B1042" s="1" t="n">
        <v>43447</v>
      </c>
      <c r="C1042" s="1" t="n">
        <v>45353</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69692-2018</t>
        </is>
      </c>
      <c r="B1043" s="1" t="n">
        <v>43447</v>
      </c>
      <c r="C1043" s="1" t="n">
        <v>45353</v>
      </c>
      <c r="D1043" t="inlineStr">
        <is>
          <t>VÄRMLANDS LÄN</t>
        </is>
      </c>
      <c r="E1043" t="inlineStr">
        <is>
          <t>ARVIKA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70175-2018</t>
        </is>
      </c>
      <c r="B1044" s="1" t="n">
        <v>43448</v>
      </c>
      <c r="C1044" s="1" t="n">
        <v>45353</v>
      </c>
      <c r="D1044" t="inlineStr">
        <is>
          <t>VÄRMLANDS LÄN</t>
        </is>
      </c>
      <c r="E1044" t="inlineStr">
        <is>
          <t>SUNNE</t>
        </is>
      </c>
      <c r="G1044" t="n">
        <v>19.7</v>
      </c>
      <c r="H1044" t="n">
        <v>0</v>
      </c>
      <c r="I1044" t="n">
        <v>0</v>
      </c>
      <c r="J1044" t="n">
        <v>0</v>
      </c>
      <c r="K1044" t="n">
        <v>0</v>
      </c>
      <c r="L1044" t="n">
        <v>0</v>
      </c>
      <c r="M1044" t="n">
        <v>0</v>
      </c>
      <c r="N1044" t="n">
        <v>0</v>
      </c>
      <c r="O1044" t="n">
        <v>0</v>
      </c>
      <c r="P1044" t="n">
        <v>0</v>
      </c>
      <c r="Q1044" t="n">
        <v>0</v>
      </c>
      <c r="R1044" s="2" t="inlineStr"/>
    </row>
    <row r="1045" ht="15" customHeight="1">
      <c r="A1045" t="inlineStr">
        <is>
          <t>A 70008-2018</t>
        </is>
      </c>
      <c r="B1045" s="1" t="n">
        <v>43448</v>
      </c>
      <c r="C1045" s="1" t="n">
        <v>45353</v>
      </c>
      <c r="D1045" t="inlineStr">
        <is>
          <t>VÄRMLANDS LÄN</t>
        </is>
      </c>
      <c r="E1045" t="inlineStr">
        <is>
          <t>SUNNE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70671-2018</t>
        </is>
      </c>
      <c r="B1046" s="1" t="n">
        <v>43448</v>
      </c>
      <c r="C1046" s="1" t="n">
        <v>45353</v>
      </c>
      <c r="D1046" t="inlineStr">
        <is>
          <t>VÄRMLANDS LÄN</t>
        </is>
      </c>
      <c r="E1046" t="inlineStr">
        <is>
          <t>KARLSTAD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71390-2018</t>
        </is>
      </c>
      <c r="B1047" s="1" t="n">
        <v>43448</v>
      </c>
      <c r="C1047" s="1" t="n">
        <v>45353</v>
      </c>
      <c r="D1047" t="inlineStr">
        <is>
          <t>VÄRMLANDS LÄN</t>
        </is>
      </c>
      <c r="E1047" t="inlineStr">
        <is>
          <t>ÅRJÄNG</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70215-2018</t>
        </is>
      </c>
      <c r="B1048" s="1" t="n">
        <v>43448</v>
      </c>
      <c r="C1048" s="1" t="n">
        <v>45353</v>
      </c>
      <c r="D1048" t="inlineStr">
        <is>
          <t>VÄRMLANDS LÄN</t>
        </is>
      </c>
      <c r="E1048" t="inlineStr">
        <is>
          <t>KRISTINEHAMN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70225-2018</t>
        </is>
      </c>
      <c r="B1049" s="1" t="n">
        <v>43448</v>
      </c>
      <c r="C1049" s="1" t="n">
        <v>45353</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70679-2018</t>
        </is>
      </c>
      <c r="B1050" s="1" t="n">
        <v>43448</v>
      </c>
      <c r="C1050" s="1" t="n">
        <v>45353</v>
      </c>
      <c r="D1050" t="inlineStr">
        <is>
          <t>VÄRMLANDS LÄN</t>
        </is>
      </c>
      <c r="E1050" t="inlineStr">
        <is>
          <t>KARLSTAD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70226-2018</t>
        </is>
      </c>
      <c r="B1051" s="1" t="n">
        <v>43448</v>
      </c>
      <c r="C1051" s="1" t="n">
        <v>45353</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70685-2018</t>
        </is>
      </c>
      <c r="B1052" s="1" t="n">
        <v>43448</v>
      </c>
      <c r="C1052" s="1" t="n">
        <v>45353</v>
      </c>
      <c r="D1052" t="inlineStr">
        <is>
          <t>VÄRMLANDS LÄN</t>
        </is>
      </c>
      <c r="E1052" t="inlineStr">
        <is>
          <t>KARLSTAD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71306-2018</t>
        </is>
      </c>
      <c r="B1053" s="1" t="n">
        <v>43448</v>
      </c>
      <c r="C1053" s="1" t="n">
        <v>45353</v>
      </c>
      <c r="D1053" t="inlineStr">
        <is>
          <t>VÄRMLANDS LÄN</t>
        </is>
      </c>
      <c r="E1053" t="inlineStr">
        <is>
          <t>SUNNE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70514-2018</t>
        </is>
      </c>
      <c r="B1054" s="1" t="n">
        <v>43451</v>
      </c>
      <c r="C1054" s="1" t="n">
        <v>45353</v>
      </c>
      <c r="D1054" t="inlineStr">
        <is>
          <t>VÄRMLANDS LÄN</t>
        </is>
      </c>
      <c r="E1054" t="inlineStr">
        <is>
          <t>FILIPSTAD</t>
        </is>
      </c>
      <c r="F1054" t="inlineStr">
        <is>
          <t>Bergvik skog väst AB</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70672-2018</t>
        </is>
      </c>
      <c r="B1055" s="1" t="n">
        <v>43451</v>
      </c>
      <c r="C1055" s="1" t="n">
        <v>45353</v>
      </c>
      <c r="D1055" t="inlineStr">
        <is>
          <t>VÄRMLANDS LÄN</t>
        </is>
      </c>
      <c r="E1055" t="inlineStr">
        <is>
          <t>SUNNE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71427-2018</t>
        </is>
      </c>
      <c r="B1056" s="1" t="n">
        <v>43451</v>
      </c>
      <c r="C1056" s="1" t="n">
        <v>45353</v>
      </c>
      <c r="D1056" t="inlineStr">
        <is>
          <t>VÄRMLANDS LÄN</t>
        </is>
      </c>
      <c r="E1056" t="inlineStr">
        <is>
          <t>EDA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71218-2018</t>
        </is>
      </c>
      <c r="B1057" s="1" t="n">
        <v>43451</v>
      </c>
      <c r="C1057" s="1" t="n">
        <v>45353</v>
      </c>
      <c r="D1057" t="inlineStr">
        <is>
          <t>VÄRMLANDS LÄN</t>
        </is>
      </c>
      <c r="E1057" t="inlineStr">
        <is>
          <t>KIL</t>
        </is>
      </c>
      <c r="F1057" t="inlineStr">
        <is>
          <t>Kommuner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70763-2018</t>
        </is>
      </c>
      <c r="B1058" s="1" t="n">
        <v>43451</v>
      </c>
      <c r="C1058" s="1" t="n">
        <v>45353</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70440-2018</t>
        </is>
      </c>
      <c r="B1059" s="1" t="n">
        <v>43451</v>
      </c>
      <c r="C1059" s="1" t="n">
        <v>45353</v>
      </c>
      <c r="D1059" t="inlineStr">
        <is>
          <t>VÄRMLANDS LÄN</t>
        </is>
      </c>
      <c r="E1059" t="inlineStr">
        <is>
          <t>EDA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71219-2018</t>
        </is>
      </c>
      <c r="B1060" s="1" t="n">
        <v>43451</v>
      </c>
      <c r="C1060" s="1" t="n">
        <v>45353</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71142-2018</t>
        </is>
      </c>
      <c r="B1061" s="1" t="n">
        <v>43452</v>
      </c>
      <c r="C1061" s="1" t="n">
        <v>45353</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71555-2018</t>
        </is>
      </c>
      <c r="B1062" s="1" t="n">
        <v>43452</v>
      </c>
      <c r="C1062" s="1" t="n">
        <v>45353</v>
      </c>
      <c r="D1062" t="inlineStr">
        <is>
          <t>VÄRMLANDS LÄN</t>
        </is>
      </c>
      <c r="E1062" t="inlineStr">
        <is>
          <t>KARLSTAD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71139-2018</t>
        </is>
      </c>
      <c r="B1063" s="1" t="n">
        <v>43452</v>
      </c>
      <c r="C1063" s="1" t="n">
        <v>45353</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71134-2018</t>
        </is>
      </c>
      <c r="B1064" s="1" t="n">
        <v>43452</v>
      </c>
      <c r="C1064" s="1" t="n">
        <v>45353</v>
      </c>
      <c r="D1064" t="inlineStr">
        <is>
          <t>VÄRMLANDS LÄN</t>
        </is>
      </c>
      <c r="E1064" t="inlineStr">
        <is>
          <t>EDA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71121-2018</t>
        </is>
      </c>
      <c r="B1065" s="1" t="n">
        <v>43452</v>
      </c>
      <c r="C1065" s="1" t="n">
        <v>45353</v>
      </c>
      <c r="D1065" t="inlineStr">
        <is>
          <t>VÄRMLANDS LÄN</t>
        </is>
      </c>
      <c r="E1065" t="inlineStr">
        <is>
          <t>SÄFFLE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71313-2018</t>
        </is>
      </c>
      <c r="B1066" s="1" t="n">
        <v>43453</v>
      </c>
      <c r="C1066" s="1" t="n">
        <v>45353</v>
      </c>
      <c r="D1066" t="inlineStr">
        <is>
          <t>VÄRMLANDS LÄN</t>
        </is>
      </c>
      <c r="E1066" t="inlineStr">
        <is>
          <t>ARVIKA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71396-2018</t>
        </is>
      </c>
      <c r="B1067" s="1" t="n">
        <v>43453</v>
      </c>
      <c r="C1067" s="1" t="n">
        <v>45353</v>
      </c>
      <c r="D1067" t="inlineStr">
        <is>
          <t>VÄRMLANDS LÄN</t>
        </is>
      </c>
      <c r="E1067" t="inlineStr">
        <is>
          <t>FORSHAGA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71262-2018</t>
        </is>
      </c>
      <c r="B1068" s="1" t="n">
        <v>43453</v>
      </c>
      <c r="C1068" s="1" t="n">
        <v>45353</v>
      </c>
      <c r="D1068" t="inlineStr">
        <is>
          <t>VÄRMLANDS LÄN</t>
        </is>
      </c>
      <c r="E1068" t="inlineStr">
        <is>
          <t>TORSBY</t>
        </is>
      </c>
      <c r="F1068" t="inlineStr">
        <is>
          <t>Övriga statliga verk och myndigheter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71493-2018</t>
        </is>
      </c>
      <c r="B1069" s="1" t="n">
        <v>43453</v>
      </c>
      <c r="C1069" s="1" t="n">
        <v>45353</v>
      </c>
      <c r="D1069" t="inlineStr">
        <is>
          <t>VÄRMLANDS LÄN</t>
        </is>
      </c>
      <c r="E1069" t="inlineStr">
        <is>
          <t>SÄFFLE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71959-2018</t>
        </is>
      </c>
      <c r="B1070" s="1" t="n">
        <v>43453</v>
      </c>
      <c r="C1070" s="1" t="n">
        <v>45353</v>
      </c>
      <c r="D1070" t="inlineStr">
        <is>
          <t>VÄRMLANDS LÄN</t>
        </is>
      </c>
      <c r="E1070" t="inlineStr">
        <is>
          <t>TORSBY</t>
        </is>
      </c>
      <c r="F1070" t="inlineStr">
        <is>
          <t>Kyrkan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71368-2018</t>
        </is>
      </c>
      <c r="B1071" s="1" t="n">
        <v>43453</v>
      </c>
      <c r="C1071" s="1" t="n">
        <v>45353</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71302-2018</t>
        </is>
      </c>
      <c r="B1072" s="1" t="n">
        <v>43453</v>
      </c>
      <c r="C1072" s="1" t="n">
        <v>45353</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71217-2018</t>
        </is>
      </c>
      <c r="B1073" s="1" t="n">
        <v>43453</v>
      </c>
      <c r="C1073" s="1" t="n">
        <v>45353</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71168-2018</t>
        </is>
      </c>
      <c r="B1074" s="1" t="n">
        <v>43453</v>
      </c>
      <c r="C1074" s="1" t="n">
        <v>45353</v>
      </c>
      <c r="D1074" t="inlineStr">
        <is>
          <t>VÄRMLANDS LÄN</t>
        </is>
      </c>
      <c r="E1074" t="inlineStr">
        <is>
          <t>KARLSTAD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71376-2018</t>
        </is>
      </c>
      <c r="B1075" s="1" t="n">
        <v>43453</v>
      </c>
      <c r="C1075" s="1" t="n">
        <v>45353</v>
      </c>
      <c r="D1075" t="inlineStr">
        <is>
          <t>VÄRMLANDS LÄN</t>
        </is>
      </c>
      <c r="E1075" t="inlineStr">
        <is>
          <t>TORSBY</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71328-2018</t>
        </is>
      </c>
      <c r="B1076" s="1" t="n">
        <v>43453</v>
      </c>
      <c r="C1076" s="1" t="n">
        <v>45353</v>
      </c>
      <c r="D1076" t="inlineStr">
        <is>
          <t>VÄRMLANDS LÄN</t>
        </is>
      </c>
      <c r="E1076" t="inlineStr">
        <is>
          <t>SUNNE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71488-2018</t>
        </is>
      </c>
      <c r="B1077" s="1" t="n">
        <v>43453</v>
      </c>
      <c r="C1077" s="1" t="n">
        <v>45353</v>
      </c>
      <c r="D1077" t="inlineStr">
        <is>
          <t>VÄRMLANDS LÄN</t>
        </is>
      </c>
      <c r="E1077" t="inlineStr">
        <is>
          <t>SÄFFLE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71381-2018</t>
        </is>
      </c>
      <c r="B1078" s="1" t="n">
        <v>43453</v>
      </c>
      <c r="C1078" s="1" t="n">
        <v>45353</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71171-2018</t>
        </is>
      </c>
      <c r="B1079" s="1" t="n">
        <v>43453</v>
      </c>
      <c r="C1079" s="1" t="n">
        <v>45353</v>
      </c>
      <c r="D1079" t="inlineStr">
        <is>
          <t>VÄRMLANDS LÄN</t>
        </is>
      </c>
      <c r="E1079" t="inlineStr">
        <is>
          <t>KARLSTAD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71519-2018</t>
        </is>
      </c>
      <c r="B1080" s="1" t="n">
        <v>43454</v>
      </c>
      <c r="C1080" s="1" t="n">
        <v>45353</v>
      </c>
      <c r="D1080" t="inlineStr">
        <is>
          <t>VÄRMLANDS LÄN</t>
        </is>
      </c>
      <c r="E1080" t="inlineStr">
        <is>
          <t>KARLSTAD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71584-2018</t>
        </is>
      </c>
      <c r="B1081" s="1" t="n">
        <v>43454</v>
      </c>
      <c r="C1081" s="1" t="n">
        <v>45353</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71729-2018</t>
        </is>
      </c>
      <c r="B1082" s="1" t="n">
        <v>43454</v>
      </c>
      <c r="C1082" s="1" t="n">
        <v>45353</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354-2019</t>
        </is>
      </c>
      <c r="B1083" s="1" t="n">
        <v>43454</v>
      </c>
      <c r="C1083" s="1" t="n">
        <v>45353</v>
      </c>
      <c r="D1083" t="inlineStr">
        <is>
          <t>VÄRMLANDS LÄN</t>
        </is>
      </c>
      <c r="E1083" t="inlineStr">
        <is>
          <t>SÄFFLE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256-2019</t>
        </is>
      </c>
      <c r="B1084" s="1" t="n">
        <v>43454</v>
      </c>
      <c r="C1084" s="1" t="n">
        <v>45353</v>
      </c>
      <c r="D1084" t="inlineStr">
        <is>
          <t>VÄRMLANDS LÄN</t>
        </is>
      </c>
      <c r="E1084" t="inlineStr">
        <is>
          <t>SÄFFLE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71828-2018</t>
        </is>
      </c>
      <c r="B1085" s="1" t="n">
        <v>43454</v>
      </c>
      <c r="C1085" s="1" t="n">
        <v>45353</v>
      </c>
      <c r="D1085" t="inlineStr">
        <is>
          <t>VÄRMLANDS LÄN</t>
        </is>
      </c>
      <c r="E1085" t="inlineStr">
        <is>
          <t>SÄFFLE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34-2019</t>
        </is>
      </c>
      <c r="B1086" s="1" t="n">
        <v>43454</v>
      </c>
      <c r="C1086" s="1" t="n">
        <v>45353</v>
      </c>
      <c r="D1086" t="inlineStr">
        <is>
          <t>VÄRMLANDS LÄN</t>
        </is>
      </c>
      <c r="E1086" t="inlineStr">
        <is>
          <t>FILIPSTAD</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94-2019</t>
        </is>
      </c>
      <c r="B1087" s="1" t="n">
        <v>43454</v>
      </c>
      <c r="C1087" s="1" t="n">
        <v>45353</v>
      </c>
      <c r="D1087" t="inlineStr">
        <is>
          <t>VÄRMLANDS LÄN</t>
        </is>
      </c>
      <c r="E1087" t="inlineStr">
        <is>
          <t>SÄFFLE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71725-2018</t>
        </is>
      </c>
      <c r="B1088" s="1" t="n">
        <v>43454</v>
      </c>
      <c r="C1088" s="1" t="n">
        <v>45353</v>
      </c>
      <c r="D1088" t="inlineStr">
        <is>
          <t>VÄRMLANDS LÄN</t>
        </is>
      </c>
      <c r="E1088" t="inlineStr">
        <is>
          <t>SUNNE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71632-2018</t>
        </is>
      </c>
      <c r="B1089" s="1" t="n">
        <v>43454</v>
      </c>
      <c r="C1089" s="1" t="n">
        <v>45353</v>
      </c>
      <c r="D1089" t="inlineStr">
        <is>
          <t>VÄRMLANDS LÄN</t>
        </is>
      </c>
      <c r="E1089" t="inlineStr">
        <is>
          <t>TORSBY</t>
        </is>
      </c>
      <c r="F1089" t="inlineStr">
        <is>
          <t>Naturvårdsverket</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71944-2018</t>
        </is>
      </c>
      <c r="B1090" s="1" t="n">
        <v>43455</v>
      </c>
      <c r="C1090" s="1" t="n">
        <v>45353</v>
      </c>
      <c r="D1090" t="inlineStr">
        <is>
          <t>VÄRMLANDS LÄN</t>
        </is>
      </c>
      <c r="E1090" t="inlineStr">
        <is>
          <t>ARVIKA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71917-2018</t>
        </is>
      </c>
      <c r="B1091" s="1" t="n">
        <v>43455</v>
      </c>
      <c r="C1091" s="1" t="n">
        <v>45353</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72263-2018</t>
        </is>
      </c>
      <c r="B1092" s="1" t="n">
        <v>43455</v>
      </c>
      <c r="C1092" s="1" t="n">
        <v>45353</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72240-2018</t>
        </is>
      </c>
      <c r="B1093" s="1" t="n">
        <v>43455</v>
      </c>
      <c r="C1093" s="1" t="n">
        <v>45353</v>
      </c>
      <c r="D1093" t="inlineStr">
        <is>
          <t>VÄRMLANDS LÄN</t>
        </is>
      </c>
      <c r="E1093" t="inlineStr">
        <is>
          <t>ARVIKA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72189-2018</t>
        </is>
      </c>
      <c r="B1094" s="1" t="n">
        <v>43455</v>
      </c>
      <c r="C1094" s="1" t="n">
        <v>45353</v>
      </c>
      <c r="D1094" t="inlineStr">
        <is>
          <t>VÄRMLANDS LÄN</t>
        </is>
      </c>
      <c r="E1094" t="inlineStr">
        <is>
          <t>ARVIKA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71954-2018</t>
        </is>
      </c>
      <c r="B1095" s="1" t="n">
        <v>43455</v>
      </c>
      <c r="C1095" s="1" t="n">
        <v>45353</v>
      </c>
      <c r="D1095" t="inlineStr">
        <is>
          <t>VÄRMLANDS LÄN</t>
        </is>
      </c>
      <c r="E1095" t="inlineStr">
        <is>
          <t>TORSBY</t>
        </is>
      </c>
      <c r="F1095" t="inlineStr">
        <is>
          <t>Bergvik skog väst AB</t>
        </is>
      </c>
      <c r="G1095" t="n">
        <v>48.7</v>
      </c>
      <c r="H1095" t="n">
        <v>0</v>
      </c>
      <c r="I1095" t="n">
        <v>0</v>
      </c>
      <c r="J1095" t="n">
        <v>0</v>
      </c>
      <c r="K1095" t="n">
        <v>0</v>
      </c>
      <c r="L1095" t="n">
        <v>0</v>
      </c>
      <c r="M1095" t="n">
        <v>0</v>
      </c>
      <c r="N1095" t="n">
        <v>0</v>
      </c>
      <c r="O1095" t="n">
        <v>0</v>
      </c>
      <c r="P1095" t="n">
        <v>0</v>
      </c>
      <c r="Q1095" t="n">
        <v>0</v>
      </c>
      <c r="R1095" s="2" t="inlineStr"/>
    </row>
    <row r="1096" ht="15" customHeight="1">
      <c r="A1096" t="inlineStr">
        <is>
          <t>A 618-2019</t>
        </is>
      </c>
      <c r="B1096" s="1" t="n">
        <v>43455</v>
      </c>
      <c r="C1096" s="1" t="n">
        <v>45353</v>
      </c>
      <c r="D1096" t="inlineStr">
        <is>
          <t>VÄRMLANDS LÄN</t>
        </is>
      </c>
      <c r="E1096" t="inlineStr">
        <is>
          <t>KARLSTAD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71967-2018</t>
        </is>
      </c>
      <c r="B1097" s="1" t="n">
        <v>43455</v>
      </c>
      <c r="C1097" s="1" t="n">
        <v>45353</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71923-2018</t>
        </is>
      </c>
      <c r="B1098" s="1" t="n">
        <v>43455</v>
      </c>
      <c r="C1098" s="1" t="n">
        <v>45353</v>
      </c>
      <c r="D1098" t="inlineStr">
        <is>
          <t>VÄRMLANDS LÄN</t>
        </is>
      </c>
      <c r="E1098" t="inlineStr">
        <is>
          <t>FILIPSTAD</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617-2019</t>
        </is>
      </c>
      <c r="B1099" s="1" t="n">
        <v>43455</v>
      </c>
      <c r="C1099" s="1" t="n">
        <v>45353</v>
      </c>
      <c r="D1099" t="inlineStr">
        <is>
          <t>VÄRMLANDS LÄN</t>
        </is>
      </c>
      <c r="E1099" t="inlineStr">
        <is>
          <t>KARLSTAD</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72256-2018</t>
        </is>
      </c>
      <c r="B1100" s="1" t="n">
        <v>43455</v>
      </c>
      <c r="C1100" s="1" t="n">
        <v>45353</v>
      </c>
      <c r="D1100" t="inlineStr">
        <is>
          <t>VÄRMLANDS LÄN</t>
        </is>
      </c>
      <c r="E1100" t="inlineStr">
        <is>
          <t>SUNNE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72095-2018</t>
        </is>
      </c>
      <c r="B1101" s="1" t="n">
        <v>43455</v>
      </c>
      <c r="C1101" s="1" t="n">
        <v>45353</v>
      </c>
      <c r="D1101" t="inlineStr">
        <is>
          <t>VÄRMLANDS LÄN</t>
        </is>
      </c>
      <c r="E1101" t="inlineStr">
        <is>
          <t>KARLSTAD</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72331-2018</t>
        </is>
      </c>
      <c r="B1102" s="1" t="n">
        <v>43460</v>
      </c>
      <c r="C1102" s="1" t="n">
        <v>45353</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72432-2018</t>
        </is>
      </c>
      <c r="B1103" s="1" t="n">
        <v>43461</v>
      </c>
      <c r="C1103" s="1" t="n">
        <v>45353</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72401-2018</t>
        </is>
      </c>
      <c r="B1104" s="1" t="n">
        <v>43461</v>
      </c>
      <c r="C1104" s="1" t="n">
        <v>45353</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1599-2019</t>
        </is>
      </c>
      <c r="B1105" s="1" t="n">
        <v>43461</v>
      </c>
      <c r="C1105" s="1" t="n">
        <v>45353</v>
      </c>
      <c r="D1105" t="inlineStr">
        <is>
          <t>VÄRMLANDS LÄN</t>
        </is>
      </c>
      <c r="E1105" t="inlineStr">
        <is>
          <t>SÄFFLE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1643-2019</t>
        </is>
      </c>
      <c r="B1106" s="1" t="n">
        <v>43461</v>
      </c>
      <c r="C1106" s="1" t="n">
        <v>45353</v>
      </c>
      <c r="D1106" t="inlineStr">
        <is>
          <t>VÄRMLANDS LÄN</t>
        </is>
      </c>
      <c r="E1106" t="inlineStr">
        <is>
          <t>SÄFFLE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72425-2018</t>
        </is>
      </c>
      <c r="B1107" s="1" t="n">
        <v>43461</v>
      </c>
      <c r="C1107" s="1" t="n">
        <v>45353</v>
      </c>
      <c r="D1107" t="inlineStr">
        <is>
          <t>VÄRMLANDS LÄN</t>
        </is>
      </c>
      <c r="E1107" t="inlineStr">
        <is>
          <t>FILIPSTAD</t>
        </is>
      </c>
      <c r="F1107" t="inlineStr">
        <is>
          <t>Bergvik skog väst AB</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72531-2018</t>
        </is>
      </c>
      <c r="B1108" s="1" t="n">
        <v>43462</v>
      </c>
      <c r="C1108" s="1" t="n">
        <v>45353</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2035-2019</t>
        </is>
      </c>
      <c r="B1109" s="1" t="n">
        <v>43462</v>
      </c>
      <c r="C1109" s="1" t="n">
        <v>45353</v>
      </c>
      <c r="D1109" t="inlineStr">
        <is>
          <t>VÄRMLANDS LÄN</t>
        </is>
      </c>
      <c r="E1109" t="inlineStr">
        <is>
          <t>SUNNE</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1956-2019</t>
        </is>
      </c>
      <c r="B1110" s="1" t="n">
        <v>43462</v>
      </c>
      <c r="C1110" s="1" t="n">
        <v>45353</v>
      </c>
      <c r="D1110" t="inlineStr">
        <is>
          <t>VÄRMLANDS LÄN</t>
        </is>
      </c>
      <c r="E1110" t="inlineStr">
        <is>
          <t>KARLSTAD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1989-2019</t>
        </is>
      </c>
      <c r="B1111" s="1" t="n">
        <v>43462</v>
      </c>
      <c r="C1111" s="1" t="n">
        <v>45353</v>
      </c>
      <c r="D1111" t="inlineStr">
        <is>
          <t>VÄRMLANDS LÄN</t>
        </is>
      </c>
      <c r="E1111" t="inlineStr">
        <is>
          <t>KARLSTAD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1864-2019</t>
        </is>
      </c>
      <c r="B1112" s="1" t="n">
        <v>43462</v>
      </c>
      <c r="C1112" s="1" t="n">
        <v>45353</v>
      </c>
      <c r="D1112" t="inlineStr">
        <is>
          <t>VÄRMLANDS LÄN</t>
        </is>
      </c>
      <c r="E1112" t="inlineStr">
        <is>
          <t>SÄFFLE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1964-2019</t>
        </is>
      </c>
      <c r="B1113" s="1" t="n">
        <v>43462</v>
      </c>
      <c r="C1113" s="1" t="n">
        <v>45353</v>
      </c>
      <c r="D1113" t="inlineStr">
        <is>
          <t>VÄRMLANDS LÄN</t>
        </is>
      </c>
      <c r="E1113" t="inlineStr">
        <is>
          <t>SUNNE</t>
        </is>
      </c>
      <c r="G1113" t="n">
        <v>17.4</v>
      </c>
      <c r="H1113" t="n">
        <v>0</v>
      </c>
      <c r="I1113" t="n">
        <v>0</v>
      </c>
      <c r="J1113" t="n">
        <v>0</v>
      </c>
      <c r="K1113" t="n">
        <v>0</v>
      </c>
      <c r="L1113" t="n">
        <v>0</v>
      </c>
      <c r="M1113" t="n">
        <v>0</v>
      </c>
      <c r="N1113" t="n">
        <v>0</v>
      </c>
      <c r="O1113" t="n">
        <v>0</v>
      </c>
      <c r="P1113" t="n">
        <v>0</v>
      </c>
      <c r="Q1113" t="n">
        <v>0</v>
      </c>
      <c r="R1113" s="2" t="inlineStr"/>
    </row>
    <row r="1114" ht="15" customHeight="1">
      <c r="A1114" t="inlineStr">
        <is>
          <t>A 72526-2018</t>
        </is>
      </c>
      <c r="B1114" s="1" t="n">
        <v>43462</v>
      </c>
      <c r="C1114" s="1" t="n">
        <v>45353</v>
      </c>
      <c r="D1114" t="inlineStr">
        <is>
          <t>VÄRMLANDS LÄN</t>
        </is>
      </c>
      <c r="E1114" t="inlineStr">
        <is>
          <t>FILIPSTAD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1928-2019</t>
        </is>
      </c>
      <c r="B1115" s="1" t="n">
        <v>43462</v>
      </c>
      <c r="C1115" s="1" t="n">
        <v>45353</v>
      </c>
      <c r="D1115" t="inlineStr">
        <is>
          <t>VÄRMLANDS LÄN</t>
        </is>
      </c>
      <c r="E1115" t="inlineStr">
        <is>
          <t>KARLSTAD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2012-2019</t>
        </is>
      </c>
      <c r="B1116" s="1" t="n">
        <v>43462</v>
      </c>
      <c r="C1116" s="1" t="n">
        <v>45353</v>
      </c>
      <c r="D1116" t="inlineStr">
        <is>
          <t>VÄRMLANDS LÄN</t>
        </is>
      </c>
      <c r="E1116" t="inlineStr">
        <is>
          <t>SUNNE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72533-2018</t>
        </is>
      </c>
      <c r="B1117" s="1" t="n">
        <v>43462</v>
      </c>
      <c r="C1117" s="1" t="n">
        <v>45353</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72606-2018</t>
        </is>
      </c>
      <c r="B1118" s="1" t="n">
        <v>43463</v>
      </c>
      <c r="C1118" s="1" t="n">
        <v>45353</v>
      </c>
      <c r="D1118" t="inlineStr">
        <is>
          <t>VÄRMLANDS LÄN</t>
        </is>
      </c>
      <c r="E1118" t="inlineStr">
        <is>
          <t>TORSBY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72648-2018</t>
        </is>
      </c>
      <c r="B1119" s="1" t="n">
        <v>43465</v>
      </c>
      <c r="C1119" s="1" t="n">
        <v>45353</v>
      </c>
      <c r="D1119" t="inlineStr">
        <is>
          <t>VÄRMLANDS LÄN</t>
        </is>
      </c>
      <c r="E1119" t="inlineStr">
        <is>
          <t>TORSBY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22-2019</t>
        </is>
      </c>
      <c r="B1120" s="1" t="n">
        <v>43466</v>
      </c>
      <c r="C1120" s="1" t="n">
        <v>45353</v>
      </c>
      <c r="D1120" t="inlineStr">
        <is>
          <t>VÄRMLANDS LÄN</t>
        </is>
      </c>
      <c r="E1120" t="inlineStr">
        <is>
          <t>TORSBY</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113-2019</t>
        </is>
      </c>
      <c r="B1121" s="1" t="n">
        <v>43467</v>
      </c>
      <c r="C1121" s="1" t="n">
        <v>45353</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152-2019</t>
        </is>
      </c>
      <c r="B1122" s="1" t="n">
        <v>43467</v>
      </c>
      <c r="C1122" s="1" t="n">
        <v>45353</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227-2019</t>
        </is>
      </c>
      <c r="B1123" s="1" t="n">
        <v>43467</v>
      </c>
      <c r="C1123" s="1" t="n">
        <v>45353</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225-2019</t>
        </is>
      </c>
      <c r="B1124" s="1" t="n">
        <v>43467</v>
      </c>
      <c r="C1124" s="1" t="n">
        <v>45353</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193-2019</t>
        </is>
      </c>
      <c r="B1125" s="1" t="n">
        <v>43467</v>
      </c>
      <c r="C1125" s="1" t="n">
        <v>45353</v>
      </c>
      <c r="D1125" t="inlineStr">
        <is>
          <t>VÄRMLANDS LÄN</t>
        </is>
      </c>
      <c r="E1125" t="inlineStr">
        <is>
          <t>SÄFFLE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200-2019</t>
        </is>
      </c>
      <c r="B1126" s="1" t="n">
        <v>43467</v>
      </c>
      <c r="C1126" s="1" t="n">
        <v>45353</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188-2019</t>
        </is>
      </c>
      <c r="B1127" s="1" t="n">
        <v>43467</v>
      </c>
      <c r="C1127" s="1" t="n">
        <v>45353</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223-2019</t>
        </is>
      </c>
      <c r="B1128" s="1" t="n">
        <v>43467</v>
      </c>
      <c r="C1128" s="1" t="n">
        <v>45353</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226-2019</t>
        </is>
      </c>
      <c r="B1129" s="1" t="n">
        <v>43467</v>
      </c>
      <c r="C1129" s="1" t="n">
        <v>45353</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180-2019</t>
        </is>
      </c>
      <c r="B1130" s="1" t="n">
        <v>43467</v>
      </c>
      <c r="C1130" s="1" t="n">
        <v>45353</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201-2019</t>
        </is>
      </c>
      <c r="B1131" s="1" t="n">
        <v>43467</v>
      </c>
      <c r="C1131" s="1" t="n">
        <v>45353</v>
      </c>
      <c r="D1131" t="inlineStr">
        <is>
          <t>VÄRMLANDS LÄN</t>
        </is>
      </c>
      <c r="E1131" t="inlineStr">
        <is>
          <t>ÅRJÄNG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316-2019</t>
        </is>
      </c>
      <c r="B1132" s="1" t="n">
        <v>43468</v>
      </c>
      <c r="C1132" s="1" t="n">
        <v>45353</v>
      </c>
      <c r="D1132" t="inlineStr">
        <is>
          <t>VÄRMLANDS LÄN</t>
        </is>
      </c>
      <c r="E1132" t="inlineStr">
        <is>
          <t>SUNNE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319-2019</t>
        </is>
      </c>
      <c r="B1133" s="1" t="n">
        <v>43468</v>
      </c>
      <c r="C1133" s="1" t="n">
        <v>45353</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2161-2019</t>
        </is>
      </c>
      <c r="B1134" s="1" t="n">
        <v>43468</v>
      </c>
      <c r="C1134" s="1" t="n">
        <v>45353</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491-2019</t>
        </is>
      </c>
      <c r="B1135" s="1" t="n">
        <v>43468</v>
      </c>
      <c r="C1135" s="1" t="n">
        <v>45353</v>
      </c>
      <c r="D1135" t="inlineStr">
        <is>
          <t>VÄRMLANDS LÄN</t>
        </is>
      </c>
      <c r="E1135" t="inlineStr">
        <is>
          <t>ARVIKA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2523-2019</t>
        </is>
      </c>
      <c r="B1136" s="1" t="n">
        <v>43468</v>
      </c>
      <c r="C1136" s="1" t="n">
        <v>45353</v>
      </c>
      <c r="D1136" t="inlineStr">
        <is>
          <t>VÄRMLANDS LÄN</t>
        </is>
      </c>
      <c r="E1136" t="inlineStr">
        <is>
          <t>MUNKFORS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431-2019</t>
        </is>
      </c>
      <c r="B1137" s="1" t="n">
        <v>43468</v>
      </c>
      <c r="C1137" s="1" t="n">
        <v>45353</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415-2019</t>
        </is>
      </c>
      <c r="B1138" s="1" t="n">
        <v>43468</v>
      </c>
      <c r="C1138" s="1" t="n">
        <v>45353</v>
      </c>
      <c r="D1138" t="inlineStr">
        <is>
          <t>VÄRMLANDS LÄN</t>
        </is>
      </c>
      <c r="E1138" t="inlineStr">
        <is>
          <t>KIL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323-2019</t>
        </is>
      </c>
      <c r="B1139" s="1" t="n">
        <v>43468</v>
      </c>
      <c r="C1139" s="1" t="n">
        <v>45353</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453-2019</t>
        </is>
      </c>
      <c r="B1140" s="1" t="n">
        <v>43468</v>
      </c>
      <c r="C1140" s="1" t="n">
        <v>45353</v>
      </c>
      <c r="D1140" t="inlineStr">
        <is>
          <t>VÄRMLANDS LÄN</t>
        </is>
      </c>
      <c r="E1140" t="inlineStr">
        <is>
          <t>EDA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417-2019</t>
        </is>
      </c>
      <c r="B1141" s="1" t="n">
        <v>43468</v>
      </c>
      <c r="C1141" s="1" t="n">
        <v>45353</v>
      </c>
      <c r="D1141" t="inlineStr">
        <is>
          <t>VÄRMLANDS LÄN</t>
        </is>
      </c>
      <c r="E1141" t="inlineStr">
        <is>
          <t>SUNNE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666-2019</t>
        </is>
      </c>
      <c r="B1142" s="1" t="n">
        <v>43469</v>
      </c>
      <c r="C1142" s="1" t="n">
        <v>45353</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610-2019</t>
        </is>
      </c>
      <c r="B1143" s="1" t="n">
        <v>43469</v>
      </c>
      <c r="C1143" s="1" t="n">
        <v>45353</v>
      </c>
      <c r="D1143" t="inlineStr">
        <is>
          <t>VÄRMLANDS LÄN</t>
        </is>
      </c>
      <c r="E1143" t="inlineStr">
        <is>
          <t>ARVIKA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2471-2019</t>
        </is>
      </c>
      <c r="B1144" s="1" t="n">
        <v>43469</v>
      </c>
      <c r="C1144" s="1" t="n">
        <v>45353</v>
      </c>
      <c r="D1144" t="inlineStr">
        <is>
          <t>VÄRMLANDS LÄN</t>
        </is>
      </c>
      <c r="E1144" t="inlineStr">
        <is>
          <t>KARLSTAD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2689-2019</t>
        </is>
      </c>
      <c r="B1145" s="1" t="n">
        <v>43469</v>
      </c>
      <c r="C1145" s="1" t="n">
        <v>45353</v>
      </c>
      <c r="D1145" t="inlineStr">
        <is>
          <t>VÄRMLANDS LÄN</t>
        </is>
      </c>
      <c r="E1145" t="inlineStr">
        <is>
          <t>HAGFORS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2826-2019</t>
        </is>
      </c>
      <c r="B1146" s="1" t="n">
        <v>43469</v>
      </c>
      <c r="C1146" s="1" t="n">
        <v>45353</v>
      </c>
      <c r="D1146" t="inlineStr">
        <is>
          <t>VÄRMLANDS LÄN</t>
        </is>
      </c>
      <c r="E1146" t="inlineStr">
        <is>
          <t>KRISTINEHAMN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2724-2019</t>
        </is>
      </c>
      <c r="B1147" s="1" t="n">
        <v>43471</v>
      </c>
      <c r="C1147" s="1" t="n">
        <v>45353</v>
      </c>
      <c r="D1147" t="inlineStr">
        <is>
          <t>VÄRMLANDS LÄN</t>
        </is>
      </c>
      <c r="E1147" t="inlineStr">
        <is>
          <t>GRUMS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1082-2019</t>
        </is>
      </c>
      <c r="B1148" s="1" t="n">
        <v>43472</v>
      </c>
      <c r="C1148" s="1" t="n">
        <v>45353</v>
      </c>
      <c r="D1148" t="inlineStr">
        <is>
          <t>VÄRMLANDS LÄN</t>
        </is>
      </c>
      <c r="E1148" t="inlineStr">
        <is>
          <t>MUNKFORS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1102-2019</t>
        </is>
      </c>
      <c r="B1149" s="1" t="n">
        <v>43472</v>
      </c>
      <c r="C1149" s="1" t="n">
        <v>45353</v>
      </c>
      <c r="D1149" t="inlineStr">
        <is>
          <t>VÄRMLANDS LÄN</t>
        </is>
      </c>
      <c r="E1149" t="inlineStr">
        <is>
          <t>SÄFFLE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1012-2019</t>
        </is>
      </c>
      <c r="B1150" s="1" t="n">
        <v>43472</v>
      </c>
      <c r="C1150" s="1" t="n">
        <v>45353</v>
      </c>
      <c r="D1150" t="inlineStr">
        <is>
          <t>VÄRMLANDS LÄN</t>
        </is>
      </c>
      <c r="E1150" t="inlineStr">
        <is>
          <t>ARVIKA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896-2019</t>
        </is>
      </c>
      <c r="B1151" s="1" t="n">
        <v>43472</v>
      </c>
      <c r="C1151" s="1" t="n">
        <v>45353</v>
      </c>
      <c r="D1151" t="inlineStr">
        <is>
          <t>VÄRMLANDS LÄN</t>
        </is>
      </c>
      <c r="E1151" t="inlineStr">
        <is>
          <t>MUNKFORS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2765-2019</t>
        </is>
      </c>
      <c r="B1152" s="1" t="n">
        <v>43472</v>
      </c>
      <c r="C1152" s="1" t="n">
        <v>45353</v>
      </c>
      <c r="D1152" t="inlineStr">
        <is>
          <t>VÄRMLANDS LÄN</t>
        </is>
      </c>
      <c r="E1152" t="inlineStr">
        <is>
          <t>SUNNE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1047-2019</t>
        </is>
      </c>
      <c r="B1153" s="1" t="n">
        <v>43472</v>
      </c>
      <c r="C1153" s="1" t="n">
        <v>45353</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2747-2019</t>
        </is>
      </c>
      <c r="B1154" s="1" t="n">
        <v>43472</v>
      </c>
      <c r="C1154" s="1" t="n">
        <v>45353</v>
      </c>
      <c r="D1154" t="inlineStr">
        <is>
          <t>VÄRMLANDS LÄN</t>
        </is>
      </c>
      <c r="E1154" t="inlineStr">
        <is>
          <t>SUNNE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830-2019</t>
        </is>
      </c>
      <c r="B1155" s="1" t="n">
        <v>43472</v>
      </c>
      <c r="C1155" s="1" t="n">
        <v>45353</v>
      </c>
      <c r="D1155" t="inlineStr">
        <is>
          <t>VÄRMLANDS LÄN</t>
        </is>
      </c>
      <c r="E1155" t="inlineStr">
        <is>
          <t>TORSBY</t>
        </is>
      </c>
      <c r="F1155" t="inlineStr">
        <is>
          <t>Bergvik skog väst AB</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866-2019</t>
        </is>
      </c>
      <c r="B1156" s="1" t="n">
        <v>43472</v>
      </c>
      <c r="C1156" s="1" t="n">
        <v>45353</v>
      </c>
      <c r="D1156" t="inlineStr">
        <is>
          <t>VÄRMLANDS LÄN</t>
        </is>
      </c>
      <c r="E1156" t="inlineStr">
        <is>
          <t>SÄFFLE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1250-2019</t>
        </is>
      </c>
      <c r="B1157" s="1" t="n">
        <v>43473</v>
      </c>
      <c r="C1157" s="1" t="n">
        <v>45353</v>
      </c>
      <c r="D1157" t="inlineStr">
        <is>
          <t>VÄRMLANDS LÄN</t>
        </is>
      </c>
      <c r="E1157" t="inlineStr">
        <is>
          <t>FILIPSTAD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3134-2019</t>
        </is>
      </c>
      <c r="B1158" s="1" t="n">
        <v>43473</v>
      </c>
      <c r="C1158" s="1" t="n">
        <v>45353</v>
      </c>
      <c r="D1158" t="inlineStr">
        <is>
          <t>VÄRMLANDS LÄN</t>
        </is>
      </c>
      <c r="E1158" t="inlineStr">
        <is>
          <t>EDA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3216-2019</t>
        </is>
      </c>
      <c r="B1159" s="1" t="n">
        <v>43473</v>
      </c>
      <c r="C1159" s="1" t="n">
        <v>45353</v>
      </c>
      <c r="D1159" t="inlineStr">
        <is>
          <t>VÄRMLANDS LÄN</t>
        </is>
      </c>
      <c r="E1159" t="inlineStr">
        <is>
          <t>FILIPSTAD</t>
        </is>
      </c>
      <c r="F1159" t="inlineStr">
        <is>
          <t>Kommuner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1320-2019</t>
        </is>
      </c>
      <c r="B1160" s="1" t="n">
        <v>43473</v>
      </c>
      <c r="C1160" s="1" t="n">
        <v>45353</v>
      </c>
      <c r="D1160" t="inlineStr">
        <is>
          <t>VÄRMLANDS LÄN</t>
        </is>
      </c>
      <c r="E1160" t="inlineStr">
        <is>
          <t>SUNNE</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1372-2019</t>
        </is>
      </c>
      <c r="B1161" s="1" t="n">
        <v>43473</v>
      </c>
      <c r="C1161" s="1" t="n">
        <v>45353</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3210-2019</t>
        </is>
      </c>
      <c r="B1162" s="1" t="n">
        <v>43473</v>
      </c>
      <c r="C1162" s="1" t="n">
        <v>45353</v>
      </c>
      <c r="D1162" t="inlineStr">
        <is>
          <t>VÄRMLANDS LÄN</t>
        </is>
      </c>
      <c r="E1162" t="inlineStr">
        <is>
          <t>FILIPSTAD</t>
        </is>
      </c>
      <c r="F1162" t="inlineStr">
        <is>
          <t>Kommuner</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1321-2019</t>
        </is>
      </c>
      <c r="B1163" s="1" t="n">
        <v>43473</v>
      </c>
      <c r="C1163" s="1" t="n">
        <v>45353</v>
      </c>
      <c r="D1163" t="inlineStr">
        <is>
          <t>VÄRMLANDS LÄN</t>
        </is>
      </c>
      <c r="E1163" t="inlineStr">
        <is>
          <t>SUNNE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1244-2019</t>
        </is>
      </c>
      <c r="B1164" s="1" t="n">
        <v>43473</v>
      </c>
      <c r="C1164" s="1" t="n">
        <v>45353</v>
      </c>
      <c r="D1164" t="inlineStr">
        <is>
          <t>VÄRMLANDS LÄN</t>
        </is>
      </c>
      <c r="E1164" t="inlineStr">
        <is>
          <t>FILIPSTAD</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3220-2019</t>
        </is>
      </c>
      <c r="B1165" s="1" t="n">
        <v>43473</v>
      </c>
      <c r="C1165" s="1" t="n">
        <v>45353</v>
      </c>
      <c r="D1165" t="inlineStr">
        <is>
          <t>VÄRMLANDS LÄN</t>
        </is>
      </c>
      <c r="E1165" t="inlineStr">
        <is>
          <t>FILIPSTAD</t>
        </is>
      </c>
      <c r="F1165" t="inlineStr">
        <is>
          <t>Kommuner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1460-2019</t>
        </is>
      </c>
      <c r="B1166" s="1" t="n">
        <v>43473</v>
      </c>
      <c r="C1166" s="1" t="n">
        <v>45353</v>
      </c>
      <c r="D1166" t="inlineStr">
        <is>
          <t>VÄRMLANDS LÄN</t>
        </is>
      </c>
      <c r="E1166" t="inlineStr">
        <is>
          <t>KARLSTAD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1482-2019</t>
        </is>
      </c>
      <c r="B1167" s="1" t="n">
        <v>43473</v>
      </c>
      <c r="C1167" s="1" t="n">
        <v>45353</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1494-2019</t>
        </is>
      </c>
      <c r="B1168" s="1" t="n">
        <v>43473</v>
      </c>
      <c r="C1168" s="1" t="n">
        <v>45353</v>
      </c>
      <c r="D1168" t="inlineStr">
        <is>
          <t>VÄRMLANDS LÄN</t>
        </is>
      </c>
      <c r="E1168" t="inlineStr">
        <is>
          <t>ARVIKA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1395-2019</t>
        </is>
      </c>
      <c r="B1169" s="1" t="n">
        <v>43473</v>
      </c>
      <c r="C1169" s="1" t="n">
        <v>45353</v>
      </c>
      <c r="D1169" t="inlineStr">
        <is>
          <t>VÄRMLANDS LÄN</t>
        </is>
      </c>
      <c r="E1169" t="inlineStr">
        <is>
          <t>FILIPSTAD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1240-2019</t>
        </is>
      </c>
      <c r="B1170" s="1" t="n">
        <v>43473</v>
      </c>
      <c r="C1170" s="1" t="n">
        <v>45353</v>
      </c>
      <c r="D1170" t="inlineStr">
        <is>
          <t>VÄRMLANDS LÄN</t>
        </is>
      </c>
      <c r="E1170" t="inlineStr">
        <is>
          <t>FILIPSTAD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1664-2019</t>
        </is>
      </c>
      <c r="B1171" s="1" t="n">
        <v>43474</v>
      </c>
      <c r="C1171" s="1" t="n">
        <v>45353</v>
      </c>
      <c r="D1171" t="inlineStr">
        <is>
          <t>VÄRMLANDS LÄN</t>
        </is>
      </c>
      <c r="E1171" t="inlineStr">
        <is>
          <t>FILIPSTAD</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1757-2019</t>
        </is>
      </c>
      <c r="B1172" s="1" t="n">
        <v>43474</v>
      </c>
      <c r="C1172" s="1" t="n">
        <v>45353</v>
      </c>
      <c r="D1172" t="inlineStr">
        <is>
          <t>VÄRMLANDS LÄN</t>
        </is>
      </c>
      <c r="E1172" t="inlineStr">
        <is>
          <t>FILIPSTAD</t>
        </is>
      </c>
      <c r="F1172" t="inlineStr">
        <is>
          <t>Bergvik skog väst AB</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1871-2019</t>
        </is>
      </c>
      <c r="B1173" s="1" t="n">
        <v>43474</v>
      </c>
      <c r="C1173" s="1" t="n">
        <v>45353</v>
      </c>
      <c r="D1173" t="inlineStr">
        <is>
          <t>VÄRMLANDS LÄN</t>
        </is>
      </c>
      <c r="E1173" t="inlineStr">
        <is>
          <t>FORSHAGA</t>
        </is>
      </c>
      <c r="F1173" t="inlineStr">
        <is>
          <t>Bergvik skog väst AB</t>
        </is>
      </c>
      <c r="G1173" t="n">
        <v>19.5</v>
      </c>
      <c r="H1173" t="n">
        <v>0</v>
      </c>
      <c r="I1173" t="n">
        <v>0</v>
      </c>
      <c r="J1173" t="n">
        <v>0</v>
      </c>
      <c r="K1173" t="n">
        <v>0</v>
      </c>
      <c r="L1173" t="n">
        <v>0</v>
      </c>
      <c r="M1173" t="n">
        <v>0</v>
      </c>
      <c r="N1173" t="n">
        <v>0</v>
      </c>
      <c r="O1173" t="n">
        <v>0</v>
      </c>
      <c r="P1173" t="n">
        <v>0</v>
      </c>
      <c r="Q1173" t="n">
        <v>0</v>
      </c>
      <c r="R1173" s="2" t="inlineStr"/>
    </row>
    <row r="1174" ht="15" customHeight="1">
      <c r="A1174" t="inlineStr">
        <is>
          <t>A 1689-2019</t>
        </is>
      </c>
      <c r="B1174" s="1" t="n">
        <v>43474</v>
      </c>
      <c r="C1174" s="1" t="n">
        <v>45353</v>
      </c>
      <c r="D1174" t="inlineStr">
        <is>
          <t>VÄRMLANDS LÄN</t>
        </is>
      </c>
      <c r="E1174" t="inlineStr">
        <is>
          <t>SUNNE</t>
        </is>
      </c>
      <c r="F1174" t="inlineStr">
        <is>
          <t>Kommuner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1712-2019</t>
        </is>
      </c>
      <c r="B1175" s="1" t="n">
        <v>43474</v>
      </c>
      <c r="C1175" s="1" t="n">
        <v>45353</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3267-2019</t>
        </is>
      </c>
      <c r="B1176" s="1" t="n">
        <v>43474</v>
      </c>
      <c r="C1176" s="1" t="n">
        <v>45353</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1581-2019</t>
        </is>
      </c>
      <c r="B1177" s="1" t="n">
        <v>43474</v>
      </c>
      <c r="C1177" s="1" t="n">
        <v>45353</v>
      </c>
      <c r="D1177" t="inlineStr">
        <is>
          <t>VÄRMLANDS LÄN</t>
        </is>
      </c>
      <c r="E1177" t="inlineStr">
        <is>
          <t>EDA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1872-2019</t>
        </is>
      </c>
      <c r="B1178" s="1" t="n">
        <v>43474</v>
      </c>
      <c r="C1178" s="1" t="n">
        <v>45353</v>
      </c>
      <c r="D1178" t="inlineStr">
        <is>
          <t>VÄRMLANDS LÄN</t>
        </is>
      </c>
      <c r="E1178" t="inlineStr">
        <is>
          <t>KARLSTAD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3692-2019</t>
        </is>
      </c>
      <c r="B1179" s="1" t="n">
        <v>43474</v>
      </c>
      <c r="C1179" s="1" t="n">
        <v>45353</v>
      </c>
      <c r="D1179" t="inlineStr">
        <is>
          <t>VÄRMLANDS LÄN</t>
        </is>
      </c>
      <c r="E1179" t="inlineStr">
        <is>
          <t>KARLSTAD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1734-2019</t>
        </is>
      </c>
      <c r="B1180" s="1" t="n">
        <v>43474</v>
      </c>
      <c r="C1180" s="1" t="n">
        <v>45353</v>
      </c>
      <c r="D1180" t="inlineStr">
        <is>
          <t>VÄRMLANDS LÄN</t>
        </is>
      </c>
      <c r="E1180" t="inlineStr">
        <is>
          <t>FILIPSTAD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3271-2019</t>
        </is>
      </c>
      <c r="B1181" s="1" t="n">
        <v>43474</v>
      </c>
      <c r="C1181" s="1" t="n">
        <v>45353</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1725-2019</t>
        </is>
      </c>
      <c r="B1182" s="1" t="n">
        <v>43474</v>
      </c>
      <c r="C1182" s="1" t="n">
        <v>45353</v>
      </c>
      <c r="D1182" t="inlineStr">
        <is>
          <t>VÄRMLANDS LÄN</t>
        </is>
      </c>
      <c r="E1182" t="inlineStr">
        <is>
          <t>SUNNE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1701-2019</t>
        </is>
      </c>
      <c r="B1183" s="1" t="n">
        <v>43474</v>
      </c>
      <c r="C1183" s="1" t="n">
        <v>45353</v>
      </c>
      <c r="D1183" t="inlineStr">
        <is>
          <t>VÄRMLANDS LÄN</t>
        </is>
      </c>
      <c r="E1183" t="inlineStr">
        <is>
          <t>ÅRJÄNG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3458-2019</t>
        </is>
      </c>
      <c r="B1184" s="1" t="n">
        <v>43474</v>
      </c>
      <c r="C1184" s="1" t="n">
        <v>45353</v>
      </c>
      <c r="D1184" t="inlineStr">
        <is>
          <t>VÄRMLANDS LÄN</t>
        </is>
      </c>
      <c r="E1184" t="inlineStr">
        <is>
          <t>HAGFORS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3265-2019</t>
        </is>
      </c>
      <c r="B1185" s="1" t="n">
        <v>43474</v>
      </c>
      <c r="C1185" s="1" t="n">
        <v>45353</v>
      </c>
      <c r="D1185" t="inlineStr">
        <is>
          <t>VÄRMLANDS LÄN</t>
        </is>
      </c>
      <c r="E1185" t="inlineStr">
        <is>
          <t>SUNNE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1769-2019</t>
        </is>
      </c>
      <c r="B1186" s="1" t="n">
        <v>43474</v>
      </c>
      <c r="C1186" s="1" t="n">
        <v>45353</v>
      </c>
      <c r="D1186" t="inlineStr">
        <is>
          <t>VÄRMLANDS LÄN</t>
        </is>
      </c>
      <c r="E1186" t="inlineStr">
        <is>
          <t>EDA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1705-2019</t>
        </is>
      </c>
      <c r="B1187" s="1" t="n">
        <v>43474</v>
      </c>
      <c r="C1187" s="1" t="n">
        <v>45353</v>
      </c>
      <c r="D1187" t="inlineStr">
        <is>
          <t>VÄRMLANDS LÄN</t>
        </is>
      </c>
      <c r="E1187" t="inlineStr">
        <is>
          <t>FILIPSTAD</t>
        </is>
      </c>
      <c r="F1187" t="inlineStr">
        <is>
          <t>Bergvik skog väst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1571-2019</t>
        </is>
      </c>
      <c r="B1188" s="1" t="n">
        <v>43474</v>
      </c>
      <c r="C1188" s="1" t="n">
        <v>45353</v>
      </c>
      <c r="D1188" t="inlineStr">
        <is>
          <t>VÄRMLANDS LÄN</t>
        </is>
      </c>
      <c r="E1188" t="inlineStr">
        <is>
          <t>KARLSTAD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2264-2019</t>
        </is>
      </c>
      <c r="B1189" s="1" t="n">
        <v>43475</v>
      </c>
      <c r="C1189" s="1" t="n">
        <v>45353</v>
      </c>
      <c r="D1189" t="inlineStr">
        <is>
          <t>VÄRMLANDS LÄN</t>
        </is>
      </c>
      <c r="E1189" t="inlineStr">
        <is>
          <t>KRISTINEHAMN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2261-2019</t>
        </is>
      </c>
      <c r="B1190" s="1" t="n">
        <v>43475</v>
      </c>
      <c r="C1190" s="1" t="n">
        <v>45353</v>
      </c>
      <c r="D1190" t="inlineStr">
        <is>
          <t>VÄRMLANDS LÄN</t>
        </is>
      </c>
      <c r="E1190" t="inlineStr">
        <is>
          <t>FORSHAGA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2266-2019</t>
        </is>
      </c>
      <c r="B1191" s="1" t="n">
        <v>43475</v>
      </c>
      <c r="C1191" s="1" t="n">
        <v>45353</v>
      </c>
      <c r="D1191" t="inlineStr">
        <is>
          <t>VÄRMLANDS LÄN</t>
        </is>
      </c>
      <c r="E1191" t="inlineStr">
        <is>
          <t>KRISTINEHAMN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2265-2019</t>
        </is>
      </c>
      <c r="B1192" s="1" t="n">
        <v>43475</v>
      </c>
      <c r="C1192" s="1" t="n">
        <v>45353</v>
      </c>
      <c r="D1192" t="inlineStr">
        <is>
          <t>VÄRMLANDS LÄN</t>
        </is>
      </c>
      <c r="E1192" t="inlineStr">
        <is>
          <t>KRISTINEHAMN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1979-2019</t>
        </is>
      </c>
      <c r="B1193" s="1" t="n">
        <v>43475</v>
      </c>
      <c r="C1193" s="1" t="n">
        <v>45353</v>
      </c>
      <c r="D1193" t="inlineStr">
        <is>
          <t>VÄRMLANDS LÄN</t>
        </is>
      </c>
      <c r="E1193" t="inlineStr">
        <is>
          <t>TORSBY</t>
        </is>
      </c>
      <c r="G1193" t="n">
        <v>10.7</v>
      </c>
      <c r="H1193" t="n">
        <v>0</v>
      </c>
      <c r="I1193" t="n">
        <v>0</v>
      </c>
      <c r="J1193" t="n">
        <v>0</v>
      </c>
      <c r="K1193" t="n">
        <v>0</v>
      </c>
      <c r="L1193" t="n">
        <v>0</v>
      </c>
      <c r="M1193" t="n">
        <v>0</v>
      </c>
      <c r="N1193" t="n">
        <v>0</v>
      </c>
      <c r="O1193" t="n">
        <v>0</v>
      </c>
      <c r="P1193" t="n">
        <v>0</v>
      </c>
      <c r="Q1193" t="n">
        <v>0</v>
      </c>
      <c r="R1193" s="2" t="inlineStr"/>
    </row>
    <row r="1194" ht="15" customHeight="1">
      <c r="A1194" t="inlineStr">
        <is>
          <t>A 3964-2019</t>
        </is>
      </c>
      <c r="B1194" s="1" t="n">
        <v>43475</v>
      </c>
      <c r="C1194" s="1" t="n">
        <v>45353</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1947-2019</t>
        </is>
      </c>
      <c r="B1195" s="1" t="n">
        <v>43475</v>
      </c>
      <c r="C1195" s="1" t="n">
        <v>45353</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2240-2019</t>
        </is>
      </c>
      <c r="B1196" s="1" t="n">
        <v>43475</v>
      </c>
      <c r="C1196" s="1" t="n">
        <v>45353</v>
      </c>
      <c r="D1196" t="inlineStr">
        <is>
          <t>VÄRMLANDS LÄN</t>
        </is>
      </c>
      <c r="E1196" t="inlineStr">
        <is>
          <t>EDA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3959-2019</t>
        </is>
      </c>
      <c r="B1197" s="1" t="n">
        <v>43475</v>
      </c>
      <c r="C1197" s="1" t="n">
        <v>45353</v>
      </c>
      <c r="D1197" t="inlineStr">
        <is>
          <t>VÄRMLANDS LÄN</t>
        </is>
      </c>
      <c r="E1197" t="inlineStr">
        <is>
          <t>SÄFFLE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2140-2019</t>
        </is>
      </c>
      <c r="B1198" s="1" t="n">
        <v>43475</v>
      </c>
      <c r="C1198" s="1" t="n">
        <v>45353</v>
      </c>
      <c r="D1198" t="inlineStr">
        <is>
          <t>VÄRMLANDS LÄN</t>
        </is>
      </c>
      <c r="E1198" t="inlineStr">
        <is>
          <t>FILIPSTAD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3610-2019</t>
        </is>
      </c>
      <c r="B1199" s="1" t="n">
        <v>43475</v>
      </c>
      <c r="C1199" s="1" t="n">
        <v>45353</v>
      </c>
      <c r="D1199" t="inlineStr">
        <is>
          <t>VÄRMLANDS LÄN</t>
        </is>
      </c>
      <c r="E1199" t="inlineStr">
        <is>
          <t>EDA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2262-2019</t>
        </is>
      </c>
      <c r="B1200" s="1" t="n">
        <v>43475</v>
      </c>
      <c r="C1200" s="1" t="n">
        <v>45353</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3649-2019</t>
        </is>
      </c>
      <c r="B1201" s="1" t="n">
        <v>43475</v>
      </c>
      <c r="C1201" s="1" t="n">
        <v>45353</v>
      </c>
      <c r="D1201" t="inlineStr">
        <is>
          <t>VÄRMLANDS LÄN</t>
        </is>
      </c>
      <c r="E1201" t="inlineStr">
        <is>
          <t>FORSHAGA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2472-2019</t>
        </is>
      </c>
      <c r="B1202" s="1" t="n">
        <v>43476</v>
      </c>
      <c r="C1202" s="1" t="n">
        <v>45353</v>
      </c>
      <c r="D1202" t="inlineStr">
        <is>
          <t>VÄRMLANDS LÄN</t>
        </is>
      </c>
      <c r="E1202" t="inlineStr">
        <is>
          <t>STORFORS</t>
        </is>
      </c>
      <c r="F1202" t="inlineStr">
        <is>
          <t>Bergvik skog väst AB</t>
        </is>
      </c>
      <c r="G1202" t="n">
        <v>26.1</v>
      </c>
      <c r="H1202" t="n">
        <v>0</v>
      </c>
      <c r="I1202" t="n">
        <v>0</v>
      </c>
      <c r="J1202" t="n">
        <v>0</v>
      </c>
      <c r="K1202" t="n">
        <v>0</v>
      </c>
      <c r="L1202" t="n">
        <v>0</v>
      </c>
      <c r="M1202" t="n">
        <v>0</v>
      </c>
      <c r="N1202" t="n">
        <v>0</v>
      </c>
      <c r="O1202" t="n">
        <v>0</v>
      </c>
      <c r="P1202" t="n">
        <v>0</v>
      </c>
      <c r="Q1202" t="n">
        <v>0</v>
      </c>
      <c r="R1202" s="2" t="inlineStr"/>
    </row>
    <row r="1203" ht="15" customHeight="1">
      <c r="A1203" t="inlineStr">
        <is>
          <t>A 2548-2019</t>
        </is>
      </c>
      <c r="B1203" s="1" t="n">
        <v>43476</v>
      </c>
      <c r="C1203" s="1" t="n">
        <v>45353</v>
      </c>
      <c r="D1203" t="inlineStr">
        <is>
          <t>VÄRMLANDS LÄN</t>
        </is>
      </c>
      <c r="E1203" t="inlineStr">
        <is>
          <t>SUNNE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2560-2019</t>
        </is>
      </c>
      <c r="B1204" s="1" t="n">
        <v>43476</v>
      </c>
      <c r="C1204" s="1" t="n">
        <v>45353</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2563-2019</t>
        </is>
      </c>
      <c r="B1205" s="1" t="n">
        <v>43476</v>
      </c>
      <c r="C1205" s="1" t="n">
        <v>45353</v>
      </c>
      <c r="D1205" t="inlineStr">
        <is>
          <t>VÄRMLANDS LÄN</t>
        </is>
      </c>
      <c r="E1205" t="inlineStr">
        <is>
          <t>SUNNE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4223-2019</t>
        </is>
      </c>
      <c r="B1206" s="1" t="n">
        <v>43476</v>
      </c>
      <c r="C1206" s="1" t="n">
        <v>45353</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4191-2019</t>
        </is>
      </c>
      <c r="B1207" s="1" t="n">
        <v>43476</v>
      </c>
      <c r="C1207" s="1" t="n">
        <v>45353</v>
      </c>
      <c r="D1207" t="inlineStr">
        <is>
          <t>VÄRMLANDS LÄN</t>
        </is>
      </c>
      <c r="E1207" t="inlineStr">
        <is>
          <t>SÄFFLE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4243-2019</t>
        </is>
      </c>
      <c r="B1208" s="1" t="n">
        <v>43476</v>
      </c>
      <c r="C1208" s="1" t="n">
        <v>45353</v>
      </c>
      <c r="D1208" t="inlineStr">
        <is>
          <t>VÄRMLANDS LÄN</t>
        </is>
      </c>
      <c r="E1208" t="inlineStr">
        <is>
          <t>SUNNE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4317-2019</t>
        </is>
      </c>
      <c r="B1209" s="1" t="n">
        <v>43476</v>
      </c>
      <c r="C1209" s="1" t="n">
        <v>45353</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4173-2019</t>
        </is>
      </c>
      <c r="B1210" s="1" t="n">
        <v>43476</v>
      </c>
      <c r="C1210" s="1" t="n">
        <v>45353</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4254-2019</t>
        </is>
      </c>
      <c r="B1211" s="1" t="n">
        <v>43476</v>
      </c>
      <c r="C1211" s="1" t="n">
        <v>45353</v>
      </c>
      <c r="D1211" t="inlineStr">
        <is>
          <t>VÄRMLANDS LÄN</t>
        </is>
      </c>
      <c r="E1211" t="inlineStr">
        <is>
          <t>SUNNE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4305-2019</t>
        </is>
      </c>
      <c r="B1212" s="1" t="n">
        <v>43476</v>
      </c>
      <c r="C1212" s="1" t="n">
        <v>45353</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4322-2019</t>
        </is>
      </c>
      <c r="B1213" s="1" t="n">
        <v>43476</v>
      </c>
      <c r="C1213" s="1" t="n">
        <v>45353</v>
      </c>
      <c r="D1213" t="inlineStr">
        <is>
          <t>VÄRMLANDS LÄN</t>
        </is>
      </c>
      <c r="E1213" t="inlineStr">
        <is>
          <t>SUNNE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4187-2019</t>
        </is>
      </c>
      <c r="B1214" s="1" t="n">
        <v>43476</v>
      </c>
      <c r="C1214" s="1" t="n">
        <v>45353</v>
      </c>
      <c r="D1214" t="inlineStr">
        <is>
          <t>VÄRMLANDS LÄN</t>
        </is>
      </c>
      <c r="E1214" t="inlineStr">
        <is>
          <t>KARLSTAD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4167-2019</t>
        </is>
      </c>
      <c r="B1215" s="1" t="n">
        <v>43476</v>
      </c>
      <c r="C1215" s="1" t="n">
        <v>45353</v>
      </c>
      <c r="D1215" t="inlineStr">
        <is>
          <t>VÄRMLANDS LÄN</t>
        </is>
      </c>
      <c r="E1215" t="inlineStr">
        <is>
          <t>KRISTINEHAMN</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2508-2019</t>
        </is>
      </c>
      <c r="B1216" s="1" t="n">
        <v>43476</v>
      </c>
      <c r="C1216" s="1" t="n">
        <v>45353</v>
      </c>
      <c r="D1216" t="inlineStr">
        <is>
          <t>VÄRMLANDS LÄN</t>
        </is>
      </c>
      <c r="E1216" t="inlineStr">
        <is>
          <t>STORFORS</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4279-2019</t>
        </is>
      </c>
      <c r="B1217" s="1" t="n">
        <v>43476</v>
      </c>
      <c r="C1217" s="1" t="n">
        <v>45353</v>
      </c>
      <c r="D1217" t="inlineStr">
        <is>
          <t>VÄRMLANDS LÄN</t>
        </is>
      </c>
      <c r="E1217" t="inlineStr">
        <is>
          <t>SUNNE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4319-2019</t>
        </is>
      </c>
      <c r="B1218" s="1" t="n">
        <v>43476</v>
      </c>
      <c r="C1218" s="1" t="n">
        <v>45353</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4235-2019</t>
        </is>
      </c>
      <c r="B1219" s="1" t="n">
        <v>43476</v>
      </c>
      <c r="C1219" s="1" t="n">
        <v>45353</v>
      </c>
      <c r="D1219" t="inlineStr">
        <is>
          <t>VÄRMLANDS LÄN</t>
        </is>
      </c>
      <c r="E1219" t="inlineStr">
        <is>
          <t>SUNNE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4304-2019</t>
        </is>
      </c>
      <c r="B1220" s="1" t="n">
        <v>43476</v>
      </c>
      <c r="C1220" s="1" t="n">
        <v>45353</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2480-2019</t>
        </is>
      </c>
      <c r="B1221" s="1" t="n">
        <v>43476</v>
      </c>
      <c r="C1221" s="1" t="n">
        <v>45353</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4300-2019</t>
        </is>
      </c>
      <c r="B1222" s="1" t="n">
        <v>43476</v>
      </c>
      <c r="C1222" s="1" t="n">
        <v>45353</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4266-2019</t>
        </is>
      </c>
      <c r="B1223" s="1" t="n">
        <v>43476</v>
      </c>
      <c r="C1223" s="1" t="n">
        <v>45353</v>
      </c>
      <c r="D1223" t="inlineStr">
        <is>
          <t>VÄRMLANDS LÄN</t>
        </is>
      </c>
      <c r="E1223" t="inlineStr">
        <is>
          <t>SUNNE</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4246-2019</t>
        </is>
      </c>
      <c r="B1224" s="1" t="n">
        <v>43476</v>
      </c>
      <c r="C1224" s="1" t="n">
        <v>45353</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2664-2019</t>
        </is>
      </c>
      <c r="B1225" s="1" t="n">
        <v>43478</v>
      </c>
      <c r="C1225" s="1" t="n">
        <v>45353</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2889-2019</t>
        </is>
      </c>
      <c r="B1226" s="1" t="n">
        <v>43479</v>
      </c>
      <c r="C1226" s="1" t="n">
        <v>45353</v>
      </c>
      <c r="D1226" t="inlineStr">
        <is>
          <t>VÄRMLANDS LÄN</t>
        </is>
      </c>
      <c r="E1226" t="inlineStr">
        <is>
          <t>HAGFORS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2762-2019</t>
        </is>
      </c>
      <c r="B1227" s="1" t="n">
        <v>43479</v>
      </c>
      <c r="C1227" s="1" t="n">
        <v>45353</v>
      </c>
      <c r="D1227" t="inlineStr">
        <is>
          <t>VÄRMLANDS LÄN</t>
        </is>
      </c>
      <c r="E1227" t="inlineStr">
        <is>
          <t>HAGFORS</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2950-2019</t>
        </is>
      </c>
      <c r="B1228" s="1" t="n">
        <v>43479</v>
      </c>
      <c r="C1228" s="1" t="n">
        <v>45353</v>
      </c>
      <c r="D1228" t="inlineStr">
        <is>
          <t>VÄRMLANDS LÄN</t>
        </is>
      </c>
      <c r="E1228" t="inlineStr">
        <is>
          <t>TORSBY</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2763-2019</t>
        </is>
      </c>
      <c r="B1229" s="1" t="n">
        <v>43479</v>
      </c>
      <c r="C1229" s="1" t="n">
        <v>45353</v>
      </c>
      <c r="D1229" t="inlineStr">
        <is>
          <t>VÄRMLANDS LÄN</t>
        </is>
      </c>
      <c r="E1229" t="inlineStr">
        <is>
          <t>FILIPSTAD</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2922-2019</t>
        </is>
      </c>
      <c r="B1230" s="1" t="n">
        <v>43479</v>
      </c>
      <c r="C1230" s="1" t="n">
        <v>45353</v>
      </c>
      <c r="D1230" t="inlineStr">
        <is>
          <t>VÄRMLANDS LÄN</t>
        </is>
      </c>
      <c r="E1230" t="inlineStr">
        <is>
          <t>TORSBY</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2945-2019</t>
        </is>
      </c>
      <c r="B1231" s="1" t="n">
        <v>43479</v>
      </c>
      <c r="C1231" s="1" t="n">
        <v>45353</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3083-2019</t>
        </is>
      </c>
      <c r="B1232" s="1" t="n">
        <v>43479</v>
      </c>
      <c r="C1232" s="1" t="n">
        <v>45353</v>
      </c>
      <c r="D1232" t="inlineStr">
        <is>
          <t>VÄRMLANDS LÄN</t>
        </is>
      </c>
      <c r="E1232" t="inlineStr">
        <is>
          <t>KRISTINEHAMN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4903-2019</t>
        </is>
      </c>
      <c r="B1233" s="1" t="n">
        <v>43479</v>
      </c>
      <c r="C1233" s="1" t="n">
        <v>45353</v>
      </c>
      <c r="D1233" t="inlineStr">
        <is>
          <t>VÄRMLANDS LÄN</t>
        </is>
      </c>
      <c r="E1233" t="inlineStr">
        <is>
          <t>SÄFFLE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3060-2019</t>
        </is>
      </c>
      <c r="B1234" s="1" t="n">
        <v>43479</v>
      </c>
      <c r="C1234" s="1" t="n">
        <v>45353</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2937-2019</t>
        </is>
      </c>
      <c r="B1235" s="1" t="n">
        <v>43479</v>
      </c>
      <c r="C1235" s="1" t="n">
        <v>45353</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4732-2019</t>
        </is>
      </c>
      <c r="B1236" s="1" t="n">
        <v>43479</v>
      </c>
      <c r="C1236" s="1" t="n">
        <v>45353</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2838-2019</t>
        </is>
      </c>
      <c r="B1237" s="1" t="n">
        <v>43479</v>
      </c>
      <c r="C1237" s="1" t="n">
        <v>45353</v>
      </c>
      <c r="D1237" t="inlineStr">
        <is>
          <t>VÄRMLANDS LÄN</t>
        </is>
      </c>
      <c r="E1237" t="inlineStr">
        <is>
          <t>STORFORS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2879-2019</t>
        </is>
      </c>
      <c r="B1238" s="1" t="n">
        <v>43479</v>
      </c>
      <c r="C1238" s="1" t="n">
        <v>45353</v>
      </c>
      <c r="D1238" t="inlineStr">
        <is>
          <t>VÄRMLANDS LÄN</t>
        </is>
      </c>
      <c r="E1238" t="inlineStr">
        <is>
          <t>SÄFFLE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3373-2019</t>
        </is>
      </c>
      <c r="B1239" s="1" t="n">
        <v>43480</v>
      </c>
      <c r="C1239" s="1" t="n">
        <v>45353</v>
      </c>
      <c r="D1239" t="inlineStr">
        <is>
          <t>VÄRMLANDS LÄN</t>
        </is>
      </c>
      <c r="E1239" t="inlineStr">
        <is>
          <t>KARLSTAD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3368-2019</t>
        </is>
      </c>
      <c r="B1240" s="1" t="n">
        <v>43480</v>
      </c>
      <c r="C1240" s="1" t="n">
        <v>45353</v>
      </c>
      <c r="D1240" t="inlineStr">
        <is>
          <t>VÄRMLANDS LÄN</t>
        </is>
      </c>
      <c r="E1240" t="inlineStr">
        <is>
          <t>GRUMS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3193-2019</t>
        </is>
      </c>
      <c r="B1241" s="1" t="n">
        <v>43480</v>
      </c>
      <c r="C1241" s="1" t="n">
        <v>45353</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3347-2019</t>
        </is>
      </c>
      <c r="B1242" s="1" t="n">
        <v>43480</v>
      </c>
      <c r="C1242" s="1" t="n">
        <v>45353</v>
      </c>
      <c r="D1242" t="inlineStr">
        <is>
          <t>VÄRMLANDS LÄN</t>
        </is>
      </c>
      <c r="E1242" t="inlineStr">
        <is>
          <t>KARLSTAD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5053-2019</t>
        </is>
      </c>
      <c r="B1243" s="1" t="n">
        <v>43480</v>
      </c>
      <c r="C1243" s="1" t="n">
        <v>45353</v>
      </c>
      <c r="D1243" t="inlineStr">
        <is>
          <t>VÄRMLANDS LÄN</t>
        </is>
      </c>
      <c r="E1243" t="inlineStr">
        <is>
          <t>ARVIKA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5048-2019</t>
        </is>
      </c>
      <c r="B1244" s="1" t="n">
        <v>43480</v>
      </c>
      <c r="C1244" s="1" t="n">
        <v>45353</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5011-2019</t>
        </is>
      </c>
      <c r="B1245" s="1" t="n">
        <v>43480</v>
      </c>
      <c r="C1245" s="1" t="n">
        <v>45353</v>
      </c>
      <c r="D1245" t="inlineStr">
        <is>
          <t>VÄRMLANDS LÄN</t>
        </is>
      </c>
      <c r="E1245" t="inlineStr">
        <is>
          <t>KRISTINEHAMN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3173-2019</t>
        </is>
      </c>
      <c r="B1246" s="1" t="n">
        <v>43480</v>
      </c>
      <c r="C1246" s="1" t="n">
        <v>45353</v>
      </c>
      <c r="D1246" t="inlineStr">
        <is>
          <t>VÄRMLANDS LÄN</t>
        </is>
      </c>
      <c r="E1246" t="inlineStr">
        <is>
          <t>KRISTINEHAMN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3495-2019</t>
        </is>
      </c>
      <c r="B1247" s="1" t="n">
        <v>43481</v>
      </c>
      <c r="C1247" s="1" t="n">
        <v>45353</v>
      </c>
      <c r="D1247" t="inlineStr">
        <is>
          <t>VÄRMLANDS LÄN</t>
        </is>
      </c>
      <c r="E1247" t="inlineStr">
        <is>
          <t>HAGFORS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3715-2019</t>
        </is>
      </c>
      <c r="B1248" s="1" t="n">
        <v>43481</v>
      </c>
      <c r="C1248" s="1" t="n">
        <v>45353</v>
      </c>
      <c r="D1248" t="inlineStr">
        <is>
          <t>VÄRMLANDS LÄN</t>
        </is>
      </c>
      <c r="E1248" t="inlineStr">
        <is>
          <t>GRUMS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5283-2019</t>
        </is>
      </c>
      <c r="B1249" s="1" t="n">
        <v>43481</v>
      </c>
      <c r="C1249" s="1" t="n">
        <v>45353</v>
      </c>
      <c r="D1249" t="inlineStr">
        <is>
          <t>VÄRMLANDS LÄN</t>
        </is>
      </c>
      <c r="E1249" t="inlineStr">
        <is>
          <t>ÅRJÄNG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3501-2019</t>
        </is>
      </c>
      <c r="B1250" s="1" t="n">
        <v>43481</v>
      </c>
      <c r="C1250" s="1" t="n">
        <v>45353</v>
      </c>
      <c r="D1250" t="inlineStr">
        <is>
          <t>VÄRMLANDS LÄN</t>
        </is>
      </c>
      <c r="E1250" t="inlineStr">
        <is>
          <t>HAGFORS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3654-2019</t>
        </is>
      </c>
      <c r="B1251" s="1" t="n">
        <v>43481</v>
      </c>
      <c r="C1251" s="1" t="n">
        <v>45353</v>
      </c>
      <c r="D1251" t="inlineStr">
        <is>
          <t>VÄRMLANDS LÄN</t>
        </is>
      </c>
      <c r="E1251" t="inlineStr">
        <is>
          <t>SUNNE</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3500-2019</t>
        </is>
      </c>
      <c r="B1252" s="1" t="n">
        <v>43481</v>
      </c>
      <c r="C1252" s="1" t="n">
        <v>45353</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3709-2019</t>
        </is>
      </c>
      <c r="B1253" s="1" t="n">
        <v>43481</v>
      </c>
      <c r="C1253" s="1" t="n">
        <v>45353</v>
      </c>
      <c r="D1253" t="inlineStr">
        <is>
          <t>VÄRMLANDS LÄN</t>
        </is>
      </c>
      <c r="E1253" t="inlineStr">
        <is>
          <t>TORSBY</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3590-2019</t>
        </is>
      </c>
      <c r="B1254" s="1" t="n">
        <v>43481</v>
      </c>
      <c r="C1254" s="1" t="n">
        <v>45353</v>
      </c>
      <c r="D1254" t="inlineStr">
        <is>
          <t>VÄRMLANDS LÄN</t>
        </is>
      </c>
      <c r="E1254" t="inlineStr">
        <is>
          <t>SUNNE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3506-2019</t>
        </is>
      </c>
      <c r="B1255" s="1" t="n">
        <v>43481</v>
      </c>
      <c r="C1255" s="1" t="n">
        <v>45353</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3891-2019</t>
        </is>
      </c>
      <c r="B1256" s="1" t="n">
        <v>43482</v>
      </c>
      <c r="C1256" s="1" t="n">
        <v>45353</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3957-2019</t>
        </is>
      </c>
      <c r="B1257" s="1" t="n">
        <v>43482</v>
      </c>
      <c r="C1257" s="1" t="n">
        <v>45353</v>
      </c>
      <c r="D1257" t="inlineStr">
        <is>
          <t>VÄRMLANDS LÄN</t>
        </is>
      </c>
      <c r="E1257" t="inlineStr">
        <is>
          <t>STORFORS</t>
        </is>
      </c>
      <c r="F1257" t="inlineStr">
        <is>
          <t>Bergvik skog väst AB</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5592-2019</t>
        </is>
      </c>
      <c r="B1258" s="1" t="n">
        <v>43482</v>
      </c>
      <c r="C1258" s="1" t="n">
        <v>45353</v>
      </c>
      <c r="D1258" t="inlineStr">
        <is>
          <t>VÄRMLANDS LÄN</t>
        </is>
      </c>
      <c r="E1258" t="inlineStr">
        <is>
          <t>EDA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5596-2019</t>
        </is>
      </c>
      <c r="B1259" s="1" t="n">
        <v>43482</v>
      </c>
      <c r="C1259" s="1" t="n">
        <v>45353</v>
      </c>
      <c r="D1259" t="inlineStr">
        <is>
          <t>VÄRMLANDS LÄN</t>
        </is>
      </c>
      <c r="E1259" t="inlineStr">
        <is>
          <t>EDA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3875-2019</t>
        </is>
      </c>
      <c r="B1260" s="1" t="n">
        <v>43482</v>
      </c>
      <c r="C1260" s="1" t="n">
        <v>45353</v>
      </c>
      <c r="D1260" t="inlineStr">
        <is>
          <t>VÄRMLANDS LÄN</t>
        </is>
      </c>
      <c r="E1260" t="inlineStr">
        <is>
          <t>FORSHAGA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3817-2019</t>
        </is>
      </c>
      <c r="B1261" s="1" t="n">
        <v>43482</v>
      </c>
      <c r="C1261" s="1" t="n">
        <v>45353</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4065-2019</t>
        </is>
      </c>
      <c r="B1262" s="1" t="n">
        <v>43482</v>
      </c>
      <c r="C1262" s="1" t="n">
        <v>45353</v>
      </c>
      <c r="D1262" t="inlineStr">
        <is>
          <t>VÄRMLANDS LÄN</t>
        </is>
      </c>
      <c r="E1262" t="inlineStr">
        <is>
          <t>EDA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3910-2019</t>
        </is>
      </c>
      <c r="B1263" s="1" t="n">
        <v>43482</v>
      </c>
      <c r="C1263" s="1" t="n">
        <v>45353</v>
      </c>
      <c r="D1263" t="inlineStr">
        <is>
          <t>VÄRMLANDS LÄN</t>
        </is>
      </c>
      <c r="E1263" t="inlineStr">
        <is>
          <t>KARLSTAD</t>
        </is>
      </c>
      <c r="F1263" t="inlineStr">
        <is>
          <t>Bergvik skog väst AB</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4025-2019</t>
        </is>
      </c>
      <c r="B1264" s="1" t="n">
        <v>43482</v>
      </c>
      <c r="C1264" s="1" t="n">
        <v>45353</v>
      </c>
      <c r="D1264" t="inlineStr">
        <is>
          <t>VÄRMLANDS LÄN</t>
        </is>
      </c>
      <c r="E1264" t="inlineStr">
        <is>
          <t>KARLSTAD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4245-2019</t>
        </is>
      </c>
      <c r="B1265" s="1" t="n">
        <v>43483</v>
      </c>
      <c r="C1265" s="1" t="n">
        <v>45353</v>
      </c>
      <c r="D1265" t="inlineStr">
        <is>
          <t>VÄRMLANDS LÄN</t>
        </is>
      </c>
      <c r="E1265" t="inlineStr">
        <is>
          <t>KARLSTAD</t>
        </is>
      </c>
      <c r="F1265" t="inlineStr">
        <is>
          <t>Bergvik skog väst AB</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4314-2019</t>
        </is>
      </c>
      <c r="B1266" s="1" t="n">
        <v>43483</v>
      </c>
      <c r="C1266" s="1" t="n">
        <v>45353</v>
      </c>
      <c r="D1266" t="inlineStr">
        <is>
          <t>VÄRMLANDS LÄN</t>
        </is>
      </c>
      <c r="E1266" t="inlineStr">
        <is>
          <t>FORSHAGA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4237-2019</t>
        </is>
      </c>
      <c r="B1267" s="1" t="n">
        <v>43483</v>
      </c>
      <c r="C1267" s="1" t="n">
        <v>45353</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4312-2019</t>
        </is>
      </c>
      <c r="B1268" s="1" t="n">
        <v>43483</v>
      </c>
      <c r="C1268" s="1" t="n">
        <v>45353</v>
      </c>
      <c r="D1268" t="inlineStr">
        <is>
          <t>VÄRMLANDS LÄN</t>
        </is>
      </c>
      <c r="E1268" t="inlineStr">
        <is>
          <t>KIL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4284-2019</t>
        </is>
      </c>
      <c r="B1269" s="1" t="n">
        <v>43483</v>
      </c>
      <c r="C1269" s="1" t="n">
        <v>45353</v>
      </c>
      <c r="D1269" t="inlineStr">
        <is>
          <t>VÄRMLANDS LÄN</t>
        </is>
      </c>
      <c r="E1269" t="inlineStr">
        <is>
          <t>TORSBY</t>
        </is>
      </c>
      <c r="F1269" t="inlineStr">
        <is>
          <t>Bergvik skog väst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4227-2019</t>
        </is>
      </c>
      <c r="B1270" s="1" t="n">
        <v>43483</v>
      </c>
      <c r="C1270" s="1" t="n">
        <v>45353</v>
      </c>
      <c r="D1270" t="inlineStr">
        <is>
          <t>VÄRMLANDS LÄN</t>
        </is>
      </c>
      <c r="E1270" t="inlineStr">
        <is>
          <t>SÄFFLE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4335-2019</t>
        </is>
      </c>
      <c r="B1271" s="1" t="n">
        <v>43483</v>
      </c>
      <c r="C1271" s="1" t="n">
        <v>45353</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4286-2019</t>
        </is>
      </c>
      <c r="B1272" s="1" t="n">
        <v>43483</v>
      </c>
      <c r="C1272" s="1" t="n">
        <v>45353</v>
      </c>
      <c r="D1272" t="inlineStr">
        <is>
          <t>VÄRMLANDS LÄN</t>
        </is>
      </c>
      <c r="E1272" t="inlineStr">
        <is>
          <t>ARVIKA</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4267-2019</t>
        </is>
      </c>
      <c r="B1273" s="1" t="n">
        <v>43483</v>
      </c>
      <c r="C1273" s="1" t="n">
        <v>45353</v>
      </c>
      <c r="D1273" t="inlineStr">
        <is>
          <t>VÄRMLANDS LÄN</t>
        </is>
      </c>
      <c r="E1273" t="inlineStr">
        <is>
          <t>ARVIKA</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6120-2019</t>
        </is>
      </c>
      <c r="B1274" s="1" t="n">
        <v>43485</v>
      </c>
      <c r="C1274" s="1" t="n">
        <v>45353</v>
      </c>
      <c r="D1274" t="inlineStr">
        <is>
          <t>VÄRMLANDS LÄN</t>
        </is>
      </c>
      <c r="E1274" t="inlineStr">
        <is>
          <t>SÄFFLE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4645-2019</t>
        </is>
      </c>
      <c r="B1275" s="1" t="n">
        <v>43486</v>
      </c>
      <c r="C1275" s="1" t="n">
        <v>45353</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6188-2019</t>
        </is>
      </c>
      <c r="B1276" s="1" t="n">
        <v>43486</v>
      </c>
      <c r="C1276" s="1" t="n">
        <v>45353</v>
      </c>
      <c r="D1276" t="inlineStr">
        <is>
          <t>VÄRMLANDS LÄN</t>
        </is>
      </c>
      <c r="E1276" t="inlineStr">
        <is>
          <t>KRISTINEHAMN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6295-2019</t>
        </is>
      </c>
      <c r="B1277" s="1" t="n">
        <v>43486</v>
      </c>
      <c r="C1277" s="1" t="n">
        <v>45353</v>
      </c>
      <c r="D1277" t="inlineStr">
        <is>
          <t>VÄRMLANDS LÄN</t>
        </is>
      </c>
      <c r="E1277" t="inlineStr">
        <is>
          <t>SUNNE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6247-2019</t>
        </is>
      </c>
      <c r="B1278" s="1" t="n">
        <v>43486</v>
      </c>
      <c r="C1278" s="1" t="n">
        <v>45353</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6196-2019</t>
        </is>
      </c>
      <c r="B1279" s="1" t="n">
        <v>43486</v>
      </c>
      <c r="C1279" s="1" t="n">
        <v>45353</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4812-2019</t>
        </is>
      </c>
      <c r="B1280" s="1" t="n">
        <v>43486</v>
      </c>
      <c r="C1280" s="1" t="n">
        <v>45353</v>
      </c>
      <c r="D1280" t="inlineStr">
        <is>
          <t>VÄRMLANDS LÄN</t>
        </is>
      </c>
      <c r="E1280" t="inlineStr">
        <is>
          <t>ÅRJÄNG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6463-2019</t>
        </is>
      </c>
      <c r="B1281" s="1" t="n">
        <v>43486</v>
      </c>
      <c r="C1281" s="1" t="n">
        <v>45353</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6159-2019</t>
        </is>
      </c>
      <c r="B1282" s="1" t="n">
        <v>43486</v>
      </c>
      <c r="C1282" s="1" t="n">
        <v>45353</v>
      </c>
      <c r="D1282" t="inlineStr">
        <is>
          <t>VÄRMLANDS LÄN</t>
        </is>
      </c>
      <c r="E1282" t="inlineStr">
        <is>
          <t>HAGFORS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4701-2019</t>
        </is>
      </c>
      <c r="B1283" s="1" t="n">
        <v>43486</v>
      </c>
      <c r="C1283" s="1" t="n">
        <v>45353</v>
      </c>
      <c r="D1283" t="inlineStr">
        <is>
          <t>VÄRMLANDS LÄN</t>
        </is>
      </c>
      <c r="E1283" t="inlineStr">
        <is>
          <t>SUNNE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4640-2019</t>
        </is>
      </c>
      <c r="B1284" s="1" t="n">
        <v>43486</v>
      </c>
      <c r="C1284" s="1" t="n">
        <v>45353</v>
      </c>
      <c r="D1284" t="inlineStr">
        <is>
          <t>VÄRMLANDS LÄN</t>
        </is>
      </c>
      <c r="E1284" t="inlineStr">
        <is>
          <t>ARVIKA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4990-2019</t>
        </is>
      </c>
      <c r="B1285" s="1" t="n">
        <v>43487</v>
      </c>
      <c r="C1285" s="1" t="n">
        <v>45353</v>
      </c>
      <c r="D1285" t="inlineStr">
        <is>
          <t>VÄRMLANDS LÄN</t>
        </is>
      </c>
      <c r="E1285" t="inlineStr">
        <is>
          <t>SUNNE</t>
        </is>
      </c>
      <c r="F1285" t="inlineStr">
        <is>
          <t>Kommuner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5095-2019</t>
        </is>
      </c>
      <c r="B1286" s="1" t="n">
        <v>43487</v>
      </c>
      <c r="C1286" s="1" t="n">
        <v>45353</v>
      </c>
      <c r="D1286" t="inlineStr">
        <is>
          <t>VÄRMLANDS LÄN</t>
        </is>
      </c>
      <c r="E1286" t="inlineStr">
        <is>
          <t>HAGFORS</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6555-2019</t>
        </is>
      </c>
      <c r="B1287" s="1" t="n">
        <v>43487</v>
      </c>
      <c r="C1287" s="1" t="n">
        <v>45353</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6587-2019</t>
        </is>
      </c>
      <c r="B1288" s="1" t="n">
        <v>43487</v>
      </c>
      <c r="C1288" s="1" t="n">
        <v>45353</v>
      </c>
      <c r="D1288" t="inlineStr">
        <is>
          <t>VÄRMLANDS LÄN</t>
        </is>
      </c>
      <c r="E1288" t="inlineStr">
        <is>
          <t>SÄFFLE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5026-2019</t>
        </is>
      </c>
      <c r="B1289" s="1" t="n">
        <v>43487</v>
      </c>
      <c r="C1289" s="1" t="n">
        <v>45353</v>
      </c>
      <c r="D1289" t="inlineStr">
        <is>
          <t>VÄRMLANDS LÄN</t>
        </is>
      </c>
      <c r="E1289" t="inlineStr">
        <is>
          <t>SUNNE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4892-2019</t>
        </is>
      </c>
      <c r="B1290" s="1" t="n">
        <v>43487</v>
      </c>
      <c r="C1290" s="1" t="n">
        <v>45353</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5079-2019</t>
        </is>
      </c>
      <c r="B1291" s="1" t="n">
        <v>43487</v>
      </c>
      <c r="C1291" s="1" t="n">
        <v>45353</v>
      </c>
      <c r="D1291" t="inlineStr">
        <is>
          <t>VÄRMLANDS LÄN</t>
        </is>
      </c>
      <c r="E1291" t="inlineStr">
        <is>
          <t>ARVIKA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5092-2019</t>
        </is>
      </c>
      <c r="B1292" s="1" t="n">
        <v>43487</v>
      </c>
      <c r="C1292" s="1" t="n">
        <v>45353</v>
      </c>
      <c r="D1292" t="inlineStr">
        <is>
          <t>VÄRMLANDS LÄN</t>
        </is>
      </c>
      <c r="E1292" t="inlineStr">
        <is>
          <t>ARVIKA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4881-2019</t>
        </is>
      </c>
      <c r="B1293" s="1" t="n">
        <v>43487</v>
      </c>
      <c r="C1293" s="1" t="n">
        <v>45353</v>
      </c>
      <c r="D1293" t="inlineStr">
        <is>
          <t>VÄRMLANDS LÄN</t>
        </is>
      </c>
      <c r="E1293" t="inlineStr">
        <is>
          <t>ÅRJÄNG</t>
        </is>
      </c>
      <c r="G1293" t="n">
        <v>20.9</v>
      </c>
      <c r="H1293" t="n">
        <v>0</v>
      </c>
      <c r="I1293" t="n">
        <v>0</v>
      </c>
      <c r="J1293" t="n">
        <v>0</v>
      </c>
      <c r="K1293" t="n">
        <v>0</v>
      </c>
      <c r="L1293" t="n">
        <v>0</v>
      </c>
      <c r="M1293" t="n">
        <v>0</v>
      </c>
      <c r="N1293" t="n">
        <v>0</v>
      </c>
      <c r="O1293" t="n">
        <v>0</v>
      </c>
      <c r="P1293" t="n">
        <v>0</v>
      </c>
      <c r="Q1293" t="n">
        <v>0</v>
      </c>
      <c r="R1293" s="2" t="inlineStr"/>
    </row>
    <row r="1294" ht="15" customHeight="1">
      <c r="A1294" t="inlineStr">
        <is>
          <t>A 5351-2019</t>
        </is>
      </c>
      <c r="B1294" s="1" t="n">
        <v>43488</v>
      </c>
      <c r="C1294" s="1" t="n">
        <v>45353</v>
      </c>
      <c r="D1294" t="inlineStr">
        <is>
          <t>VÄRMLANDS LÄN</t>
        </is>
      </c>
      <c r="E1294" t="inlineStr">
        <is>
          <t>SÄFFLE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5265-2019</t>
        </is>
      </c>
      <c r="B1295" s="1" t="n">
        <v>43488</v>
      </c>
      <c r="C1295" s="1" t="n">
        <v>45353</v>
      </c>
      <c r="D1295" t="inlineStr">
        <is>
          <t>VÄRMLANDS LÄN</t>
        </is>
      </c>
      <c r="E1295" t="inlineStr">
        <is>
          <t>HAGFORS</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5152-2019</t>
        </is>
      </c>
      <c r="B1296" s="1" t="n">
        <v>43488</v>
      </c>
      <c r="C1296" s="1" t="n">
        <v>45353</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5476-2019</t>
        </is>
      </c>
      <c r="B1297" s="1" t="n">
        <v>43488</v>
      </c>
      <c r="C1297" s="1" t="n">
        <v>45353</v>
      </c>
      <c r="D1297" t="inlineStr">
        <is>
          <t>VÄRMLANDS LÄN</t>
        </is>
      </c>
      <c r="E1297" t="inlineStr">
        <is>
          <t>KARLSTAD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5212-2019</t>
        </is>
      </c>
      <c r="B1298" s="1" t="n">
        <v>43488</v>
      </c>
      <c r="C1298" s="1" t="n">
        <v>45353</v>
      </c>
      <c r="D1298" t="inlineStr">
        <is>
          <t>VÄRMLANDS LÄN</t>
        </is>
      </c>
      <c r="E1298" t="inlineStr">
        <is>
          <t>SUNNE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5311-2019</t>
        </is>
      </c>
      <c r="B1299" s="1" t="n">
        <v>43488</v>
      </c>
      <c r="C1299" s="1" t="n">
        <v>45353</v>
      </c>
      <c r="D1299" t="inlineStr">
        <is>
          <t>VÄRMLANDS LÄN</t>
        </is>
      </c>
      <c r="E1299" t="inlineStr">
        <is>
          <t>FILIPSTAD</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5171-2019</t>
        </is>
      </c>
      <c r="B1300" s="1" t="n">
        <v>43488</v>
      </c>
      <c r="C1300" s="1" t="n">
        <v>45353</v>
      </c>
      <c r="D1300" t="inlineStr">
        <is>
          <t>VÄRMLANDS LÄN</t>
        </is>
      </c>
      <c r="E1300" t="inlineStr">
        <is>
          <t>ÅRJÄNG</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5168-2019</t>
        </is>
      </c>
      <c r="B1301" s="1" t="n">
        <v>43488</v>
      </c>
      <c r="C1301" s="1" t="n">
        <v>45353</v>
      </c>
      <c r="D1301" t="inlineStr">
        <is>
          <t>VÄRMLANDS LÄN</t>
        </is>
      </c>
      <c r="E1301" t="inlineStr">
        <is>
          <t>EDA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5465-2019</t>
        </is>
      </c>
      <c r="B1302" s="1" t="n">
        <v>43488</v>
      </c>
      <c r="C1302" s="1" t="n">
        <v>45353</v>
      </c>
      <c r="D1302" t="inlineStr">
        <is>
          <t>VÄRMLANDS LÄN</t>
        </is>
      </c>
      <c r="E1302" t="inlineStr">
        <is>
          <t>SÄFFLE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6693-2019</t>
        </is>
      </c>
      <c r="B1303" s="1" t="n">
        <v>43488</v>
      </c>
      <c r="C1303" s="1" t="n">
        <v>45353</v>
      </c>
      <c r="D1303" t="inlineStr">
        <is>
          <t>VÄRMLANDS LÄN</t>
        </is>
      </c>
      <c r="E1303" t="inlineStr">
        <is>
          <t>ÅRJÄNG</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5601-2019</t>
        </is>
      </c>
      <c r="B1304" s="1" t="n">
        <v>43489</v>
      </c>
      <c r="C1304" s="1" t="n">
        <v>45353</v>
      </c>
      <c r="D1304" t="inlineStr">
        <is>
          <t>VÄRMLANDS LÄN</t>
        </is>
      </c>
      <c r="E1304" t="inlineStr">
        <is>
          <t>KRISTINEHAMN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5613-2019</t>
        </is>
      </c>
      <c r="B1305" s="1" t="n">
        <v>43489</v>
      </c>
      <c r="C1305" s="1" t="n">
        <v>45353</v>
      </c>
      <c r="D1305" t="inlineStr">
        <is>
          <t>VÄRMLANDS LÄN</t>
        </is>
      </c>
      <c r="E1305" t="inlineStr">
        <is>
          <t>KRISTINEHAMN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5681-2019</t>
        </is>
      </c>
      <c r="B1306" s="1" t="n">
        <v>43489</v>
      </c>
      <c r="C1306" s="1" t="n">
        <v>45353</v>
      </c>
      <c r="D1306" t="inlineStr">
        <is>
          <t>VÄRMLANDS LÄN</t>
        </is>
      </c>
      <c r="E1306" t="inlineStr">
        <is>
          <t>SUNNE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5615-2019</t>
        </is>
      </c>
      <c r="B1307" s="1" t="n">
        <v>43489</v>
      </c>
      <c r="C1307" s="1" t="n">
        <v>45353</v>
      </c>
      <c r="D1307" t="inlineStr">
        <is>
          <t>VÄRMLANDS LÄN</t>
        </is>
      </c>
      <c r="E1307" t="inlineStr">
        <is>
          <t>HAGFORS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5489-2019</t>
        </is>
      </c>
      <c r="B1308" s="1" t="n">
        <v>43489</v>
      </c>
      <c r="C1308" s="1" t="n">
        <v>45353</v>
      </c>
      <c r="D1308" t="inlineStr">
        <is>
          <t>VÄRMLANDS LÄN</t>
        </is>
      </c>
      <c r="E1308" t="inlineStr">
        <is>
          <t>SUNNE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5553-2019</t>
        </is>
      </c>
      <c r="B1309" s="1" t="n">
        <v>43489</v>
      </c>
      <c r="C1309" s="1" t="n">
        <v>45353</v>
      </c>
      <c r="D1309" t="inlineStr">
        <is>
          <t>VÄRMLANDS LÄN</t>
        </is>
      </c>
      <c r="E1309" t="inlineStr">
        <is>
          <t>FILIPSTAD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5816-2019</t>
        </is>
      </c>
      <c r="B1310" s="1" t="n">
        <v>43490</v>
      </c>
      <c r="C1310" s="1" t="n">
        <v>45353</v>
      </c>
      <c r="D1310" t="inlineStr">
        <is>
          <t>VÄRMLANDS LÄN</t>
        </is>
      </c>
      <c r="E1310" t="inlineStr">
        <is>
          <t>SÄFFLE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5827-2019</t>
        </is>
      </c>
      <c r="B1311" s="1" t="n">
        <v>43490</v>
      </c>
      <c r="C1311" s="1" t="n">
        <v>45353</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5798-2019</t>
        </is>
      </c>
      <c r="B1312" s="1" t="n">
        <v>43490</v>
      </c>
      <c r="C1312" s="1" t="n">
        <v>45353</v>
      </c>
      <c r="D1312" t="inlineStr">
        <is>
          <t>VÄRMLANDS LÄN</t>
        </is>
      </c>
      <c r="E1312" t="inlineStr">
        <is>
          <t>ÅRJÄNG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5734-2019</t>
        </is>
      </c>
      <c r="B1313" s="1" t="n">
        <v>43490</v>
      </c>
      <c r="C1313" s="1" t="n">
        <v>45353</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5776-2019</t>
        </is>
      </c>
      <c r="B1314" s="1" t="n">
        <v>43490</v>
      </c>
      <c r="C1314" s="1" t="n">
        <v>45353</v>
      </c>
      <c r="D1314" t="inlineStr">
        <is>
          <t>VÄRMLANDS LÄN</t>
        </is>
      </c>
      <c r="E1314" t="inlineStr">
        <is>
          <t>ARVIKA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5794-2019</t>
        </is>
      </c>
      <c r="B1315" s="1" t="n">
        <v>43490</v>
      </c>
      <c r="C1315" s="1" t="n">
        <v>45353</v>
      </c>
      <c r="D1315" t="inlineStr">
        <is>
          <t>VÄRMLANDS LÄN</t>
        </is>
      </c>
      <c r="E1315" t="inlineStr">
        <is>
          <t>HAGFORS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6041-2019</t>
        </is>
      </c>
      <c r="B1316" s="1" t="n">
        <v>43493</v>
      </c>
      <c r="C1316" s="1" t="n">
        <v>45353</v>
      </c>
      <c r="D1316" t="inlineStr">
        <is>
          <t>VÄRMLANDS LÄN</t>
        </is>
      </c>
      <c r="E1316" t="inlineStr">
        <is>
          <t>FILIPSTAD</t>
        </is>
      </c>
      <c r="F1316" t="inlineStr">
        <is>
          <t>Bergvik skog väst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6102-2019</t>
        </is>
      </c>
      <c r="B1317" s="1" t="n">
        <v>43493</v>
      </c>
      <c r="C1317" s="1" t="n">
        <v>45353</v>
      </c>
      <c r="D1317" t="inlineStr">
        <is>
          <t>VÄRMLANDS LÄN</t>
        </is>
      </c>
      <c r="E1317" t="inlineStr">
        <is>
          <t>ARVIKA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6281-2019</t>
        </is>
      </c>
      <c r="B1318" s="1" t="n">
        <v>43493</v>
      </c>
      <c r="C1318" s="1" t="n">
        <v>45353</v>
      </c>
      <c r="D1318" t="inlineStr">
        <is>
          <t>VÄRMLANDS LÄN</t>
        </is>
      </c>
      <c r="E1318" t="inlineStr">
        <is>
          <t>EDA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6092-2019</t>
        </is>
      </c>
      <c r="B1319" s="1" t="n">
        <v>43493</v>
      </c>
      <c r="C1319" s="1" t="n">
        <v>45353</v>
      </c>
      <c r="D1319" t="inlineStr">
        <is>
          <t>VÄRMLANDS LÄN</t>
        </is>
      </c>
      <c r="E1319" t="inlineStr">
        <is>
          <t>KRISTINEHAMN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6217-2019</t>
        </is>
      </c>
      <c r="B1320" s="1" t="n">
        <v>43493</v>
      </c>
      <c r="C1320" s="1" t="n">
        <v>45353</v>
      </c>
      <c r="D1320" t="inlineStr">
        <is>
          <t>VÄRMLANDS LÄN</t>
        </is>
      </c>
      <c r="E1320" t="inlineStr">
        <is>
          <t>ARVIKA</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6099-2019</t>
        </is>
      </c>
      <c r="B1321" s="1" t="n">
        <v>43493</v>
      </c>
      <c r="C1321" s="1" t="n">
        <v>45353</v>
      </c>
      <c r="D1321" t="inlineStr">
        <is>
          <t>VÄRMLANDS LÄN</t>
        </is>
      </c>
      <c r="E1321" t="inlineStr">
        <is>
          <t>ARVIKA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6048-2019</t>
        </is>
      </c>
      <c r="B1322" s="1" t="n">
        <v>43493</v>
      </c>
      <c r="C1322" s="1" t="n">
        <v>45353</v>
      </c>
      <c r="D1322" t="inlineStr">
        <is>
          <t>VÄRMLANDS LÄN</t>
        </is>
      </c>
      <c r="E1322" t="inlineStr">
        <is>
          <t>KARLSTAD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6335-2019</t>
        </is>
      </c>
      <c r="B1323" s="1" t="n">
        <v>43493</v>
      </c>
      <c r="C1323" s="1" t="n">
        <v>45353</v>
      </c>
      <c r="D1323" t="inlineStr">
        <is>
          <t>VÄRMLANDS LÄN</t>
        </is>
      </c>
      <c r="E1323" t="inlineStr">
        <is>
          <t>SÄFFLE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6002-2019</t>
        </is>
      </c>
      <c r="B1324" s="1" t="n">
        <v>43493</v>
      </c>
      <c r="C1324" s="1" t="n">
        <v>45353</v>
      </c>
      <c r="D1324" t="inlineStr">
        <is>
          <t>VÄRMLANDS LÄN</t>
        </is>
      </c>
      <c r="E1324" t="inlineStr">
        <is>
          <t>ARVIKA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6480-2019</t>
        </is>
      </c>
      <c r="B1325" s="1" t="n">
        <v>43494</v>
      </c>
      <c r="C1325" s="1" t="n">
        <v>45353</v>
      </c>
      <c r="D1325" t="inlineStr">
        <is>
          <t>VÄRMLANDS LÄN</t>
        </is>
      </c>
      <c r="E1325" t="inlineStr">
        <is>
          <t>ARVIKA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6624-2019</t>
        </is>
      </c>
      <c r="B1326" s="1" t="n">
        <v>43494</v>
      </c>
      <c r="C1326" s="1" t="n">
        <v>45353</v>
      </c>
      <c r="D1326" t="inlineStr">
        <is>
          <t>VÄRMLANDS LÄN</t>
        </is>
      </c>
      <c r="E1326" t="inlineStr">
        <is>
          <t>ÅRJÄNG</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6610-2019</t>
        </is>
      </c>
      <c r="B1327" s="1" t="n">
        <v>43494</v>
      </c>
      <c r="C1327" s="1" t="n">
        <v>45353</v>
      </c>
      <c r="D1327" t="inlineStr">
        <is>
          <t>VÄRMLANDS LÄN</t>
        </is>
      </c>
      <c r="E1327" t="inlineStr">
        <is>
          <t>FILIPSTAD</t>
        </is>
      </c>
      <c r="F1327" t="inlineStr">
        <is>
          <t>Bergvik skog väst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6704-2019</t>
        </is>
      </c>
      <c r="B1328" s="1" t="n">
        <v>43494</v>
      </c>
      <c r="C1328" s="1" t="n">
        <v>45353</v>
      </c>
      <c r="D1328" t="inlineStr">
        <is>
          <t>VÄRMLANDS LÄN</t>
        </is>
      </c>
      <c r="E1328" t="inlineStr">
        <is>
          <t>SÄFFLE</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6732-2019</t>
        </is>
      </c>
      <c r="B1329" s="1" t="n">
        <v>43494</v>
      </c>
      <c r="C1329" s="1" t="n">
        <v>45353</v>
      </c>
      <c r="D1329" t="inlineStr">
        <is>
          <t>VÄRMLANDS LÄN</t>
        </is>
      </c>
      <c r="E1329" t="inlineStr">
        <is>
          <t>SÄFFLE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6570-2019</t>
        </is>
      </c>
      <c r="B1330" s="1" t="n">
        <v>43494</v>
      </c>
      <c r="C1330" s="1" t="n">
        <v>45353</v>
      </c>
      <c r="D1330" t="inlineStr">
        <is>
          <t>VÄRMLANDS LÄN</t>
        </is>
      </c>
      <c r="E1330" t="inlineStr">
        <is>
          <t>SÄFFLE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8026-2019</t>
        </is>
      </c>
      <c r="B1331" s="1" t="n">
        <v>43494</v>
      </c>
      <c r="C1331" s="1" t="n">
        <v>45353</v>
      </c>
      <c r="D1331" t="inlineStr">
        <is>
          <t>VÄRMLANDS LÄN</t>
        </is>
      </c>
      <c r="E1331" t="inlineStr">
        <is>
          <t>FORSHAGA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7799-2019</t>
        </is>
      </c>
      <c r="B1332" s="1" t="n">
        <v>43494</v>
      </c>
      <c r="C1332" s="1" t="n">
        <v>45353</v>
      </c>
      <c r="D1332" t="inlineStr">
        <is>
          <t>VÄRMLANDS LÄN</t>
        </is>
      </c>
      <c r="E1332" t="inlineStr">
        <is>
          <t>SÄFFLE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6489-2019</t>
        </is>
      </c>
      <c r="B1333" s="1" t="n">
        <v>43494</v>
      </c>
      <c r="C1333" s="1" t="n">
        <v>45353</v>
      </c>
      <c r="D1333" t="inlineStr">
        <is>
          <t>VÄRMLANDS LÄN</t>
        </is>
      </c>
      <c r="E1333" t="inlineStr">
        <is>
          <t>SÄFFLE</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6456-2019</t>
        </is>
      </c>
      <c r="B1334" s="1" t="n">
        <v>43494</v>
      </c>
      <c r="C1334" s="1" t="n">
        <v>45353</v>
      </c>
      <c r="D1334" t="inlineStr">
        <is>
          <t>VÄRMLANDS LÄN</t>
        </is>
      </c>
      <c r="E1334" t="inlineStr">
        <is>
          <t>SUNNE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6420-2019</t>
        </is>
      </c>
      <c r="B1335" s="1" t="n">
        <v>43494</v>
      </c>
      <c r="C1335" s="1" t="n">
        <v>45353</v>
      </c>
      <c r="D1335" t="inlineStr">
        <is>
          <t>VÄRMLANDS LÄN</t>
        </is>
      </c>
      <c r="E1335" t="inlineStr">
        <is>
          <t>STORFORS</t>
        </is>
      </c>
      <c r="F1335" t="inlineStr">
        <is>
          <t>Naturvårdsverket</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6945-2019</t>
        </is>
      </c>
      <c r="B1336" s="1" t="n">
        <v>43495</v>
      </c>
      <c r="C1336" s="1" t="n">
        <v>45353</v>
      </c>
      <c r="D1336" t="inlineStr">
        <is>
          <t>VÄRMLANDS LÄN</t>
        </is>
      </c>
      <c r="E1336" t="inlineStr">
        <is>
          <t>FILIPSTAD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6822-2019</t>
        </is>
      </c>
      <c r="B1337" s="1" t="n">
        <v>43495</v>
      </c>
      <c r="C1337" s="1" t="n">
        <v>45353</v>
      </c>
      <c r="D1337" t="inlineStr">
        <is>
          <t>VÄRMLANDS LÄN</t>
        </is>
      </c>
      <c r="E1337" t="inlineStr">
        <is>
          <t>ARVIKA</t>
        </is>
      </c>
      <c r="F1337" t="inlineStr">
        <is>
          <t>Bergvik skog väst AB</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7138-2019</t>
        </is>
      </c>
      <c r="B1338" s="1" t="n">
        <v>43496</v>
      </c>
      <c r="C1338" s="1" t="n">
        <v>45353</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7240-2019</t>
        </is>
      </c>
      <c r="B1339" s="1" t="n">
        <v>43496</v>
      </c>
      <c r="C1339" s="1" t="n">
        <v>45353</v>
      </c>
      <c r="D1339" t="inlineStr">
        <is>
          <t>VÄRMLANDS LÄN</t>
        </is>
      </c>
      <c r="E1339" t="inlineStr">
        <is>
          <t>FORSHAGA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7139-2019</t>
        </is>
      </c>
      <c r="B1340" s="1" t="n">
        <v>43496</v>
      </c>
      <c r="C1340" s="1" t="n">
        <v>45353</v>
      </c>
      <c r="D1340" t="inlineStr">
        <is>
          <t>VÄRMLANDS LÄN</t>
        </is>
      </c>
      <c r="E1340" t="inlineStr">
        <is>
          <t>SUNNE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7132-2019</t>
        </is>
      </c>
      <c r="B1341" s="1" t="n">
        <v>43496</v>
      </c>
      <c r="C1341" s="1" t="n">
        <v>45353</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7124-2019</t>
        </is>
      </c>
      <c r="B1342" s="1" t="n">
        <v>43496</v>
      </c>
      <c r="C1342" s="1" t="n">
        <v>45353</v>
      </c>
      <c r="D1342" t="inlineStr">
        <is>
          <t>VÄRMLANDS LÄN</t>
        </is>
      </c>
      <c r="E1342" t="inlineStr">
        <is>
          <t>ARVIKA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7380-2019</t>
        </is>
      </c>
      <c r="B1343" s="1" t="n">
        <v>43497</v>
      </c>
      <c r="C1343" s="1" t="n">
        <v>45353</v>
      </c>
      <c r="D1343" t="inlineStr">
        <is>
          <t>VÄRMLANDS LÄN</t>
        </is>
      </c>
      <c r="E1343" t="inlineStr">
        <is>
          <t>FILIPSTAD</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7388-2019</t>
        </is>
      </c>
      <c r="B1344" s="1" t="n">
        <v>43497</v>
      </c>
      <c r="C1344" s="1" t="n">
        <v>45353</v>
      </c>
      <c r="D1344" t="inlineStr">
        <is>
          <t>VÄRMLANDS LÄN</t>
        </is>
      </c>
      <c r="E1344" t="inlineStr">
        <is>
          <t>GRUMS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7387-2019</t>
        </is>
      </c>
      <c r="B1345" s="1" t="n">
        <v>43497</v>
      </c>
      <c r="C1345" s="1" t="n">
        <v>45353</v>
      </c>
      <c r="D1345" t="inlineStr">
        <is>
          <t>VÄRMLANDS LÄN</t>
        </is>
      </c>
      <c r="E1345" t="inlineStr">
        <is>
          <t>FILIPSTAD</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7425-2019</t>
        </is>
      </c>
      <c r="B1346" s="1" t="n">
        <v>43497</v>
      </c>
      <c r="C1346" s="1" t="n">
        <v>45353</v>
      </c>
      <c r="D1346" t="inlineStr">
        <is>
          <t>VÄRMLANDS LÄN</t>
        </is>
      </c>
      <c r="E1346" t="inlineStr">
        <is>
          <t>ARVIKA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7385-2019</t>
        </is>
      </c>
      <c r="B1347" s="1" t="n">
        <v>43497</v>
      </c>
      <c r="C1347" s="1" t="n">
        <v>45353</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7383-2019</t>
        </is>
      </c>
      <c r="B1348" s="1" t="n">
        <v>43497</v>
      </c>
      <c r="C1348" s="1" t="n">
        <v>45353</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7547-2019</t>
        </is>
      </c>
      <c r="B1349" s="1" t="n">
        <v>43497</v>
      </c>
      <c r="C1349" s="1" t="n">
        <v>45353</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8498-2019</t>
        </is>
      </c>
      <c r="B1350" s="1" t="n">
        <v>43497</v>
      </c>
      <c r="C1350" s="1" t="n">
        <v>45353</v>
      </c>
      <c r="D1350" t="inlineStr">
        <is>
          <t>VÄRMLANDS LÄN</t>
        </is>
      </c>
      <c r="E1350" t="inlineStr">
        <is>
          <t>GRUMS</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7545-2019</t>
        </is>
      </c>
      <c r="B1351" s="1" t="n">
        <v>43497</v>
      </c>
      <c r="C1351" s="1" t="n">
        <v>45353</v>
      </c>
      <c r="D1351" t="inlineStr">
        <is>
          <t>VÄRMLANDS LÄN</t>
        </is>
      </c>
      <c r="E1351" t="inlineStr">
        <is>
          <t>ARVIKA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7462-2019</t>
        </is>
      </c>
      <c r="B1352" s="1" t="n">
        <v>43497</v>
      </c>
      <c r="C1352" s="1" t="n">
        <v>45353</v>
      </c>
      <c r="D1352" t="inlineStr">
        <is>
          <t>VÄRMLANDS LÄN</t>
        </is>
      </c>
      <c r="E1352" t="inlineStr">
        <is>
          <t>EDA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7379-2019</t>
        </is>
      </c>
      <c r="B1353" s="1" t="n">
        <v>43497</v>
      </c>
      <c r="C1353" s="1" t="n">
        <v>45353</v>
      </c>
      <c r="D1353" t="inlineStr">
        <is>
          <t>VÄRMLANDS LÄN</t>
        </is>
      </c>
      <c r="E1353" t="inlineStr">
        <is>
          <t>ARVIKA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7537-2019</t>
        </is>
      </c>
      <c r="B1354" s="1" t="n">
        <v>43497</v>
      </c>
      <c r="C1354" s="1" t="n">
        <v>45353</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7530-2019</t>
        </is>
      </c>
      <c r="B1355" s="1" t="n">
        <v>43497</v>
      </c>
      <c r="C1355" s="1" t="n">
        <v>45353</v>
      </c>
      <c r="D1355" t="inlineStr">
        <is>
          <t>VÄRMLANDS LÄN</t>
        </is>
      </c>
      <c r="E1355" t="inlineStr">
        <is>
          <t>FILIPSTAD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7862-2019</t>
        </is>
      </c>
      <c r="B1356" s="1" t="n">
        <v>43500</v>
      </c>
      <c r="C1356" s="1" t="n">
        <v>45353</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7738-2019</t>
        </is>
      </c>
      <c r="B1357" s="1" t="n">
        <v>43500</v>
      </c>
      <c r="C1357" s="1" t="n">
        <v>45353</v>
      </c>
      <c r="D1357" t="inlineStr">
        <is>
          <t>VÄRMLANDS LÄN</t>
        </is>
      </c>
      <c r="E1357" t="inlineStr">
        <is>
          <t>GRUMS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7624-2019</t>
        </is>
      </c>
      <c r="B1358" s="1" t="n">
        <v>43500</v>
      </c>
      <c r="C1358" s="1" t="n">
        <v>45353</v>
      </c>
      <c r="D1358" t="inlineStr">
        <is>
          <t>VÄRMLANDS LÄN</t>
        </is>
      </c>
      <c r="E1358" t="inlineStr">
        <is>
          <t>HAGFORS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7854-2019</t>
        </is>
      </c>
      <c r="B1359" s="1" t="n">
        <v>43500</v>
      </c>
      <c r="C1359" s="1" t="n">
        <v>45353</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7778-2019</t>
        </is>
      </c>
      <c r="B1360" s="1" t="n">
        <v>43500</v>
      </c>
      <c r="C1360" s="1" t="n">
        <v>45353</v>
      </c>
      <c r="D1360" t="inlineStr">
        <is>
          <t>VÄRMLANDS LÄN</t>
        </is>
      </c>
      <c r="E1360" t="inlineStr">
        <is>
          <t>FILIPSTAD</t>
        </is>
      </c>
      <c r="F1360" t="inlineStr">
        <is>
          <t>Bergvik skog väst AB</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7769-2019</t>
        </is>
      </c>
      <c r="B1361" s="1" t="n">
        <v>43500</v>
      </c>
      <c r="C1361" s="1" t="n">
        <v>45353</v>
      </c>
      <c r="D1361" t="inlineStr">
        <is>
          <t>VÄRMLANDS LÄN</t>
        </is>
      </c>
      <c r="E1361" t="inlineStr">
        <is>
          <t>ARVIKA</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8263-2019</t>
        </is>
      </c>
      <c r="B1362" s="1" t="n">
        <v>43501</v>
      </c>
      <c r="C1362" s="1" t="n">
        <v>45353</v>
      </c>
      <c r="D1362" t="inlineStr">
        <is>
          <t>VÄRMLANDS LÄN</t>
        </is>
      </c>
      <c r="E1362" t="inlineStr">
        <is>
          <t>KRISTINEHAMN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7968-2019</t>
        </is>
      </c>
      <c r="B1363" s="1" t="n">
        <v>43501</v>
      </c>
      <c r="C1363" s="1" t="n">
        <v>45353</v>
      </c>
      <c r="D1363" t="inlineStr">
        <is>
          <t>VÄRMLANDS LÄN</t>
        </is>
      </c>
      <c r="E1363" t="inlineStr">
        <is>
          <t>FILIPSTAD</t>
        </is>
      </c>
      <c r="F1363" t="inlineStr">
        <is>
          <t>Bergvik skog väst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8422-2019</t>
        </is>
      </c>
      <c r="B1364" s="1" t="n">
        <v>43502</v>
      </c>
      <c r="C1364" s="1" t="n">
        <v>45353</v>
      </c>
      <c r="D1364" t="inlineStr">
        <is>
          <t>VÄRMLANDS LÄN</t>
        </is>
      </c>
      <c r="E1364" t="inlineStr">
        <is>
          <t>ÅRJÄNG</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8508-2019</t>
        </is>
      </c>
      <c r="B1365" s="1" t="n">
        <v>43502</v>
      </c>
      <c r="C1365" s="1" t="n">
        <v>45353</v>
      </c>
      <c r="D1365" t="inlineStr">
        <is>
          <t>VÄRMLANDS LÄN</t>
        </is>
      </c>
      <c r="E1365" t="inlineStr">
        <is>
          <t>GRUMS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8584-2019</t>
        </is>
      </c>
      <c r="B1366" s="1" t="n">
        <v>43502</v>
      </c>
      <c r="C1366" s="1" t="n">
        <v>45353</v>
      </c>
      <c r="D1366" t="inlineStr">
        <is>
          <t>VÄRMLANDS LÄN</t>
        </is>
      </c>
      <c r="E1366" t="inlineStr">
        <is>
          <t>FORSHAGA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8418-2019</t>
        </is>
      </c>
      <c r="B1367" s="1" t="n">
        <v>43502</v>
      </c>
      <c r="C1367" s="1" t="n">
        <v>45353</v>
      </c>
      <c r="D1367" t="inlineStr">
        <is>
          <t>VÄRMLANDS LÄN</t>
        </is>
      </c>
      <c r="E1367" t="inlineStr">
        <is>
          <t>SÄFFLE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8295-2019</t>
        </is>
      </c>
      <c r="B1368" s="1" t="n">
        <v>43502</v>
      </c>
      <c r="C1368" s="1" t="n">
        <v>45353</v>
      </c>
      <c r="D1368" t="inlineStr">
        <is>
          <t>VÄRMLANDS LÄN</t>
        </is>
      </c>
      <c r="E1368" t="inlineStr">
        <is>
          <t>EDA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8390-2019</t>
        </is>
      </c>
      <c r="B1369" s="1" t="n">
        <v>43502</v>
      </c>
      <c r="C1369" s="1" t="n">
        <v>45353</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8335-2019</t>
        </is>
      </c>
      <c r="B1370" s="1" t="n">
        <v>43502</v>
      </c>
      <c r="C1370" s="1" t="n">
        <v>45353</v>
      </c>
      <c r="D1370" t="inlineStr">
        <is>
          <t>VÄRMLANDS LÄN</t>
        </is>
      </c>
      <c r="E1370" t="inlineStr">
        <is>
          <t>ÅRJÄNG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9000-2019</t>
        </is>
      </c>
      <c r="B1371" s="1" t="n">
        <v>43503</v>
      </c>
      <c r="C1371" s="1" t="n">
        <v>45353</v>
      </c>
      <c r="D1371" t="inlineStr">
        <is>
          <t>VÄRMLANDS LÄN</t>
        </is>
      </c>
      <c r="E1371" t="inlineStr">
        <is>
          <t>KIL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8746-2019</t>
        </is>
      </c>
      <c r="B1372" s="1" t="n">
        <v>43503</v>
      </c>
      <c r="C1372" s="1" t="n">
        <v>45353</v>
      </c>
      <c r="D1372" t="inlineStr">
        <is>
          <t>VÄRMLANDS LÄN</t>
        </is>
      </c>
      <c r="E1372" t="inlineStr">
        <is>
          <t>KRISTINEHAMN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8821-2019</t>
        </is>
      </c>
      <c r="B1373" s="1" t="n">
        <v>43503</v>
      </c>
      <c r="C1373" s="1" t="n">
        <v>45353</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8983-2019</t>
        </is>
      </c>
      <c r="B1374" s="1" t="n">
        <v>43503</v>
      </c>
      <c r="C1374" s="1" t="n">
        <v>45353</v>
      </c>
      <c r="D1374" t="inlineStr">
        <is>
          <t>VÄRMLANDS LÄN</t>
        </is>
      </c>
      <c r="E1374" t="inlineStr">
        <is>
          <t>ARVIKA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8902-2019</t>
        </is>
      </c>
      <c r="B1375" s="1" t="n">
        <v>43503</v>
      </c>
      <c r="C1375" s="1" t="n">
        <v>45353</v>
      </c>
      <c r="D1375" t="inlineStr">
        <is>
          <t>VÄRMLANDS LÄN</t>
        </is>
      </c>
      <c r="E1375" t="inlineStr">
        <is>
          <t>STORFORS</t>
        </is>
      </c>
      <c r="F1375" t="inlineStr">
        <is>
          <t>Bergvik skog väst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8887-2019</t>
        </is>
      </c>
      <c r="B1376" s="1" t="n">
        <v>43503</v>
      </c>
      <c r="C1376" s="1" t="n">
        <v>45353</v>
      </c>
      <c r="D1376" t="inlineStr">
        <is>
          <t>VÄRMLANDS LÄN</t>
        </is>
      </c>
      <c r="E1376" t="inlineStr">
        <is>
          <t>STORFORS</t>
        </is>
      </c>
      <c r="F1376" t="inlineStr">
        <is>
          <t>Bergvik skog väst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9007-2019</t>
        </is>
      </c>
      <c r="B1377" s="1" t="n">
        <v>43504</v>
      </c>
      <c r="C1377" s="1" t="n">
        <v>45353</v>
      </c>
      <c r="D1377" t="inlineStr">
        <is>
          <t>VÄRMLANDS LÄN</t>
        </is>
      </c>
      <c r="E1377" t="inlineStr">
        <is>
          <t>EDA</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9016-2019</t>
        </is>
      </c>
      <c r="B1378" s="1" t="n">
        <v>43504</v>
      </c>
      <c r="C1378" s="1" t="n">
        <v>45353</v>
      </c>
      <c r="D1378" t="inlineStr">
        <is>
          <t>VÄRMLANDS LÄN</t>
        </is>
      </c>
      <c r="E1378" t="inlineStr">
        <is>
          <t>KRISTINEHAMN</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9075-2019</t>
        </is>
      </c>
      <c r="B1379" s="1" t="n">
        <v>43504</v>
      </c>
      <c r="C1379" s="1" t="n">
        <v>45353</v>
      </c>
      <c r="D1379" t="inlineStr">
        <is>
          <t>VÄRMLANDS LÄN</t>
        </is>
      </c>
      <c r="E1379" t="inlineStr">
        <is>
          <t>KARLSTAD</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9170-2019</t>
        </is>
      </c>
      <c r="B1380" s="1" t="n">
        <v>43504</v>
      </c>
      <c r="C1380" s="1" t="n">
        <v>45353</v>
      </c>
      <c r="D1380" t="inlineStr">
        <is>
          <t>VÄRMLANDS LÄN</t>
        </is>
      </c>
      <c r="E1380" t="inlineStr">
        <is>
          <t>ÅRJÄNG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8993-2019</t>
        </is>
      </c>
      <c r="B1381" s="1" t="n">
        <v>43504</v>
      </c>
      <c r="C1381" s="1" t="n">
        <v>45353</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9134-2019</t>
        </is>
      </c>
      <c r="B1382" s="1" t="n">
        <v>43504</v>
      </c>
      <c r="C1382" s="1" t="n">
        <v>45353</v>
      </c>
      <c r="D1382" t="inlineStr">
        <is>
          <t>VÄRMLANDS LÄN</t>
        </is>
      </c>
      <c r="E1382" t="inlineStr">
        <is>
          <t>ÅRJÄNG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8966-2019</t>
        </is>
      </c>
      <c r="B1383" s="1" t="n">
        <v>43504</v>
      </c>
      <c r="C1383" s="1" t="n">
        <v>45353</v>
      </c>
      <c r="D1383" t="inlineStr">
        <is>
          <t>VÄRMLANDS LÄN</t>
        </is>
      </c>
      <c r="E1383" t="inlineStr">
        <is>
          <t>KRISTINEHAMN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8968-2019</t>
        </is>
      </c>
      <c r="B1384" s="1" t="n">
        <v>43504</v>
      </c>
      <c r="C1384" s="1" t="n">
        <v>45353</v>
      </c>
      <c r="D1384" t="inlineStr">
        <is>
          <t>VÄRMLANDS LÄN</t>
        </is>
      </c>
      <c r="E1384" t="inlineStr">
        <is>
          <t>KRISTINEHAMN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9343-2019</t>
        </is>
      </c>
      <c r="B1385" s="1" t="n">
        <v>43507</v>
      </c>
      <c r="C1385" s="1" t="n">
        <v>45353</v>
      </c>
      <c r="D1385" t="inlineStr">
        <is>
          <t>VÄRMLANDS LÄN</t>
        </is>
      </c>
      <c r="E1385" t="inlineStr">
        <is>
          <t>SÄFFLE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9342-2019</t>
        </is>
      </c>
      <c r="B1386" s="1" t="n">
        <v>43507</v>
      </c>
      <c r="C1386" s="1" t="n">
        <v>45353</v>
      </c>
      <c r="D1386" t="inlineStr">
        <is>
          <t>VÄRMLANDS LÄN</t>
        </is>
      </c>
      <c r="E1386" t="inlineStr">
        <is>
          <t>FILIPSTAD</t>
        </is>
      </c>
      <c r="F1386" t="inlineStr">
        <is>
          <t>Bergvik skog väst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9361-2019</t>
        </is>
      </c>
      <c r="B1387" s="1" t="n">
        <v>43507</v>
      </c>
      <c r="C1387" s="1" t="n">
        <v>45353</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9257-2019</t>
        </is>
      </c>
      <c r="B1388" s="1" t="n">
        <v>43507</v>
      </c>
      <c r="C1388" s="1" t="n">
        <v>45353</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9373-2019</t>
        </is>
      </c>
      <c r="B1389" s="1" t="n">
        <v>43507</v>
      </c>
      <c r="C1389" s="1" t="n">
        <v>45353</v>
      </c>
      <c r="D1389" t="inlineStr">
        <is>
          <t>VÄRMLANDS LÄN</t>
        </is>
      </c>
      <c r="E1389" t="inlineStr">
        <is>
          <t>SÄFFLE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9396-2019</t>
        </is>
      </c>
      <c r="B1390" s="1" t="n">
        <v>43507</v>
      </c>
      <c r="C1390" s="1" t="n">
        <v>45353</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9320-2019</t>
        </is>
      </c>
      <c r="B1391" s="1" t="n">
        <v>43507</v>
      </c>
      <c r="C1391" s="1" t="n">
        <v>45353</v>
      </c>
      <c r="D1391" t="inlineStr">
        <is>
          <t>VÄRMLANDS LÄN</t>
        </is>
      </c>
      <c r="E1391" t="inlineStr">
        <is>
          <t>SÄFFLE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9347-2019</t>
        </is>
      </c>
      <c r="B1392" s="1" t="n">
        <v>43507</v>
      </c>
      <c r="C1392" s="1" t="n">
        <v>45353</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9243-2019</t>
        </is>
      </c>
      <c r="B1393" s="1" t="n">
        <v>43507</v>
      </c>
      <c r="C1393" s="1" t="n">
        <v>45353</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9563-2019</t>
        </is>
      </c>
      <c r="B1394" s="1" t="n">
        <v>43508</v>
      </c>
      <c r="C1394" s="1" t="n">
        <v>45353</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9583-2019</t>
        </is>
      </c>
      <c r="B1395" s="1" t="n">
        <v>43508</v>
      </c>
      <c r="C1395" s="1" t="n">
        <v>45353</v>
      </c>
      <c r="D1395" t="inlineStr">
        <is>
          <t>VÄRMLANDS LÄN</t>
        </is>
      </c>
      <c r="E1395" t="inlineStr">
        <is>
          <t>TORSBY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9650-2019</t>
        </is>
      </c>
      <c r="B1396" s="1" t="n">
        <v>43508</v>
      </c>
      <c r="C1396" s="1" t="n">
        <v>45353</v>
      </c>
      <c r="D1396" t="inlineStr">
        <is>
          <t>VÄRMLANDS LÄN</t>
        </is>
      </c>
      <c r="E1396" t="inlineStr">
        <is>
          <t>ARVIKA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9542-2019</t>
        </is>
      </c>
      <c r="B1397" s="1" t="n">
        <v>43508</v>
      </c>
      <c r="C1397" s="1" t="n">
        <v>45353</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9580-2019</t>
        </is>
      </c>
      <c r="B1398" s="1" t="n">
        <v>43508</v>
      </c>
      <c r="C1398" s="1" t="n">
        <v>45353</v>
      </c>
      <c r="D1398" t="inlineStr">
        <is>
          <t>VÄRMLANDS LÄN</t>
        </is>
      </c>
      <c r="E1398" t="inlineStr">
        <is>
          <t>ÅRJÄNG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9602-2019</t>
        </is>
      </c>
      <c r="B1399" s="1" t="n">
        <v>43508</v>
      </c>
      <c r="C1399" s="1" t="n">
        <v>45353</v>
      </c>
      <c r="D1399" t="inlineStr">
        <is>
          <t>VÄRMLANDS LÄN</t>
        </is>
      </c>
      <c r="E1399" t="inlineStr">
        <is>
          <t>KARLSTAD</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9635-2019</t>
        </is>
      </c>
      <c r="B1400" s="1" t="n">
        <v>43508</v>
      </c>
      <c r="C1400" s="1" t="n">
        <v>45353</v>
      </c>
      <c r="D1400" t="inlineStr">
        <is>
          <t>VÄRMLANDS LÄN</t>
        </is>
      </c>
      <c r="E1400" t="inlineStr">
        <is>
          <t>ÅRJÄNG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9798-2019</t>
        </is>
      </c>
      <c r="B1401" s="1" t="n">
        <v>43509</v>
      </c>
      <c r="C1401" s="1" t="n">
        <v>45353</v>
      </c>
      <c r="D1401" t="inlineStr">
        <is>
          <t>VÄRMLANDS LÄN</t>
        </is>
      </c>
      <c r="E1401" t="inlineStr">
        <is>
          <t>FILIPSTAD</t>
        </is>
      </c>
      <c r="F1401" t="inlineStr">
        <is>
          <t>Bergvik skog väst AB</t>
        </is>
      </c>
      <c r="G1401" t="n">
        <v>33.2</v>
      </c>
      <c r="H1401" t="n">
        <v>0</v>
      </c>
      <c r="I1401" t="n">
        <v>0</v>
      </c>
      <c r="J1401" t="n">
        <v>0</v>
      </c>
      <c r="K1401" t="n">
        <v>0</v>
      </c>
      <c r="L1401" t="n">
        <v>0</v>
      </c>
      <c r="M1401" t="n">
        <v>0</v>
      </c>
      <c r="N1401" t="n">
        <v>0</v>
      </c>
      <c r="O1401" t="n">
        <v>0</v>
      </c>
      <c r="P1401" t="n">
        <v>0</v>
      </c>
      <c r="Q1401" t="n">
        <v>0</v>
      </c>
      <c r="R1401" s="2" t="inlineStr"/>
    </row>
    <row r="1402" ht="15" customHeight="1">
      <c r="A1402" t="inlineStr">
        <is>
          <t>A 9865-2019</t>
        </is>
      </c>
      <c r="B1402" s="1" t="n">
        <v>43509</v>
      </c>
      <c r="C1402" s="1" t="n">
        <v>45353</v>
      </c>
      <c r="D1402" t="inlineStr">
        <is>
          <t>VÄRMLANDS LÄN</t>
        </is>
      </c>
      <c r="E1402" t="inlineStr">
        <is>
          <t>FILIPSTAD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9906-2019</t>
        </is>
      </c>
      <c r="B1403" s="1" t="n">
        <v>43509</v>
      </c>
      <c r="C1403" s="1" t="n">
        <v>45353</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9850-2019</t>
        </is>
      </c>
      <c r="B1404" s="1" t="n">
        <v>43509</v>
      </c>
      <c r="C1404" s="1" t="n">
        <v>45353</v>
      </c>
      <c r="D1404" t="inlineStr">
        <is>
          <t>VÄRMLANDS LÄN</t>
        </is>
      </c>
      <c r="E1404" t="inlineStr">
        <is>
          <t>FILIPSTAD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9949-2019</t>
        </is>
      </c>
      <c r="B1405" s="1" t="n">
        <v>43509</v>
      </c>
      <c r="C1405" s="1" t="n">
        <v>45353</v>
      </c>
      <c r="D1405" t="inlineStr">
        <is>
          <t>VÄRMLANDS LÄN</t>
        </is>
      </c>
      <c r="E1405" t="inlineStr">
        <is>
          <t>SUNNE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10192-2019</t>
        </is>
      </c>
      <c r="B1406" s="1" t="n">
        <v>43510</v>
      </c>
      <c r="C1406" s="1" t="n">
        <v>45353</v>
      </c>
      <c r="D1406" t="inlineStr">
        <is>
          <t>VÄRMLANDS LÄN</t>
        </is>
      </c>
      <c r="E1406" t="inlineStr">
        <is>
          <t>SUNNE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10031-2019</t>
        </is>
      </c>
      <c r="B1407" s="1" t="n">
        <v>43510</v>
      </c>
      <c r="C1407" s="1" t="n">
        <v>45353</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10217-2019</t>
        </is>
      </c>
      <c r="B1408" s="1" t="n">
        <v>43510</v>
      </c>
      <c r="C1408" s="1" t="n">
        <v>45353</v>
      </c>
      <c r="D1408" t="inlineStr">
        <is>
          <t>VÄRMLANDS LÄN</t>
        </is>
      </c>
      <c r="E1408" t="inlineStr">
        <is>
          <t>EDA</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10170-2019</t>
        </is>
      </c>
      <c r="B1409" s="1" t="n">
        <v>43510</v>
      </c>
      <c r="C1409" s="1" t="n">
        <v>45353</v>
      </c>
      <c r="D1409" t="inlineStr">
        <is>
          <t>VÄRMLANDS LÄN</t>
        </is>
      </c>
      <c r="E1409" t="inlineStr">
        <is>
          <t>ÅRJÄNG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10089-2019</t>
        </is>
      </c>
      <c r="B1410" s="1" t="n">
        <v>43510</v>
      </c>
      <c r="C1410" s="1" t="n">
        <v>45353</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10408-2019</t>
        </is>
      </c>
      <c r="B1411" s="1" t="n">
        <v>43511</v>
      </c>
      <c r="C1411" s="1" t="n">
        <v>45353</v>
      </c>
      <c r="D1411" t="inlineStr">
        <is>
          <t>VÄRMLANDS LÄN</t>
        </is>
      </c>
      <c r="E1411" t="inlineStr">
        <is>
          <t>SUNNE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10372-2019</t>
        </is>
      </c>
      <c r="B1412" s="1" t="n">
        <v>43511</v>
      </c>
      <c r="C1412" s="1" t="n">
        <v>45353</v>
      </c>
      <c r="D1412" t="inlineStr">
        <is>
          <t>VÄRMLANDS LÄN</t>
        </is>
      </c>
      <c r="E1412" t="inlineStr">
        <is>
          <t>SUNNE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10389-2019</t>
        </is>
      </c>
      <c r="B1413" s="1" t="n">
        <v>43511</v>
      </c>
      <c r="C1413" s="1" t="n">
        <v>45353</v>
      </c>
      <c r="D1413" t="inlineStr">
        <is>
          <t>VÄRMLANDS LÄN</t>
        </is>
      </c>
      <c r="E1413" t="inlineStr">
        <is>
          <t>TORSBY</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10379-2019</t>
        </is>
      </c>
      <c r="B1414" s="1" t="n">
        <v>43511</v>
      </c>
      <c r="C1414" s="1" t="n">
        <v>45353</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10391-2019</t>
        </is>
      </c>
      <c r="B1415" s="1" t="n">
        <v>43511</v>
      </c>
      <c r="C1415" s="1" t="n">
        <v>45353</v>
      </c>
      <c r="D1415" t="inlineStr">
        <is>
          <t>VÄRMLANDS LÄN</t>
        </is>
      </c>
      <c r="E1415" t="inlineStr">
        <is>
          <t>ARVIKA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10407-2019</t>
        </is>
      </c>
      <c r="B1416" s="1" t="n">
        <v>43511</v>
      </c>
      <c r="C1416" s="1" t="n">
        <v>45353</v>
      </c>
      <c r="D1416" t="inlineStr">
        <is>
          <t>VÄRMLANDS LÄN</t>
        </is>
      </c>
      <c r="E1416" t="inlineStr">
        <is>
          <t>ARVIKA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10334-2019</t>
        </is>
      </c>
      <c r="B1417" s="1" t="n">
        <v>43511</v>
      </c>
      <c r="C1417" s="1" t="n">
        <v>45353</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10370-2019</t>
        </is>
      </c>
      <c r="B1418" s="1" t="n">
        <v>43511</v>
      </c>
      <c r="C1418" s="1" t="n">
        <v>45353</v>
      </c>
      <c r="D1418" t="inlineStr">
        <is>
          <t>VÄRMLANDS LÄN</t>
        </is>
      </c>
      <c r="E1418" t="inlineStr">
        <is>
          <t>ARVIKA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10404-2019</t>
        </is>
      </c>
      <c r="B1419" s="1" t="n">
        <v>43511</v>
      </c>
      <c r="C1419" s="1" t="n">
        <v>45353</v>
      </c>
      <c r="D1419" t="inlineStr">
        <is>
          <t>VÄRMLANDS LÄN</t>
        </is>
      </c>
      <c r="E1419" t="inlineStr">
        <is>
          <t>FILIPSTAD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10530-2019</t>
        </is>
      </c>
      <c r="B1420" s="1" t="n">
        <v>43511</v>
      </c>
      <c r="C1420" s="1" t="n">
        <v>45353</v>
      </c>
      <c r="D1420" t="inlineStr">
        <is>
          <t>VÄRMLANDS LÄN</t>
        </is>
      </c>
      <c r="E1420" t="inlineStr">
        <is>
          <t>KARLSTAD</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10526-2019</t>
        </is>
      </c>
      <c r="B1421" s="1" t="n">
        <v>43511</v>
      </c>
      <c r="C1421" s="1" t="n">
        <v>45353</v>
      </c>
      <c r="D1421" t="inlineStr">
        <is>
          <t>VÄRMLANDS LÄN</t>
        </is>
      </c>
      <c r="E1421" t="inlineStr">
        <is>
          <t>GRUMS</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10416-2019</t>
        </is>
      </c>
      <c r="B1422" s="1" t="n">
        <v>43511</v>
      </c>
      <c r="C1422" s="1" t="n">
        <v>45353</v>
      </c>
      <c r="D1422" t="inlineStr">
        <is>
          <t>VÄRMLANDS LÄN</t>
        </is>
      </c>
      <c r="E1422" t="inlineStr">
        <is>
          <t>ARVIKA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10468-2019</t>
        </is>
      </c>
      <c r="B1423" s="1" t="n">
        <v>43511</v>
      </c>
      <c r="C1423" s="1" t="n">
        <v>45353</v>
      </c>
      <c r="D1423" t="inlineStr">
        <is>
          <t>VÄRMLANDS LÄN</t>
        </is>
      </c>
      <c r="E1423" t="inlineStr">
        <is>
          <t>ARVIKA</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10412-2019</t>
        </is>
      </c>
      <c r="B1424" s="1" t="n">
        <v>43511</v>
      </c>
      <c r="C1424" s="1" t="n">
        <v>45353</v>
      </c>
      <c r="D1424" t="inlineStr">
        <is>
          <t>VÄRMLANDS LÄN</t>
        </is>
      </c>
      <c r="E1424" t="inlineStr">
        <is>
          <t>ARVIKA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10401-2019</t>
        </is>
      </c>
      <c r="B1425" s="1" t="n">
        <v>43511</v>
      </c>
      <c r="C1425" s="1" t="n">
        <v>45353</v>
      </c>
      <c r="D1425" t="inlineStr">
        <is>
          <t>VÄRMLANDS LÄN</t>
        </is>
      </c>
      <c r="E1425" t="inlineStr">
        <is>
          <t>ARVIKA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10337-2019</t>
        </is>
      </c>
      <c r="B1426" s="1" t="n">
        <v>43511</v>
      </c>
      <c r="C1426" s="1" t="n">
        <v>45353</v>
      </c>
      <c r="D1426" t="inlineStr">
        <is>
          <t>VÄRMLANDS LÄN</t>
        </is>
      </c>
      <c r="E1426" t="inlineStr">
        <is>
          <t>ÅRJÄNG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10636-2019</t>
        </is>
      </c>
      <c r="B1427" s="1" t="n">
        <v>43514</v>
      </c>
      <c r="C1427" s="1" t="n">
        <v>45353</v>
      </c>
      <c r="D1427" t="inlineStr">
        <is>
          <t>VÄRMLANDS LÄN</t>
        </is>
      </c>
      <c r="E1427" t="inlineStr">
        <is>
          <t>KRISTINEHAMN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10787-2019</t>
        </is>
      </c>
      <c r="B1428" s="1" t="n">
        <v>43514</v>
      </c>
      <c r="C1428" s="1" t="n">
        <v>45353</v>
      </c>
      <c r="D1428" t="inlineStr">
        <is>
          <t>VÄRMLANDS LÄN</t>
        </is>
      </c>
      <c r="E1428" t="inlineStr">
        <is>
          <t>KRISTINEHAMN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10808-2019</t>
        </is>
      </c>
      <c r="B1429" s="1" t="n">
        <v>43514</v>
      </c>
      <c r="C1429" s="1" t="n">
        <v>45353</v>
      </c>
      <c r="D1429" t="inlineStr">
        <is>
          <t>VÄRMLANDS LÄN</t>
        </is>
      </c>
      <c r="E1429" t="inlineStr">
        <is>
          <t>KARLSTAD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10671-2019</t>
        </is>
      </c>
      <c r="B1430" s="1" t="n">
        <v>43514</v>
      </c>
      <c r="C1430" s="1" t="n">
        <v>45353</v>
      </c>
      <c r="D1430" t="inlineStr">
        <is>
          <t>VÄRMLANDS LÄN</t>
        </is>
      </c>
      <c r="E1430" t="inlineStr">
        <is>
          <t>KRISTINEHAMN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10591-2019</t>
        </is>
      </c>
      <c r="B1431" s="1" t="n">
        <v>43514</v>
      </c>
      <c r="C1431" s="1" t="n">
        <v>45353</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10822-2019</t>
        </is>
      </c>
      <c r="B1432" s="1" t="n">
        <v>43514</v>
      </c>
      <c r="C1432" s="1" t="n">
        <v>45353</v>
      </c>
      <c r="D1432" t="inlineStr">
        <is>
          <t>VÄRMLANDS LÄN</t>
        </is>
      </c>
      <c r="E1432" t="inlineStr">
        <is>
          <t>KRISTINEHAMN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10836-2019</t>
        </is>
      </c>
      <c r="B1433" s="1" t="n">
        <v>43514</v>
      </c>
      <c r="C1433" s="1" t="n">
        <v>45353</v>
      </c>
      <c r="D1433" t="inlineStr">
        <is>
          <t>VÄRMLANDS LÄN</t>
        </is>
      </c>
      <c r="E1433" t="inlineStr">
        <is>
          <t>KRISTINEHAMN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10793-2019</t>
        </is>
      </c>
      <c r="B1434" s="1" t="n">
        <v>43514</v>
      </c>
      <c r="C1434" s="1" t="n">
        <v>45353</v>
      </c>
      <c r="D1434" t="inlineStr">
        <is>
          <t>VÄRMLANDS LÄN</t>
        </is>
      </c>
      <c r="E1434" t="inlineStr">
        <is>
          <t>SUNNE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10748-2019</t>
        </is>
      </c>
      <c r="B1435" s="1" t="n">
        <v>43514</v>
      </c>
      <c r="C1435" s="1" t="n">
        <v>45353</v>
      </c>
      <c r="D1435" t="inlineStr">
        <is>
          <t>VÄRMLANDS LÄN</t>
        </is>
      </c>
      <c r="E1435" t="inlineStr">
        <is>
          <t>KRISTINEHAMN</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10629-2019</t>
        </is>
      </c>
      <c r="B1436" s="1" t="n">
        <v>43514</v>
      </c>
      <c r="C1436" s="1" t="n">
        <v>45353</v>
      </c>
      <c r="D1436" t="inlineStr">
        <is>
          <t>VÄRMLANDS LÄN</t>
        </is>
      </c>
      <c r="E1436" t="inlineStr">
        <is>
          <t>FILIPSTAD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10598-2019</t>
        </is>
      </c>
      <c r="B1437" s="1" t="n">
        <v>43514</v>
      </c>
      <c r="C1437" s="1" t="n">
        <v>45353</v>
      </c>
      <c r="D1437" t="inlineStr">
        <is>
          <t>VÄRMLANDS LÄN</t>
        </is>
      </c>
      <c r="E1437" t="inlineStr">
        <is>
          <t>FILIPSTAD</t>
        </is>
      </c>
      <c r="F1437" t="inlineStr">
        <is>
          <t>Bergvik skog väst AB</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10810-2019</t>
        </is>
      </c>
      <c r="B1438" s="1" t="n">
        <v>43514</v>
      </c>
      <c r="C1438" s="1" t="n">
        <v>45353</v>
      </c>
      <c r="D1438" t="inlineStr">
        <is>
          <t>VÄRMLANDS LÄN</t>
        </is>
      </c>
      <c r="E1438" t="inlineStr">
        <is>
          <t>KARLSTAD</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10795-2019</t>
        </is>
      </c>
      <c r="B1439" s="1" t="n">
        <v>43514</v>
      </c>
      <c r="C1439" s="1" t="n">
        <v>45353</v>
      </c>
      <c r="D1439" t="inlineStr">
        <is>
          <t>VÄRMLANDS LÄN</t>
        </is>
      </c>
      <c r="E1439" t="inlineStr">
        <is>
          <t>KARLSTAD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10797-2019</t>
        </is>
      </c>
      <c r="B1440" s="1" t="n">
        <v>43514</v>
      </c>
      <c r="C1440" s="1" t="n">
        <v>45353</v>
      </c>
      <c r="D1440" t="inlineStr">
        <is>
          <t>VÄRMLANDS LÄN</t>
        </is>
      </c>
      <c r="E1440" t="inlineStr">
        <is>
          <t>KARLSTAD</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10924-2019</t>
        </is>
      </c>
      <c r="B1441" s="1" t="n">
        <v>43515</v>
      </c>
      <c r="C1441" s="1" t="n">
        <v>45353</v>
      </c>
      <c r="D1441" t="inlineStr">
        <is>
          <t>VÄRMLANDS LÄN</t>
        </is>
      </c>
      <c r="E1441" t="inlineStr">
        <is>
          <t>KIL</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10949-2019</t>
        </is>
      </c>
      <c r="B1442" s="1" t="n">
        <v>43515</v>
      </c>
      <c r="C1442" s="1" t="n">
        <v>45353</v>
      </c>
      <c r="D1442" t="inlineStr">
        <is>
          <t>VÄRMLANDS LÄN</t>
        </is>
      </c>
      <c r="E1442" t="inlineStr">
        <is>
          <t>FORSHAGA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10979-2019</t>
        </is>
      </c>
      <c r="B1443" s="1" t="n">
        <v>43515</v>
      </c>
      <c r="C1443" s="1" t="n">
        <v>45353</v>
      </c>
      <c r="D1443" t="inlineStr">
        <is>
          <t>VÄRMLANDS LÄN</t>
        </is>
      </c>
      <c r="E1443" t="inlineStr">
        <is>
          <t>KARLSTAD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11000-2019</t>
        </is>
      </c>
      <c r="B1444" s="1" t="n">
        <v>43515</v>
      </c>
      <c r="C1444" s="1" t="n">
        <v>45353</v>
      </c>
      <c r="D1444" t="inlineStr">
        <is>
          <t>VÄRMLANDS LÄN</t>
        </is>
      </c>
      <c r="E1444" t="inlineStr">
        <is>
          <t>SÄFFLE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10970-2019</t>
        </is>
      </c>
      <c r="B1445" s="1" t="n">
        <v>43515</v>
      </c>
      <c r="C1445" s="1" t="n">
        <v>45353</v>
      </c>
      <c r="D1445" t="inlineStr">
        <is>
          <t>VÄRMLANDS LÄN</t>
        </is>
      </c>
      <c r="E1445" t="inlineStr">
        <is>
          <t>KARLSTAD</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10946-2019</t>
        </is>
      </c>
      <c r="B1446" s="1" t="n">
        <v>43515</v>
      </c>
      <c r="C1446" s="1" t="n">
        <v>45353</v>
      </c>
      <c r="D1446" t="inlineStr">
        <is>
          <t>VÄRMLANDS LÄN</t>
        </is>
      </c>
      <c r="E1446" t="inlineStr">
        <is>
          <t>SÄFFLE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10998-2019</t>
        </is>
      </c>
      <c r="B1447" s="1" t="n">
        <v>43515</v>
      </c>
      <c r="C1447" s="1" t="n">
        <v>45353</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11004-2019</t>
        </is>
      </c>
      <c r="B1448" s="1" t="n">
        <v>43515</v>
      </c>
      <c r="C1448" s="1" t="n">
        <v>45353</v>
      </c>
      <c r="D1448" t="inlineStr">
        <is>
          <t>VÄRMLANDS LÄN</t>
        </is>
      </c>
      <c r="E1448" t="inlineStr">
        <is>
          <t>SUNNE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10911-2019</t>
        </is>
      </c>
      <c r="B1449" s="1" t="n">
        <v>43515</v>
      </c>
      <c r="C1449" s="1" t="n">
        <v>45353</v>
      </c>
      <c r="D1449" t="inlineStr">
        <is>
          <t>VÄRMLANDS LÄN</t>
        </is>
      </c>
      <c r="E1449" t="inlineStr">
        <is>
          <t>KARLSTAD</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11058-2019</t>
        </is>
      </c>
      <c r="B1450" s="1" t="n">
        <v>43515</v>
      </c>
      <c r="C1450" s="1" t="n">
        <v>45353</v>
      </c>
      <c r="D1450" t="inlineStr">
        <is>
          <t>VÄRMLANDS LÄN</t>
        </is>
      </c>
      <c r="E1450" t="inlineStr">
        <is>
          <t>KRISTINEHAMN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11093-2019</t>
        </is>
      </c>
      <c r="B1451" s="1" t="n">
        <v>43516</v>
      </c>
      <c r="C1451" s="1" t="n">
        <v>45353</v>
      </c>
      <c r="D1451" t="inlineStr">
        <is>
          <t>VÄRMLANDS LÄN</t>
        </is>
      </c>
      <c r="E1451" t="inlineStr">
        <is>
          <t>ARVIKA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11090-2019</t>
        </is>
      </c>
      <c r="B1452" s="1" t="n">
        <v>43516</v>
      </c>
      <c r="C1452" s="1" t="n">
        <v>45353</v>
      </c>
      <c r="D1452" t="inlineStr">
        <is>
          <t>VÄRMLANDS LÄN</t>
        </is>
      </c>
      <c r="E1452" t="inlineStr">
        <is>
          <t>HAGFORS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11133-2019</t>
        </is>
      </c>
      <c r="B1453" s="1" t="n">
        <v>43516</v>
      </c>
      <c r="C1453" s="1" t="n">
        <v>45353</v>
      </c>
      <c r="D1453" t="inlineStr">
        <is>
          <t>VÄRMLANDS LÄN</t>
        </is>
      </c>
      <c r="E1453" t="inlineStr">
        <is>
          <t>KARLSTAD</t>
        </is>
      </c>
      <c r="F1453" t="inlineStr">
        <is>
          <t>Kommuner</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11152-2019</t>
        </is>
      </c>
      <c r="B1454" s="1" t="n">
        <v>43516</v>
      </c>
      <c r="C1454" s="1" t="n">
        <v>45353</v>
      </c>
      <c r="D1454" t="inlineStr">
        <is>
          <t>VÄRMLANDS LÄN</t>
        </is>
      </c>
      <c r="E1454" t="inlineStr">
        <is>
          <t>ÅRJÄNG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11204-2019</t>
        </is>
      </c>
      <c r="B1455" s="1" t="n">
        <v>43516</v>
      </c>
      <c r="C1455" s="1" t="n">
        <v>45353</v>
      </c>
      <c r="D1455" t="inlineStr">
        <is>
          <t>VÄRMLANDS LÄN</t>
        </is>
      </c>
      <c r="E1455" t="inlineStr">
        <is>
          <t>HAGFORS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11264-2019</t>
        </is>
      </c>
      <c r="B1456" s="1" t="n">
        <v>43516</v>
      </c>
      <c r="C1456" s="1" t="n">
        <v>45353</v>
      </c>
      <c r="D1456" t="inlineStr">
        <is>
          <t>VÄRMLANDS LÄN</t>
        </is>
      </c>
      <c r="E1456" t="inlineStr">
        <is>
          <t>ARVIKA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11135-2019</t>
        </is>
      </c>
      <c r="B1457" s="1" t="n">
        <v>43516</v>
      </c>
      <c r="C1457" s="1" t="n">
        <v>45353</v>
      </c>
      <c r="D1457" t="inlineStr">
        <is>
          <t>VÄRMLANDS LÄN</t>
        </is>
      </c>
      <c r="E1457" t="inlineStr">
        <is>
          <t>FILIPSTAD</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11333-2019</t>
        </is>
      </c>
      <c r="B1458" s="1" t="n">
        <v>43517</v>
      </c>
      <c r="C1458" s="1" t="n">
        <v>45353</v>
      </c>
      <c r="D1458" t="inlineStr">
        <is>
          <t>VÄRMLANDS LÄN</t>
        </is>
      </c>
      <c r="E1458" t="inlineStr">
        <is>
          <t>SUNNE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11351-2019</t>
        </is>
      </c>
      <c r="B1459" s="1" t="n">
        <v>43517</v>
      </c>
      <c r="C1459" s="1" t="n">
        <v>45353</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11435-2019</t>
        </is>
      </c>
      <c r="B1460" s="1" t="n">
        <v>43517</v>
      </c>
      <c r="C1460" s="1" t="n">
        <v>45353</v>
      </c>
      <c r="D1460" t="inlineStr">
        <is>
          <t>VÄRMLANDS LÄN</t>
        </is>
      </c>
      <c r="E1460" t="inlineStr">
        <is>
          <t>EDA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11507-2019</t>
        </is>
      </c>
      <c r="B1461" s="1" t="n">
        <v>43517</v>
      </c>
      <c r="C1461" s="1" t="n">
        <v>45353</v>
      </c>
      <c r="D1461" t="inlineStr">
        <is>
          <t>VÄRMLANDS LÄN</t>
        </is>
      </c>
      <c r="E1461" t="inlineStr">
        <is>
          <t>KARLSTAD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11621-2019</t>
        </is>
      </c>
      <c r="B1462" s="1" t="n">
        <v>43517</v>
      </c>
      <c r="C1462" s="1" t="n">
        <v>45353</v>
      </c>
      <c r="D1462" t="inlineStr">
        <is>
          <t>VÄRMLANDS LÄN</t>
        </is>
      </c>
      <c r="E1462" t="inlineStr">
        <is>
          <t>ARVIKA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11298-2019</t>
        </is>
      </c>
      <c r="B1463" s="1" t="n">
        <v>43517</v>
      </c>
      <c r="C1463" s="1" t="n">
        <v>45353</v>
      </c>
      <c r="D1463" t="inlineStr">
        <is>
          <t>VÄRMLANDS LÄN</t>
        </is>
      </c>
      <c r="E1463" t="inlineStr">
        <is>
          <t>SUNNE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11711-2019</t>
        </is>
      </c>
      <c r="B1464" s="1" t="n">
        <v>43518</v>
      </c>
      <c r="C1464" s="1" t="n">
        <v>45353</v>
      </c>
      <c r="D1464" t="inlineStr">
        <is>
          <t>VÄRMLANDS LÄN</t>
        </is>
      </c>
      <c r="E1464" t="inlineStr">
        <is>
          <t>SUNNE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11717-2019</t>
        </is>
      </c>
      <c r="B1465" s="1" t="n">
        <v>43518</v>
      </c>
      <c r="C1465" s="1" t="n">
        <v>45353</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11730-2019</t>
        </is>
      </c>
      <c r="B1466" s="1" t="n">
        <v>43518</v>
      </c>
      <c r="C1466" s="1" t="n">
        <v>45353</v>
      </c>
      <c r="D1466" t="inlineStr">
        <is>
          <t>VÄRMLANDS LÄN</t>
        </is>
      </c>
      <c r="E1466" t="inlineStr">
        <is>
          <t>TORSBY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11583-2019</t>
        </is>
      </c>
      <c r="B1467" s="1" t="n">
        <v>43518</v>
      </c>
      <c r="C1467" s="1" t="n">
        <v>45353</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11728-2019</t>
        </is>
      </c>
      <c r="B1468" s="1" t="n">
        <v>43518</v>
      </c>
      <c r="C1468" s="1" t="n">
        <v>45353</v>
      </c>
      <c r="D1468" t="inlineStr">
        <is>
          <t>VÄRMLANDS LÄN</t>
        </is>
      </c>
      <c r="E1468" t="inlineStr">
        <is>
          <t>GRUMS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11754-2019</t>
        </is>
      </c>
      <c r="B1469" s="1" t="n">
        <v>43520</v>
      </c>
      <c r="C1469" s="1" t="n">
        <v>45353</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11761-2019</t>
        </is>
      </c>
      <c r="B1470" s="1" t="n">
        <v>43520</v>
      </c>
      <c r="C1470" s="1" t="n">
        <v>45353</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11762-2019</t>
        </is>
      </c>
      <c r="B1471" s="1" t="n">
        <v>43520</v>
      </c>
      <c r="C1471" s="1" t="n">
        <v>45353</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11765-2019</t>
        </is>
      </c>
      <c r="B1472" s="1" t="n">
        <v>43520</v>
      </c>
      <c r="C1472" s="1" t="n">
        <v>45353</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11764-2019</t>
        </is>
      </c>
      <c r="B1473" s="1" t="n">
        <v>43520</v>
      </c>
      <c r="C1473" s="1" t="n">
        <v>45353</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11977-2019</t>
        </is>
      </c>
      <c r="B1474" s="1" t="n">
        <v>43521</v>
      </c>
      <c r="C1474" s="1" t="n">
        <v>45353</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12328-2019</t>
        </is>
      </c>
      <c r="B1475" s="1" t="n">
        <v>43523</v>
      </c>
      <c r="C1475" s="1" t="n">
        <v>45353</v>
      </c>
      <c r="D1475" t="inlineStr">
        <is>
          <t>VÄRMLANDS LÄN</t>
        </is>
      </c>
      <c r="E1475" t="inlineStr">
        <is>
          <t>ÅRJÄNG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12316-2019</t>
        </is>
      </c>
      <c r="B1476" s="1" t="n">
        <v>43523</v>
      </c>
      <c r="C1476" s="1" t="n">
        <v>45353</v>
      </c>
      <c r="D1476" t="inlineStr">
        <is>
          <t>VÄRMLANDS LÄN</t>
        </is>
      </c>
      <c r="E1476" t="inlineStr">
        <is>
          <t>ÅRJÄNG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12337-2019</t>
        </is>
      </c>
      <c r="B1477" s="1" t="n">
        <v>43523</v>
      </c>
      <c r="C1477" s="1" t="n">
        <v>45353</v>
      </c>
      <c r="D1477" t="inlineStr">
        <is>
          <t>VÄRMLANDS LÄN</t>
        </is>
      </c>
      <c r="E1477" t="inlineStr">
        <is>
          <t>ÅRJÄNG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12382-2019</t>
        </is>
      </c>
      <c r="B1478" s="1" t="n">
        <v>43523</v>
      </c>
      <c r="C1478" s="1" t="n">
        <v>45353</v>
      </c>
      <c r="D1478" t="inlineStr">
        <is>
          <t>VÄRMLANDS LÄN</t>
        </is>
      </c>
      <c r="E1478" t="inlineStr">
        <is>
          <t>EDA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12435-2019</t>
        </is>
      </c>
      <c r="B1479" s="1" t="n">
        <v>43523</v>
      </c>
      <c r="C1479" s="1" t="n">
        <v>45353</v>
      </c>
      <c r="D1479" t="inlineStr">
        <is>
          <t>VÄRMLANDS LÄN</t>
        </is>
      </c>
      <c r="E1479" t="inlineStr">
        <is>
          <t>HAGFORS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12420-2019</t>
        </is>
      </c>
      <c r="B1480" s="1" t="n">
        <v>43523</v>
      </c>
      <c r="C1480" s="1" t="n">
        <v>45353</v>
      </c>
      <c r="D1480" t="inlineStr">
        <is>
          <t>VÄRMLANDS LÄN</t>
        </is>
      </c>
      <c r="E1480" t="inlineStr">
        <is>
          <t>SÄFFLE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12436-2019</t>
        </is>
      </c>
      <c r="B1481" s="1" t="n">
        <v>43523</v>
      </c>
      <c r="C1481" s="1" t="n">
        <v>45353</v>
      </c>
      <c r="D1481" t="inlineStr">
        <is>
          <t>VÄRMLANDS LÄN</t>
        </is>
      </c>
      <c r="E1481" t="inlineStr">
        <is>
          <t>HAGFORS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12303-2019</t>
        </is>
      </c>
      <c r="B1482" s="1" t="n">
        <v>43523</v>
      </c>
      <c r="C1482" s="1" t="n">
        <v>45353</v>
      </c>
      <c r="D1482" t="inlineStr">
        <is>
          <t>VÄRMLANDS LÄN</t>
        </is>
      </c>
      <c r="E1482" t="inlineStr">
        <is>
          <t>ARVIKA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12794-2019</t>
        </is>
      </c>
      <c r="B1483" s="1" t="n">
        <v>43523</v>
      </c>
      <c r="C1483" s="1" t="n">
        <v>45353</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12409-2019</t>
        </is>
      </c>
      <c r="B1484" s="1" t="n">
        <v>43523</v>
      </c>
      <c r="C1484" s="1" t="n">
        <v>45353</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12521-2019</t>
        </is>
      </c>
      <c r="B1485" s="1" t="n">
        <v>43524</v>
      </c>
      <c r="C1485" s="1" t="n">
        <v>45353</v>
      </c>
      <c r="D1485" t="inlineStr">
        <is>
          <t>VÄRMLANDS LÄN</t>
        </is>
      </c>
      <c r="E1485" t="inlineStr">
        <is>
          <t>EDA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12661-2019</t>
        </is>
      </c>
      <c r="B1486" s="1" t="n">
        <v>43524</v>
      </c>
      <c r="C1486" s="1" t="n">
        <v>45353</v>
      </c>
      <c r="D1486" t="inlineStr">
        <is>
          <t>VÄRMLANDS LÄN</t>
        </is>
      </c>
      <c r="E1486" t="inlineStr">
        <is>
          <t>TORSBY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12663-2019</t>
        </is>
      </c>
      <c r="B1487" s="1" t="n">
        <v>43524</v>
      </c>
      <c r="C1487" s="1" t="n">
        <v>45353</v>
      </c>
      <c r="D1487" t="inlineStr">
        <is>
          <t>VÄRMLANDS LÄN</t>
        </is>
      </c>
      <c r="E1487" t="inlineStr">
        <is>
          <t>TORSBY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12674-2019</t>
        </is>
      </c>
      <c r="B1488" s="1" t="n">
        <v>43524</v>
      </c>
      <c r="C1488" s="1" t="n">
        <v>45353</v>
      </c>
      <c r="D1488" t="inlineStr">
        <is>
          <t>VÄRMLANDS LÄN</t>
        </is>
      </c>
      <c r="E1488" t="inlineStr">
        <is>
          <t>SUNNE</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12701-2019</t>
        </is>
      </c>
      <c r="B1489" s="1" t="n">
        <v>43524</v>
      </c>
      <c r="C1489" s="1" t="n">
        <v>45353</v>
      </c>
      <c r="D1489" t="inlineStr">
        <is>
          <t>VÄRMLANDS LÄN</t>
        </is>
      </c>
      <c r="E1489" t="inlineStr">
        <is>
          <t>ARVIKA</t>
        </is>
      </c>
      <c r="F1489" t="inlineStr">
        <is>
          <t>Bergvik skog väst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12677-2019</t>
        </is>
      </c>
      <c r="B1490" s="1" t="n">
        <v>43524</v>
      </c>
      <c r="C1490" s="1" t="n">
        <v>45353</v>
      </c>
      <c r="D1490" t="inlineStr">
        <is>
          <t>VÄRMLANDS LÄN</t>
        </is>
      </c>
      <c r="E1490" t="inlineStr">
        <is>
          <t>SUNNE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12539-2019</t>
        </is>
      </c>
      <c r="B1491" s="1" t="n">
        <v>43524</v>
      </c>
      <c r="C1491" s="1" t="n">
        <v>45353</v>
      </c>
      <c r="D1491" t="inlineStr">
        <is>
          <t>VÄRMLANDS LÄN</t>
        </is>
      </c>
      <c r="E1491" t="inlineStr">
        <is>
          <t>ÅRJÄNG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12525-2019</t>
        </is>
      </c>
      <c r="B1492" s="1" t="n">
        <v>43524</v>
      </c>
      <c r="C1492" s="1" t="n">
        <v>45353</v>
      </c>
      <c r="D1492" t="inlineStr">
        <is>
          <t>VÄRMLANDS LÄN</t>
        </is>
      </c>
      <c r="E1492" t="inlineStr">
        <is>
          <t>ÅRJÄNG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12710-2019</t>
        </is>
      </c>
      <c r="B1493" s="1" t="n">
        <v>43524</v>
      </c>
      <c r="C1493" s="1" t="n">
        <v>45353</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12745-2019</t>
        </is>
      </c>
      <c r="B1494" s="1" t="n">
        <v>43524</v>
      </c>
      <c r="C1494" s="1" t="n">
        <v>45353</v>
      </c>
      <c r="D1494" t="inlineStr">
        <is>
          <t>VÄRMLANDS LÄN</t>
        </is>
      </c>
      <c r="E1494" t="inlineStr">
        <is>
          <t>SÄFFLE</t>
        </is>
      </c>
      <c r="F1494" t="inlineStr">
        <is>
          <t>Kommuner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13122-2019</t>
        </is>
      </c>
      <c r="B1495" s="1" t="n">
        <v>43525</v>
      </c>
      <c r="C1495" s="1" t="n">
        <v>45353</v>
      </c>
      <c r="D1495" t="inlineStr">
        <is>
          <t>VÄRMLANDS LÄN</t>
        </is>
      </c>
      <c r="E1495" t="inlineStr">
        <is>
          <t>ÅRJÄNG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12827-2019</t>
        </is>
      </c>
      <c r="B1496" s="1" t="n">
        <v>43525</v>
      </c>
      <c r="C1496" s="1" t="n">
        <v>45353</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13130-2019</t>
        </is>
      </c>
      <c r="B1497" s="1" t="n">
        <v>43528</v>
      </c>
      <c r="C1497" s="1" t="n">
        <v>45353</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12997-2019</t>
        </is>
      </c>
      <c r="B1498" s="1" t="n">
        <v>43528</v>
      </c>
      <c r="C1498" s="1" t="n">
        <v>45353</v>
      </c>
      <c r="D1498" t="inlineStr">
        <is>
          <t>VÄRMLANDS LÄN</t>
        </is>
      </c>
      <c r="E1498" t="inlineStr">
        <is>
          <t>GRUMS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13126-2019</t>
        </is>
      </c>
      <c r="B1499" s="1" t="n">
        <v>43528</v>
      </c>
      <c r="C1499" s="1" t="n">
        <v>45353</v>
      </c>
      <c r="D1499" t="inlineStr">
        <is>
          <t>VÄRMLANDS LÄN</t>
        </is>
      </c>
      <c r="E1499" t="inlineStr">
        <is>
          <t>FORSHAGA</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13094-2019</t>
        </is>
      </c>
      <c r="B1500" s="1" t="n">
        <v>43528</v>
      </c>
      <c r="C1500" s="1" t="n">
        <v>45353</v>
      </c>
      <c r="D1500" t="inlineStr">
        <is>
          <t>VÄRMLANDS LÄN</t>
        </is>
      </c>
      <c r="E1500" t="inlineStr">
        <is>
          <t>FILIPSTAD</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13145-2019</t>
        </is>
      </c>
      <c r="B1501" s="1" t="n">
        <v>43528</v>
      </c>
      <c r="C1501" s="1" t="n">
        <v>45353</v>
      </c>
      <c r="D1501" t="inlineStr">
        <is>
          <t>VÄRMLANDS LÄN</t>
        </is>
      </c>
      <c r="E1501" t="inlineStr">
        <is>
          <t>SÄFFLE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13469-2019</t>
        </is>
      </c>
      <c r="B1502" s="1" t="n">
        <v>43529</v>
      </c>
      <c r="C1502" s="1" t="n">
        <v>45353</v>
      </c>
      <c r="D1502" t="inlineStr">
        <is>
          <t>VÄRMLANDS LÄN</t>
        </is>
      </c>
      <c r="E1502" t="inlineStr">
        <is>
          <t>KARLSTAD</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13484-2019</t>
        </is>
      </c>
      <c r="B1503" s="1" t="n">
        <v>43529</v>
      </c>
      <c r="C1503" s="1" t="n">
        <v>45353</v>
      </c>
      <c r="D1503" t="inlineStr">
        <is>
          <t>VÄRMLANDS LÄN</t>
        </is>
      </c>
      <c r="E1503" t="inlineStr">
        <is>
          <t>KRISTINEHAMN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13532-2019</t>
        </is>
      </c>
      <c r="B1504" s="1" t="n">
        <v>43529</v>
      </c>
      <c r="C1504" s="1" t="n">
        <v>45353</v>
      </c>
      <c r="D1504" t="inlineStr">
        <is>
          <t>VÄRMLANDS LÄN</t>
        </is>
      </c>
      <c r="E1504" t="inlineStr">
        <is>
          <t>KRISTINEHAMN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13467-2019</t>
        </is>
      </c>
      <c r="B1505" s="1" t="n">
        <v>43529</v>
      </c>
      <c r="C1505" s="1" t="n">
        <v>45353</v>
      </c>
      <c r="D1505" t="inlineStr">
        <is>
          <t>VÄRMLANDS LÄN</t>
        </is>
      </c>
      <c r="E1505" t="inlineStr">
        <is>
          <t>KARLSTAD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13508-2019</t>
        </is>
      </c>
      <c r="B1506" s="1" t="n">
        <v>43530</v>
      </c>
      <c r="C1506" s="1" t="n">
        <v>45353</v>
      </c>
      <c r="D1506" t="inlineStr">
        <is>
          <t>VÄRMLANDS LÄN</t>
        </is>
      </c>
      <c r="E1506" t="inlineStr">
        <is>
          <t>KRISTINEHAMN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13764-2019</t>
        </is>
      </c>
      <c r="B1507" s="1" t="n">
        <v>43531</v>
      </c>
      <c r="C1507" s="1" t="n">
        <v>45353</v>
      </c>
      <c r="D1507" t="inlineStr">
        <is>
          <t>VÄRMLANDS LÄN</t>
        </is>
      </c>
      <c r="E1507" t="inlineStr">
        <is>
          <t>KIL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13754-2019</t>
        </is>
      </c>
      <c r="B1508" s="1" t="n">
        <v>43531</v>
      </c>
      <c r="C1508" s="1" t="n">
        <v>45353</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13832-2019</t>
        </is>
      </c>
      <c r="B1509" s="1" t="n">
        <v>43531</v>
      </c>
      <c r="C1509" s="1" t="n">
        <v>45353</v>
      </c>
      <c r="D1509" t="inlineStr">
        <is>
          <t>VÄRMLANDS LÄN</t>
        </is>
      </c>
      <c r="E1509" t="inlineStr">
        <is>
          <t>FILIPSTAD</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13769-2019</t>
        </is>
      </c>
      <c r="B1510" s="1" t="n">
        <v>43531</v>
      </c>
      <c r="C1510" s="1" t="n">
        <v>45353</v>
      </c>
      <c r="D1510" t="inlineStr">
        <is>
          <t>VÄRMLANDS LÄN</t>
        </is>
      </c>
      <c r="E1510" t="inlineStr">
        <is>
          <t>KIL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13967-2019</t>
        </is>
      </c>
      <c r="B1511" s="1" t="n">
        <v>43531</v>
      </c>
      <c r="C1511" s="1" t="n">
        <v>45353</v>
      </c>
      <c r="D1511" t="inlineStr">
        <is>
          <t>VÄRMLANDS LÄN</t>
        </is>
      </c>
      <c r="E1511" t="inlineStr">
        <is>
          <t>KRISTINEHAMN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13847-2019</t>
        </is>
      </c>
      <c r="B1512" s="1" t="n">
        <v>43531</v>
      </c>
      <c r="C1512" s="1" t="n">
        <v>45353</v>
      </c>
      <c r="D1512" t="inlineStr">
        <is>
          <t>VÄRMLANDS LÄN</t>
        </is>
      </c>
      <c r="E1512" t="inlineStr">
        <is>
          <t>ÅRJÄNG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13838-2019</t>
        </is>
      </c>
      <c r="B1513" s="1" t="n">
        <v>43531</v>
      </c>
      <c r="C1513" s="1" t="n">
        <v>45353</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13803-2019</t>
        </is>
      </c>
      <c r="B1514" s="1" t="n">
        <v>43531</v>
      </c>
      <c r="C1514" s="1" t="n">
        <v>45353</v>
      </c>
      <c r="D1514" t="inlineStr">
        <is>
          <t>VÄRMLANDS LÄN</t>
        </is>
      </c>
      <c r="E1514" t="inlineStr">
        <is>
          <t>ARVIKA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13950-2019</t>
        </is>
      </c>
      <c r="B1515" s="1" t="n">
        <v>43531</v>
      </c>
      <c r="C1515" s="1" t="n">
        <v>45353</v>
      </c>
      <c r="D1515" t="inlineStr">
        <is>
          <t>VÄRMLANDS LÄN</t>
        </is>
      </c>
      <c r="E1515" t="inlineStr">
        <is>
          <t>KRISTINEHAMN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13833-2019</t>
        </is>
      </c>
      <c r="B1516" s="1" t="n">
        <v>43531</v>
      </c>
      <c r="C1516" s="1" t="n">
        <v>45353</v>
      </c>
      <c r="D1516" t="inlineStr">
        <is>
          <t>VÄRMLANDS LÄN</t>
        </is>
      </c>
      <c r="E1516" t="inlineStr">
        <is>
          <t>FILIPSTAD</t>
        </is>
      </c>
      <c r="F1516" t="inlineStr">
        <is>
          <t>Bergvik skog väst AB</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13973-2019</t>
        </is>
      </c>
      <c r="B1517" s="1" t="n">
        <v>43531</v>
      </c>
      <c r="C1517" s="1" t="n">
        <v>45353</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13982-2019</t>
        </is>
      </c>
      <c r="B1518" s="1" t="n">
        <v>43532</v>
      </c>
      <c r="C1518" s="1" t="n">
        <v>45353</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14008-2019</t>
        </is>
      </c>
      <c r="B1519" s="1" t="n">
        <v>43532</v>
      </c>
      <c r="C1519" s="1" t="n">
        <v>45353</v>
      </c>
      <c r="D1519" t="inlineStr">
        <is>
          <t>VÄRMLANDS LÄN</t>
        </is>
      </c>
      <c r="E1519" t="inlineStr">
        <is>
          <t>KRISTINEHAMN</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14126-2019</t>
        </is>
      </c>
      <c r="B1520" s="1" t="n">
        <v>43532</v>
      </c>
      <c r="C1520" s="1" t="n">
        <v>45353</v>
      </c>
      <c r="D1520" t="inlineStr">
        <is>
          <t>VÄRMLANDS LÄN</t>
        </is>
      </c>
      <c r="E1520" t="inlineStr">
        <is>
          <t>FORSHAGA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13970-2019</t>
        </is>
      </c>
      <c r="B1521" s="1" t="n">
        <v>43532</v>
      </c>
      <c r="C1521" s="1" t="n">
        <v>45353</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14021-2019</t>
        </is>
      </c>
      <c r="B1522" s="1" t="n">
        <v>43532</v>
      </c>
      <c r="C1522" s="1" t="n">
        <v>45353</v>
      </c>
      <c r="D1522" t="inlineStr">
        <is>
          <t>VÄRMLANDS LÄN</t>
        </is>
      </c>
      <c r="E1522" t="inlineStr">
        <is>
          <t>KRISTINEHAMN</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14136-2019</t>
        </is>
      </c>
      <c r="B1523" s="1" t="n">
        <v>43532</v>
      </c>
      <c r="C1523" s="1" t="n">
        <v>45353</v>
      </c>
      <c r="D1523" t="inlineStr">
        <is>
          <t>VÄRMLANDS LÄN</t>
        </is>
      </c>
      <c r="E1523" t="inlineStr">
        <is>
          <t>SÄFFLE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13971-2019</t>
        </is>
      </c>
      <c r="B1524" s="1" t="n">
        <v>43532</v>
      </c>
      <c r="C1524" s="1" t="n">
        <v>45353</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13962-2019</t>
        </is>
      </c>
      <c r="B1525" s="1" t="n">
        <v>43532</v>
      </c>
      <c r="C1525" s="1" t="n">
        <v>45353</v>
      </c>
      <c r="D1525" t="inlineStr">
        <is>
          <t>VÄRMLANDS LÄN</t>
        </is>
      </c>
      <c r="E1525" t="inlineStr">
        <is>
          <t>ÅRJÄNG</t>
        </is>
      </c>
      <c r="F1525" t="inlineStr">
        <is>
          <t>Bergvik skog väst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14177-2019</t>
        </is>
      </c>
      <c r="B1526" s="1" t="n">
        <v>43534</v>
      </c>
      <c r="C1526" s="1" t="n">
        <v>45353</v>
      </c>
      <c r="D1526" t="inlineStr">
        <is>
          <t>VÄRMLANDS LÄN</t>
        </is>
      </c>
      <c r="E1526" t="inlineStr">
        <is>
          <t>HAGFORS</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14340-2019</t>
        </is>
      </c>
      <c r="B1527" s="1" t="n">
        <v>43535</v>
      </c>
      <c r="C1527" s="1" t="n">
        <v>45353</v>
      </c>
      <c r="D1527" t="inlineStr">
        <is>
          <t>VÄRMLANDS LÄN</t>
        </is>
      </c>
      <c r="E1527" t="inlineStr">
        <is>
          <t>EDA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14697-2019</t>
        </is>
      </c>
      <c r="B1528" s="1" t="n">
        <v>43535</v>
      </c>
      <c r="C1528" s="1" t="n">
        <v>45353</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14301-2019</t>
        </is>
      </c>
      <c r="B1529" s="1" t="n">
        <v>43535</v>
      </c>
      <c r="C1529" s="1" t="n">
        <v>45353</v>
      </c>
      <c r="D1529" t="inlineStr">
        <is>
          <t>VÄRMLANDS LÄN</t>
        </is>
      </c>
      <c r="E1529" t="inlineStr">
        <is>
          <t>ARVIKA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14594-2019</t>
        </is>
      </c>
      <c r="B1530" s="1" t="n">
        <v>43536</v>
      </c>
      <c r="C1530" s="1" t="n">
        <v>45353</v>
      </c>
      <c r="D1530" t="inlineStr">
        <is>
          <t>VÄRMLANDS LÄN</t>
        </is>
      </c>
      <c r="E1530" t="inlineStr">
        <is>
          <t>FORSHAGA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14764-2019</t>
        </is>
      </c>
      <c r="B1531" s="1" t="n">
        <v>43536</v>
      </c>
      <c r="C1531" s="1" t="n">
        <v>45353</v>
      </c>
      <c r="D1531" t="inlineStr">
        <is>
          <t>VÄRMLANDS LÄN</t>
        </is>
      </c>
      <c r="E1531" t="inlineStr">
        <is>
          <t>SUNNE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14414-2019</t>
        </is>
      </c>
      <c r="B1532" s="1" t="n">
        <v>43536</v>
      </c>
      <c r="C1532" s="1" t="n">
        <v>45353</v>
      </c>
      <c r="D1532" t="inlineStr">
        <is>
          <t>VÄRMLANDS LÄN</t>
        </is>
      </c>
      <c r="E1532" t="inlineStr">
        <is>
          <t>KIL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14451-2019</t>
        </is>
      </c>
      <c r="B1533" s="1" t="n">
        <v>43536</v>
      </c>
      <c r="C1533" s="1" t="n">
        <v>45353</v>
      </c>
      <c r="D1533" t="inlineStr">
        <is>
          <t>VÄRMLANDS LÄN</t>
        </is>
      </c>
      <c r="E1533" t="inlineStr">
        <is>
          <t>KIL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14391-2019</t>
        </is>
      </c>
      <c r="B1534" s="1" t="n">
        <v>43536</v>
      </c>
      <c r="C1534" s="1" t="n">
        <v>45353</v>
      </c>
      <c r="D1534" t="inlineStr">
        <is>
          <t>VÄRMLANDS LÄN</t>
        </is>
      </c>
      <c r="E1534" t="inlineStr">
        <is>
          <t>KARLSTAD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14353-2019</t>
        </is>
      </c>
      <c r="B1535" s="1" t="n">
        <v>43536</v>
      </c>
      <c r="C1535" s="1" t="n">
        <v>45353</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14855-2019</t>
        </is>
      </c>
      <c r="B1536" s="1" t="n">
        <v>43537</v>
      </c>
      <c r="C1536" s="1" t="n">
        <v>45353</v>
      </c>
      <c r="D1536" t="inlineStr">
        <is>
          <t>VÄRMLANDS LÄN</t>
        </is>
      </c>
      <c r="E1536" t="inlineStr">
        <is>
          <t>KARLSTAD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14930-2019</t>
        </is>
      </c>
      <c r="B1537" s="1" t="n">
        <v>43537</v>
      </c>
      <c r="C1537" s="1" t="n">
        <v>45353</v>
      </c>
      <c r="D1537" t="inlineStr">
        <is>
          <t>VÄRMLANDS LÄN</t>
        </is>
      </c>
      <c r="E1537" t="inlineStr">
        <is>
          <t>FORSHAGA</t>
        </is>
      </c>
      <c r="F1537" t="inlineStr">
        <is>
          <t>Bergvik skog väst AB</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14498-2019</t>
        </is>
      </c>
      <c r="B1538" s="1" t="n">
        <v>43537</v>
      </c>
      <c r="C1538" s="1" t="n">
        <v>45353</v>
      </c>
      <c r="D1538" t="inlineStr">
        <is>
          <t>VÄRMLANDS LÄN</t>
        </is>
      </c>
      <c r="E1538" t="inlineStr">
        <is>
          <t>SUNNE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14783-2019</t>
        </is>
      </c>
      <c r="B1539" s="1" t="n">
        <v>43537</v>
      </c>
      <c r="C1539" s="1" t="n">
        <v>45353</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14894-2019</t>
        </is>
      </c>
      <c r="B1540" s="1" t="n">
        <v>43538</v>
      </c>
      <c r="C1540" s="1" t="n">
        <v>45353</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15138-2019</t>
        </is>
      </c>
      <c r="B1541" s="1" t="n">
        <v>43538</v>
      </c>
      <c r="C1541" s="1" t="n">
        <v>45353</v>
      </c>
      <c r="D1541" t="inlineStr">
        <is>
          <t>VÄRMLANDS LÄN</t>
        </is>
      </c>
      <c r="E1541" t="inlineStr">
        <is>
          <t>KARLSTAD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15459-2019</t>
        </is>
      </c>
      <c r="B1542" s="1" t="n">
        <v>43538</v>
      </c>
      <c r="C1542" s="1" t="n">
        <v>45353</v>
      </c>
      <c r="D1542" t="inlineStr">
        <is>
          <t>VÄRMLANDS LÄN</t>
        </is>
      </c>
      <c r="E1542" t="inlineStr">
        <is>
          <t>TORSBY</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15134-2019</t>
        </is>
      </c>
      <c r="B1543" s="1" t="n">
        <v>43538</v>
      </c>
      <c r="C1543" s="1" t="n">
        <v>45353</v>
      </c>
      <c r="D1543" t="inlineStr">
        <is>
          <t>VÄRMLANDS LÄN</t>
        </is>
      </c>
      <c r="E1543" t="inlineStr">
        <is>
          <t>KARLSTAD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15039-2019</t>
        </is>
      </c>
      <c r="B1544" s="1" t="n">
        <v>43538</v>
      </c>
      <c r="C1544" s="1" t="n">
        <v>45353</v>
      </c>
      <c r="D1544" t="inlineStr">
        <is>
          <t>VÄRMLANDS LÄN</t>
        </is>
      </c>
      <c r="E1544" t="inlineStr">
        <is>
          <t>KRISTINEHAMN</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15235-2019</t>
        </is>
      </c>
      <c r="B1545" s="1" t="n">
        <v>43539</v>
      </c>
      <c r="C1545" s="1" t="n">
        <v>45353</v>
      </c>
      <c r="D1545" t="inlineStr">
        <is>
          <t>VÄRMLANDS LÄN</t>
        </is>
      </c>
      <c r="E1545" t="inlineStr">
        <is>
          <t>ARVIKA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15194-2019</t>
        </is>
      </c>
      <c r="B1546" s="1" t="n">
        <v>43539</v>
      </c>
      <c r="C1546" s="1" t="n">
        <v>45353</v>
      </c>
      <c r="D1546" t="inlineStr">
        <is>
          <t>VÄRMLANDS LÄN</t>
        </is>
      </c>
      <c r="E1546" t="inlineStr">
        <is>
          <t>SUNNE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14912-2019</t>
        </is>
      </c>
      <c r="B1547" s="1" t="n">
        <v>43539</v>
      </c>
      <c r="C1547" s="1" t="n">
        <v>45353</v>
      </c>
      <c r="D1547" t="inlineStr">
        <is>
          <t>VÄRMLANDS LÄN</t>
        </is>
      </c>
      <c r="E1547" t="inlineStr">
        <is>
          <t>ARVIKA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15069-2019</t>
        </is>
      </c>
      <c r="B1548" s="1" t="n">
        <v>43539</v>
      </c>
      <c r="C1548" s="1" t="n">
        <v>45353</v>
      </c>
      <c r="D1548" t="inlineStr">
        <is>
          <t>VÄRMLANDS LÄN</t>
        </is>
      </c>
      <c r="E1548" t="inlineStr">
        <is>
          <t>GRUMS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15607-2019</t>
        </is>
      </c>
      <c r="B1549" s="1" t="n">
        <v>43539</v>
      </c>
      <c r="C1549" s="1" t="n">
        <v>45353</v>
      </c>
      <c r="D1549" t="inlineStr">
        <is>
          <t>VÄRMLANDS LÄN</t>
        </is>
      </c>
      <c r="E1549" t="inlineStr">
        <is>
          <t>EDA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15190-2019</t>
        </is>
      </c>
      <c r="B1550" s="1" t="n">
        <v>43539</v>
      </c>
      <c r="C1550" s="1" t="n">
        <v>45353</v>
      </c>
      <c r="D1550" t="inlineStr">
        <is>
          <t>VÄRMLANDS LÄN</t>
        </is>
      </c>
      <c r="E1550" t="inlineStr">
        <is>
          <t>KARLSTAD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14812-2019</t>
        </is>
      </c>
      <c r="B1551" s="1" t="n">
        <v>43539</v>
      </c>
      <c r="C1551" s="1" t="n">
        <v>45353</v>
      </c>
      <c r="D1551" t="inlineStr">
        <is>
          <t>VÄRMLANDS LÄN</t>
        </is>
      </c>
      <c r="E1551" t="inlineStr">
        <is>
          <t>FILIPSTAD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15246-2019</t>
        </is>
      </c>
      <c r="B1552" s="1" t="n">
        <v>43539</v>
      </c>
      <c r="C1552" s="1" t="n">
        <v>45353</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15326-2019</t>
        </is>
      </c>
      <c r="B1553" s="1" t="n">
        <v>43540</v>
      </c>
      <c r="C1553" s="1" t="n">
        <v>45353</v>
      </c>
      <c r="D1553" t="inlineStr">
        <is>
          <t>VÄRMLANDS LÄN</t>
        </is>
      </c>
      <c r="E1553" t="inlineStr">
        <is>
          <t>KRISTINEHAMN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15352-2019</t>
        </is>
      </c>
      <c r="B1554" s="1" t="n">
        <v>43541</v>
      </c>
      <c r="C1554" s="1" t="n">
        <v>45353</v>
      </c>
      <c r="D1554" t="inlineStr">
        <is>
          <t>VÄRMLANDS LÄN</t>
        </is>
      </c>
      <c r="E1554" t="inlineStr">
        <is>
          <t>HAGFORS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15370-2019</t>
        </is>
      </c>
      <c r="B1555" s="1" t="n">
        <v>43541</v>
      </c>
      <c r="C1555" s="1" t="n">
        <v>45353</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15358-2019</t>
        </is>
      </c>
      <c r="B1556" s="1" t="n">
        <v>43541</v>
      </c>
      <c r="C1556" s="1" t="n">
        <v>45353</v>
      </c>
      <c r="D1556" t="inlineStr">
        <is>
          <t>VÄRMLANDS LÄN</t>
        </is>
      </c>
      <c r="E1556" t="inlineStr">
        <is>
          <t>ARVIKA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15389-2019</t>
        </is>
      </c>
      <c r="B1557" s="1" t="n">
        <v>43542</v>
      </c>
      <c r="C1557" s="1" t="n">
        <v>45353</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15251-2019</t>
        </is>
      </c>
      <c r="B1558" s="1" t="n">
        <v>43542</v>
      </c>
      <c r="C1558" s="1" t="n">
        <v>45353</v>
      </c>
      <c r="D1558" t="inlineStr">
        <is>
          <t>VÄRMLANDS LÄN</t>
        </is>
      </c>
      <c r="E1558" t="inlineStr">
        <is>
          <t>TORSBY</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15379-2019</t>
        </is>
      </c>
      <c r="B1559" s="1" t="n">
        <v>43542</v>
      </c>
      <c r="C1559" s="1" t="n">
        <v>45353</v>
      </c>
      <c r="D1559" t="inlineStr">
        <is>
          <t>VÄRMLANDS LÄN</t>
        </is>
      </c>
      <c r="E1559" t="inlineStr">
        <is>
          <t>KARLSTAD</t>
        </is>
      </c>
      <c r="F1559" t="inlineStr">
        <is>
          <t>Naturvårdsverket</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15392-2019</t>
        </is>
      </c>
      <c r="B1560" s="1" t="n">
        <v>43542</v>
      </c>
      <c r="C1560" s="1" t="n">
        <v>45353</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15485-2019</t>
        </is>
      </c>
      <c r="B1561" s="1" t="n">
        <v>43542</v>
      </c>
      <c r="C1561" s="1" t="n">
        <v>45353</v>
      </c>
      <c r="D1561" t="inlineStr">
        <is>
          <t>VÄRMLANDS LÄN</t>
        </is>
      </c>
      <c r="E1561" t="inlineStr">
        <is>
          <t>KIL</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15388-2019</t>
        </is>
      </c>
      <c r="B1562" s="1" t="n">
        <v>43542</v>
      </c>
      <c r="C1562" s="1" t="n">
        <v>45353</v>
      </c>
      <c r="D1562" t="inlineStr">
        <is>
          <t>VÄRMLANDS LÄN</t>
        </is>
      </c>
      <c r="E1562" t="inlineStr">
        <is>
          <t>ÅRJÄNG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15539-2019</t>
        </is>
      </c>
      <c r="B1563" s="1" t="n">
        <v>43542</v>
      </c>
      <c r="C1563" s="1" t="n">
        <v>45353</v>
      </c>
      <c r="D1563" t="inlineStr">
        <is>
          <t>VÄRMLANDS LÄN</t>
        </is>
      </c>
      <c r="E1563" t="inlineStr">
        <is>
          <t>EDA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15599-2019</t>
        </is>
      </c>
      <c r="B1564" s="1" t="n">
        <v>43542</v>
      </c>
      <c r="C1564" s="1" t="n">
        <v>45353</v>
      </c>
      <c r="D1564" t="inlineStr">
        <is>
          <t>VÄRMLANDS LÄN</t>
        </is>
      </c>
      <c r="E1564" t="inlineStr">
        <is>
          <t>KARLSTAD</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15336-2019</t>
        </is>
      </c>
      <c r="B1565" s="1" t="n">
        <v>43542</v>
      </c>
      <c r="C1565" s="1" t="n">
        <v>45353</v>
      </c>
      <c r="D1565" t="inlineStr">
        <is>
          <t>VÄRMLANDS LÄN</t>
        </is>
      </c>
      <c r="E1565" t="inlineStr">
        <is>
          <t>KARLSTAD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15297-2019</t>
        </is>
      </c>
      <c r="B1566" s="1" t="n">
        <v>43542</v>
      </c>
      <c r="C1566" s="1" t="n">
        <v>45353</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15301-2019</t>
        </is>
      </c>
      <c r="B1567" s="1" t="n">
        <v>43542</v>
      </c>
      <c r="C1567" s="1" t="n">
        <v>45353</v>
      </c>
      <c r="D1567" t="inlineStr">
        <is>
          <t>VÄRMLANDS LÄN</t>
        </is>
      </c>
      <c r="E1567" t="inlineStr">
        <is>
          <t>ÅRJÄNG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15224-2019</t>
        </is>
      </c>
      <c r="B1568" s="1" t="n">
        <v>43542</v>
      </c>
      <c r="C1568" s="1" t="n">
        <v>45353</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15368-2019</t>
        </is>
      </c>
      <c r="B1569" s="1" t="n">
        <v>43542</v>
      </c>
      <c r="C1569" s="1" t="n">
        <v>45353</v>
      </c>
      <c r="D1569" t="inlineStr">
        <is>
          <t>VÄRMLANDS LÄN</t>
        </is>
      </c>
      <c r="E1569" t="inlineStr">
        <is>
          <t>SÄFFLE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15671-2019</t>
        </is>
      </c>
      <c r="B1570" s="1" t="n">
        <v>43543</v>
      </c>
      <c r="C1570" s="1" t="n">
        <v>45353</v>
      </c>
      <c r="D1570" t="inlineStr">
        <is>
          <t>VÄRMLANDS LÄN</t>
        </is>
      </c>
      <c r="E1570" t="inlineStr">
        <is>
          <t>FORSHAGA</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15939-2019</t>
        </is>
      </c>
      <c r="B1571" s="1" t="n">
        <v>43543</v>
      </c>
      <c r="C1571" s="1" t="n">
        <v>45353</v>
      </c>
      <c r="D1571" t="inlineStr">
        <is>
          <t>VÄRMLANDS LÄN</t>
        </is>
      </c>
      <c r="E1571" t="inlineStr">
        <is>
          <t>EDA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15977-2019</t>
        </is>
      </c>
      <c r="B1572" s="1" t="n">
        <v>43543</v>
      </c>
      <c r="C1572" s="1" t="n">
        <v>45353</v>
      </c>
      <c r="D1572" t="inlineStr">
        <is>
          <t>VÄRMLANDS LÄN</t>
        </is>
      </c>
      <c r="E1572" t="inlineStr">
        <is>
          <t>ÅRJÄNG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15752-2019</t>
        </is>
      </c>
      <c r="B1573" s="1" t="n">
        <v>43543</v>
      </c>
      <c r="C1573" s="1" t="n">
        <v>45353</v>
      </c>
      <c r="D1573" t="inlineStr">
        <is>
          <t>VÄRMLANDS LÄN</t>
        </is>
      </c>
      <c r="E1573" t="inlineStr">
        <is>
          <t>SUNNE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15973-2019</t>
        </is>
      </c>
      <c r="B1574" s="1" t="n">
        <v>43543</v>
      </c>
      <c r="C1574" s="1" t="n">
        <v>45353</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15649-2019</t>
        </is>
      </c>
      <c r="B1575" s="1" t="n">
        <v>43543</v>
      </c>
      <c r="C1575" s="1" t="n">
        <v>45353</v>
      </c>
      <c r="D1575" t="inlineStr">
        <is>
          <t>VÄRMLANDS LÄN</t>
        </is>
      </c>
      <c r="E1575" t="inlineStr">
        <is>
          <t>SUNNE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15923-2019</t>
        </is>
      </c>
      <c r="B1576" s="1" t="n">
        <v>43544</v>
      </c>
      <c r="C1576" s="1" t="n">
        <v>45353</v>
      </c>
      <c r="D1576" t="inlineStr">
        <is>
          <t>VÄRMLANDS LÄN</t>
        </is>
      </c>
      <c r="E1576" t="inlineStr">
        <is>
          <t>ARVIKA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16007-2019</t>
        </is>
      </c>
      <c r="B1577" s="1" t="n">
        <v>43544</v>
      </c>
      <c r="C1577" s="1" t="n">
        <v>45353</v>
      </c>
      <c r="D1577" t="inlineStr">
        <is>
          <t>VÄRMLANDS LÄN</t>
        </is>
      </c>
      <c r="E1577" t="inlineStr">
        <is>
          <t>HAGFORS</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16039-2019</t>
        </is>
      </c>
      <c r="B1578" s="1" t="n">
        <v>43544</v>
      </c>
      <c r="C1578" s="1" t="n">
        <v>45353</v>
      </c>
      <c r="D1578" t="inlineStr">
        <is>
          <t>VÄRMLANDS LÄN</t>
        </is>
      </c>
      <c r="E1578" t="inlineStr">
        <is>
          <t>GRUMS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16023-2019</t>
        </is>
      </c>
      <c r="B1579" s="1" t="n">
        <v>43544</v>
      </c>
      <c r="C1579" s="1" t="n">
        <v>45353</v>
      </c>
      <c r="D1579" t="inlineStr">
        <is>
          <t>VÄRMLANDS LÄN</t>
        </is>
      </c>
      <c r="E1579" t="inlineStr">
        <is>
          <t>FORSHAGA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15985-2019</t>
        </is>
      </c>
      <c r="B1580" s="1" t="n">
        <v>43544</v>
      </c>
      <c r="C1580" s="1" t="n">
        <v>45353</v>
      </c>
      <c r="D1580" t="inlineStr">
        <is>
          <t>VÄRMLANDS LÄN</t>
        </is>
      </c>
      <c r="E1580" t="inlineStr">
        <is>
          <t>EDA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16035-2019</t>
        </is>
      </c>
      <c r="B1581" s="1" t="n">
        <v>43544</v>
      </c>
      <c r="C1581" s="1" t="n">
        <v>45353</v>
      </c>
      <c r="D1581" t="inlineStr">
        <is>
          <t>VÄRMLANDS LÄN</t>
        </is>
      </c>
      <c r="E1581" t="inlineStr">
        <is>
          <t>SÄFFLE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16085-2019</t>
        </is>
      </c>
      <c r="B1582" s="1" t="n">
        <v>43544</v>
      </c>
      <c r="C1582" s="1" t="n">
        <v>45353</v>
      </c>
      <c r="D1582" t="inlineStr">
        <is>
          <t>VÄRMLANDS LÄN</t>
        </is>
      </c>
      <c r="E1582" t="inlineStr">
        <is>
          <t>SÄFFLE</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16158-2019</t>
        </is>
      </c>
      <c r="B1583" s="1" t="n">
        <v>43545</v>
      </c>
      <c r="C1583" s="1" t="n">
        <v>45353</v>
      </c>
      <c r="D1583" t="inlineStr">
        <is>
          <t>VÄRMLANDS LÄN</t>
        </is>
      </c>
      <c r="E1583" t="inlineStr">
        <is>
          <t>FORSHAGA</t>
        </is>
      </c>
      <c r="F1583" t="inlineStr">
        <is>
          <t>Bergvik skog väst AB</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16277-2019</t>
        </is>
      </c>
      <c r="B1584" s="1" t="n">
        <v>43545</v>
      </c>
      <c r="C1584" s="1" t="n">
        <v>45353</v>
      </c>
      <c r="D1584" t="inlineStr">
        <is>
          <t>VÄRMLANDS LÄN</t>
        </is>
      </c>
      <c r="E1584" t="inlineStr">
        <is>
          <t>SUNNE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16220-2019</t>
        </is>
      </c>
      <c r="B1585" s="1" t="n">
        <v>43545</v>
      </c>
      <c r="C1585" s="1" t="n">
        <v>45353</v>
      </c>
      <c r="D1585" t="inlineStr">
        <is>
          <t>VÄRMLANDS LÄN</t>
        </is>
      </c>
      <c r="E1585" t="inlineStr">
        <is>
          <t>SUNNE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16208-2019</t>
        </is>
      </c>
      <c r="B1586" s="1" t="n">
        <v>43545</v>
      </c>
      <c r="C1586" s="1" t="n">
        <v>45353</v>
      </c>
      <c r="D1586" t="inlineStr">
        <is>
          <t>VÄRMLANDS LÄN</t>
        </is>
      </c>
      <c r="E1586" t="inlineStr">
        <is>
          <t>ÅRJÄNG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16455-2019</t>
        </is>
      </c>
      <c r="B1587" s="1" t="n">
        <v>43546</v>
      </c>
      <c r="C1587" s="1" t="n">
        <v>45353</v>
      </c>
      <c r="D1587" t="inlineStr">
        <is>
          <t>VÄRMLANDS LÄN</t>
        </is>
      </c>
      <c r="E1587" t="inlineStr">
        <is>
          <t>ARVIKA</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16469-2019</t>
        </is>
      </c>
      <c r="B1588" s="1" t="n">
        <v>43546</v>
      </c>
      <c r="C1588" s="1" t="n">
        <v>45353</v>
      </c>
      <c r="D1588" t="inlineStr">
        <is>
          <t>VÄRMLANDS LÄN</t>
        </is>
      </c>
      <c r="E1588" t="inlineStr">
        <is>
          <t>SÄFFLE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16506-2019</t>
        </is>
      </c>
      <c r="B1589" s="1" t="n">
        <v>43546</v>
      </c>
      <c r="C1589" s="1" t="n">
        <v>45353</v>
      </c>
      <c r="D1589" t="inlineStr">
        <is>
          <t>VÄRMLANDS LÄN</t>
        </is>
      </c>
      <c r="E1589" t="inlineStr">
        <is>
          <t>KARLSTAD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16529-2019</t>
        </is>
      </c>
      <c r="B1590" s="1" t="n">
        <v>43546</v>
      </c>
      <c r="C1590" s="1" t="n">
        <v>45353</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16480-2019</t>
        </is>
      </c>
      <c r="B1591" s="1" t="n">
        <v>43546</v>
      </c>
      <c r="C1591" s="1" t="n">
        <v>45353</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16528-2019</t>
        </is>
      </c>
      <c r="B1592" s="1" t="n">
        <v>43546</v>
      </c>
      <c r="C1592" s="1" t="n">
        <v>45353</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16521-2019</t>
        </is>
      </c>
      <c r="B1593" s="1" t="n">
        <v>43546</v>
      </c>
      <c r="C1593" s="1" t="n">
        <v>45353</v>
      </c>
      <c r="D1593" t="inlineStr">
        <is>
          <t>VÄRMLANDS LÄN</t>
        </is>
      </c>
      <c r="E1593" t="inlineStr">
        <is>
          <t>HAGFORS</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16610-2019</t>
        </is>
      </c>
      <c r="B1594" s="1" t="n">
        <v>43546</v>
      </c>
      <c r="C1594" s="1" t="n">
        <v>45353</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16525-2019</t>
        </is>
      </c>
      <c r="B1595" s="1" t="n">
        <v>43546</v>
      </c>
      <c r="C1595" s="1" t="n">
        <v>45353</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16527-2019</t>
        </is>
      </c>
      <c r="B1596" s="1" t="n">
        <v>43546</v>
      </c>
      <c r="C1596" s="1" t="n">
        <v>45353</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16574-2019</t>
        </is>
      </c>
      <c r="B1597" s="1" t="n">
        <v>43547</v>
      </c>
      <c r="C1597" s="1" t="n">
        <v>45353</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16573-2019</t>
        </is>
      </c>
      <c r="B1598" s="1" t="n">
        <v>43547</v>
      </c>
      <c r="C1598" s="1" t="n">
        <v>45353</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16821-2019</t>
        </is>
      </c>
      <c r="B1599" s="1" t="n">
        <v>43549</v>
      </c>
      <c r="C1599" s="1" t="n">
        <v>45353</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16799-2019</t>
        </is>
      </c>
      <c r="B1600" s="1" t="n">
        <v>43549</v>
      </c>
      <c r="C1600" s="1" t="n">
        <v>45353</v>
      </c>
      <c r="D1600" t="inlineStr">
        <is>
          <t>VÄRMLANDS LÄN</t>
        </is>
      </c>
      <c r="E1600" t="inlineStr">
        <is>
          <t>FORSHAGA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16820-2019</t>
        </is>
      </c>
      <c r="B1601" s="1" t="n">
        <v>43549</v>
      </c>
      <c r="C1601" s="1" t="n">
        <v>45353</v>
      </c>
      <c r="D1601" t="inlineStr">
        <is>
          <t>VÄRMLANDS LÄN</t>
        </is>
      </c>
      <c r="E1601" t="inlineStr">
        <is>
          <t>ÅRJÄNG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16928-2019</t>
        </is>
      </c>
      <c r="B1602" s="1" t="n">
        <v>43549</v>
      </c>
      <c r="C1602" s="1" t="n">
        <v>45353</v>
      </c>
      <c r="D1602" t="inlineStr">
        <is>
          <t>VÄRMLANDS LÄN</t>
        </is>
      </c>
      <c r="E1602" t="inlineStr">
        <is>
          <t>KRISTINEHAMN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16643-2019</t>
        </is>
      </c>
      <c r="B1603" s="1" t="n">
        <v>43549</v>
      </c>
      <c r="C1603" s="1" t="n">
        <v>45353</v>
      </c>
      <c r="D1603" t="inlineStr">
        <is>
          <t>VÄRMLANDS LÄN</t>
        </is>
      </c>
      <c r="E1603" t="inlineStr">
        <is>
          <t>HAGFORS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17022-2019</t>
        </is>
      </c>
      <c r="B1604" s="1" t="n">
        <v>43550</v>
      </c>
      <c r="C1604" s="1" t="n">
        <v>45353</v>
      </c>
      <c r="D1604" t="inlineStr">
        <is>
          <t>VÄRMLANDS LÄN</t>
        </is>
      </c>
      <c r="E1604" t="inlineStr">
        <is>
          <t>KARLSTAD</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17137-2019</t>
        </is>
      </c>
      <c r="B1605" s="1" t="n">
        <v>43550</v>
      </c>
      <c r="C1605" s="1" t="n">
        <v>45353</v>
      </c>
      <c r="D1605" t="inlineStr">
        <is>
          <t>VÄRMLANDS LÄN</t>
        </is>
      </c>
      <c r="E1605" t="inlineStr">
        <is>
          <t>KRISTINEHAMN</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17016-2019</t>
        </is>
      </c>
      <c r="B1606" s="1" t="n">
        <v>43550</v>
      </c>
      <c r="C1606" s="1" t="n">
        <v>45353</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18003-2019</t>
        </is>
      </c>
      <c r="B1607" s="1" t="n">
        <v>43550</v>
      </c>
      <c r="C1607" s="1" t="n">
        <v>45353</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16875-2019</t>
        </is>
      </c>
      <c r="B1608" s="1" t="n">
        <v>43550</v>
      </c>
      <c r="C1608" s="1" t="n">
        <v>45353</v>
      </c>
      <c r="D1608" t="inlineStr">
        <is>
          <t>VÄRMLANDS LÄN</t>
        </is>
      </c>
      <c r="E1608" t="inlineStr">
        <is>
          <t>EDA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17056-2019</t>
        </is>
      </c>
      <c r="B1609" s="1" t="n">
        <v>43551</v>
      </c>
      <c r="C1609" s="1" t="n">
        <v>45353</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17083-2019</t>
        </is>
      </c>
      <c r="B1610" s="1" t="n">
        <v>43551</v>
      </c>
      <c r="C1610" s="1" t="n">
        <v>45353</v>
      </c>
      <c r="D1610" t="inlineStr">
        <is>
          <t>VÄRMLANDS LÄN</t>
        </is>
      </c>
      <c r="E1610" t="inlineStr">
        <is>
          <t>FORSHAGA</t>
        </is>
      </c>
      <c r="F1610" t="inlineStr">
        <is>
          <t>Bergvik skog väst AB</t>
        </is>
      </c>
      <c r="G1610" t="n">
        <v>23.5</v>
      </c>
      <c r="H1610" t="n">
        <v>0</v>
      </c>
      <c r="I1610" t="n">
        <v>0</v>
      </c>
      <c r="J1610" t="n">
        <v>0</v>
      </c>
      <c r="K1610" t="n">
        <v>0</v>
      </c>
      <c r="L1610" t="n">
        <v>0</v>
      </c>
      <c r="M1610" t="n">
        <v>0</v>
      </c>
      <c r="N1610" t="n">
        <v>0</v>
      </c>
      <c r="O1610" t="n">
        <v>0</v>
      </c>
      <c r="P1610" t="n">
        <v>0</v>
      </c>
      <c r="Q1610" t="n">
        <v>0</v>
      </c>
      <c r="R1610" s="2" t="inlineStr"/>
    </row>
    <row r="1611" ht="15" customHeight="1">
      <c r="A1611" t="inlineStr">
        <is>
          <t>A 17158-2019</t>
        </is>
      </c>
      <c r="B1611" s="1" t="n">
        <v>43551</v>
      </c>
      <c r="C1611" s="1" t="n">
        <v>45353</v>
      </c>
      <c r="D1611" t="inlineStr">
        <is>
          <t>VÄRMLANDS LÄN</t>
        </is>
      </c>
      <c r="E1611" t="inlineStr">
        <is>
          <t>HAGFORS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17058-2019</t>
        </is>
      </c>
      <c r="B1612" s="1" t="n">
        <v>43551</v>
      </c>
      <c r="C1612" s="1" t="n">
        <v>45353</v>
      </c>
      <c r="D1612" t="inlineStr">
        <is>
          <t>VÄRMLANDS LÄN</t>
        </is>
      </c>
      <c r="E1612" t="inlineStr">
        <is>
          <t>ÅRJÄNG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17113-2019</t>
        </is>
      </c>
      <c r="B1613" s="1" t="n">
        <v>43551</v>
      </c>
      <c r="C1613" s="1" t="n">
        <v>45353</v>
      </c>
      <c r="D1613" t="inlineStr">
        <is>
          <t>VÄRMLANDS LÄN</t>
        </is>
      </c>
      <c r="E1613" t="inlineStr">
        <is>
          <t>ARVIKA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17499-2019</t>
        </is>
      </c>
      <c r="B1614" s="1" t="n">
        <v>43551</v>
      </c>
      <c r="C1614" s="1" t="n">
        <v>45353</v>
      </c>
      <c r="D1614" t="inlineStr">
        <is>
          <t>VÄRMLANDS LÄN</t>
        </is>
      </c>
      <c r="E1614" t="inlineStr">
        <is>
          <t>EDA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17198-2019</t>
        </is>
      </c>
      <c r="B1615" s="1" t="n">
        <v>43552</v>
      </c>
      <c r="C1615" s="1" t="n">
        <v>45353</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17313-2019</t>
        </is>
      </c>
      <c r="B1616" s="1" t="n">
        <v>43552</v>
      </c>
      <c r="C1616" s="1" t="n">
        <v>45353</v>
      </c>
      <c r="D1616" t="inlineStr">
        <is>
          <t>VÄRMLANDS LÄN</t>
        </is>
      </c>
      <c r="E1616" t="inlineStr">
        <is>
          <t>KARLSTAD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17432-2019</t>
        </is>
      </c>
      <c r="B1617" s="1" t="n">
        <v>43552</v>
      </c>
      <c r="C1617" s="1" t="n">
        <v>45353</v>
      </c>
      <c r="D1617" t="inlineStr">
        <is>
          <t>VÄRMLANDS LÄN</t>
        </is>
      </c>
      <c r="E1617" t="inlineStr">
        <is>
          <t>ARVIKA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17669-2019</t>
        </is>
      </c>
      <c r="B1618" s="1" t="n">
        <v>43552</v>
      </c>
      <c r="C1618" s="1" t="n">
        <v>45353</v>
      </c>
      <c r="D1618" t="inlineStr">
        <is>
          <t>VÄRMLANDS LÄN</t>
        </is>
      </c>
      <c r="E1618" t="inlineStr">
        <is>
          <t>KRISTINEHAMN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17364-2019</t>
        </is>
      </c>
      <c r="B1619" s="1" t="n">
        <v>43552</v>
      </c>
      <c r="C1619" s="1" t="n">
        <v>45353</v>
      </c>
      <c r="D1619" t="inlineStr">
        <is>
          <t>VÄRMLANDS LÄN</t>
        </is>
      </c>
      <c r="E1619" t="inlineStr">
        <is>
          <t>ÅRJÄNG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17205-2019</t>
        </is>
      </c>
      <c r="B1620" s="1" t="n">
        <v>43552</v>
      </c>
      <c r="C1620" s="1" t="n">
        <v>45353</v>
      </c>
      <c r="D1620" t="inlineStr">
        <is>
          <t>VÄRMLANDS LÄN</t>
        </is>
      </c>
      <c r="E1620" t="inlineStr">
        <is>
          <t>ARVIKA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17249-2019</t>
        </is>
      </c>
      <c r="B1621" s="1" t="n">
        <v>43552</v>
      </c>
      <c r="C1621" s="1" t="n">
        <v>45353</v>
      </c>
      <c r="D1621" t="inlineStr">
        <is>
          <t>VÄRMLANDS LÄN</t>
        </is>
      </c>
      <c r="E1621" t="inlineStr">
        <is>
          <t>SUNNE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17545-2019</t>
        </is>
      </c>
      <c r="B1622" s="1" t="n">
        <v>43553</v>
      </c>
      <c r="C1622" s="1" t="n">
        <v>45353</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17484-2019</t>
        </is>
      </c>
      <c r="B1623" s="1" t="n">
        <v>43553</v>
      </c>
      <c r="C1623" s="1" t="n">
        <v>45353</v>
      </c>
      <c r="D1623" t="inlineStr">
        <is>
          <t>VÄRMLANDS LÄN</t>
        </is>
      </c>
      <c r="E1623" t="inlineStr">
        <is>
          <t>TORSBY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17474-2019</t>
        </is>
      </c>
      <c r="B1624" s="1" t="n">
        <v>43553</v>
      </c>
      <c r="C1624" s="1" t="n">
        <v>45353</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17460-2019</t>
        </is>
      </c>
      <c r="B1625" s="1" t="n">
        <v>43553</v>
      </c>
      <c r="C1625" s="1" t="n">
        <v>45353</v>
      </c>
      <c r="D1625" t="inlineStr">
        <is>
          <t>VÄRMLANDS LÄN</t>
        </is>
      </c>
      <c r="E1625" t="inlineStr">
        <is>
          <t>FORSHAGA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17596-2019</t>
        </is>
      </c>
      <c r="B1626" s="1" t="n">
        <v>43553</v>
      </c>
      <c r="C1626" s="1" t="n">
        <v>45353</v>
      </c>
      <c r="D1626" t="inlineStr">
        <is>
          <t>VÄRMLANDS LÄN</t>
        </is>
      </c>
      <c r="E1626" t="inlineStr">
        <is>
          <t>FILIPSTAD</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17417-2019</t>
        </is>
      </c>
      <c r="B1627" s="1" t="n">
        <v>43553</v>
      </c>
      <c r="C1627" s="1" t="n">
        <v>45353</v>
      </c>
      <c r="D1627" t="inlineStr">
        <is>
          <t>VÄRMLANDS LÄN</t>
        </is>
      </c>
      <c r="E1627" t="inlineStr">
        <is>
          <t>FILIPSTAD</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17586-2019</t>
        </is>
      </c>
      <c r="B1628" s="1" t="n">
        <v>43553</v>
      </c>
      <c r="C1628" s="1" t="n">
        <v>45353</v>
      </c>
      <c r="D1628" t="inlineStr">
        <is>
          <t>VÄRMLANDS LÄN</t>
        </is>
      </c>
      <c r="E1628" t="inlineStr">
        <is>
          <t>FILIPSTAD</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17603-2019</t>
        </is>
      </c>
      <c r="B1629" s="1" t="n">
        <v>43554</v>
      </c>
      <c r="C1629" s="1" t="n">
        <v>45353</v>
      </c>
      <c r="D1629" t="inlineStr">
        <is>
          <t>VÄRMLANDS LÄN</t>
        </is>
      </c>
      <c r="E1629" t="inlineStr">
        <is>
          <t>EDA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17980-2019</t>
        </is>
      </c>
      <c r="B1630" s="1" t="n">
        <v>43555</v>
      </c>
      <c r="C1630" s="1" t="n">
        <v>45353</v>
      </c>
      <c r="D1630" t="inlineStr">
        <is>
          <t>VÄRMLANDS LÄN</t>
        </is>
      </c>
      <c r="E1630" t="inlineStr">
        <is>
          <t>ÅRJÄNG</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17616-2019</t>
        </is>
      </c>
      <c r="B1631" s="1" t="n">
        <v>43555</v>
      </c>
      <c r="C1631" s="1" t="n">
        <v>45353</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17779-2019</t>
        </is>
      </c>
      <c r="B1632" s="1" t="n">
        <v>43556</v>
      </c>
      <c r="C1632" s="1" t="n">
        <v>45353</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17808-2019</t>
        </is>
      </c>
      <c r="B1633" s="1" t="n">
        <v>43556</v>
      </c>
      <c r="C1633" s="1" t="n">
        <v>45353</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18001-2019</t>
        </is>
      </c>
      <c r="B1634" s="1" t="n">
        <v>43556</v>
      </c>
      <c r="C1634" s="1" t="n">
        <v>45353</v>
      </c>
      <c r="D1634" t="inlineStr">
        <is>
          <t>VÄRMLANDS LÄN</t>
        </is>
      </c>
      <c r="E1634" t="inlineStr">
        <is>
          <t>ARVIKA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18033-2019</t>
        </is>
      </c>
      <c r="B1635" s="1" t="n">
        <v>43556</v>
      </c>
      <c r="C1635" s="1" t="n">
        <v>45353</v>
      </c>
      <c r="D1635" t="inlineStr">
        <is>
          <t>VÄRMLANDS LÄN</t>
        </is>
      </c>
      <c r="E1635" t="inlineStr">
        <is>
          <t>KARLSTAD</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18104-2019</t>
        </is>
      </c>
      <c r="B1636" s="1" t="n">
        <v>43556</v>
      </c>
      <c r="C1636" s="1" t="n">
        <v>45353</v>
      </c>
      <c r="D1636" t="inlineStr">
        <is>
          <t>VÄRMLANDS LÄN</t>
        </is>
      </c>
      <c r="E1636" t="inlineStr">
        <is>
          <t>KARLSTAD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17788-2019</t>
        </is>
      </c>
      <c r="B1637" s="1" t="n">
        <v>43556</v>
      </c>
      <c r="C1637" s="1" t="n">
        <v>45353</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17652-2019</t>
        </is>
      </c>
      <c r="B1638" s="1" t="n">
        <v>43556</v>
      </c>
      <c r="C1638" s="1" t="n">
        <v>45353</v>
      </c>
      <c r="D1638" t="inlineStr">
        <is>
          <t>VÄRMLANDS LÄN</t>
        </is>
      </c>
      <c r="E1638" t="inlineStr">
        <is>
          <t>ÅRJÄNG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17878-2019</t>
        </is>
      </c>
      <c r="B1639" s="1" t="n">
        <v>43557</v>
      </c>
      <c r="C1639" s="1" t="n">
        <v>45353</v>
      </c>
      <c r="D1639" t="inlineStr">
        <is>
          <t>VÄRMLANDS LÄN</t>
        </is>
      </c>
      <c r="E1639" t="inlineStr">
        <is>
          <t>SUNNE</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17992-2019</t>
        </is>
      </c>
      <c r="B1640" s="1" t="n">
        <v>43557</v>
      </c>
      <c r="C1640" s="1" t="n">
        <v>45353</v>
      </c>
      <c r="D1640" t="inlineStr">
        <is>
          <t>VÄRMLANDS LÄN</t>
        </is>
      </c>
      <c r="E1640" t="inlineStr">
        <is>
          <t>SUNNE</t>
        </is>
      </c>
      <c r="F1640" t="inlineStr">
        <is>
          <t>Övriga Aktiebolag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17923-2019</t>
        </is>
      </c>
      <c r="B1641" s="1" t="n">
        <v>43557</v>
      </c>
      <c r="C1641" s="1" t="n">
        <v>45353</v>
      </c>
      <c r="D1641" t="inlineStr">
        <is>
          <t>VÄRMLANDS LÄN</t>
        </is>
      </c>
      <c r="E1641" t="inlineStr">
        <is>
          <t>KARLSTAD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17957-2019</t>
        </is>
      </c>
      <c r="B1642" s="1" t="n">
        <v>43557</v>
      </c>
      <c r="C1642" s="1" t="n">
        <v>45353</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18243-2019</t>
        </is>
      </c>
      <c r="B1643" s="1" t="n">
        <v>43557</v>
      </c>
      <c r="C1643" s="1" t="n">
        <v>45353</v>
      </c>
      <c r="D1643" t="inlineStr">
        <is>
          <t>VÄRMLANDS LÄN</t>
        </is>
      </c>
      <c r="E1643" t="inlineStr">
        <is>
          <t>ARVIKA</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18273-2019</t>
        </is>
      </c>
      <c r="B1644" s="1" t="n">
        <v>43557</v>
      </c>
      <c r="C1644" s="1" t="n">
        <v>45353</v>
      </c>
      <c r="D1644" t="inlineStr">
        <is>
          <t>VÄRMLANDS LÄN</t>
        </is>
      </c>
      <c r="E1644" t="inlineStr">
        <is>
          <t>SÄFFLE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18257-2019</t>
        </is>
      </c>
      <c r="B1645" s="1" t="n">
        <v>43557</v>
      </c>
      <c r="C1645" s="1" t="n">
        <v>45353</v>
      </c>
      <c r="D1645" t="inlineStr">
        <is>
          <t>VÄRMLANDS LÄN</t>
        </is>
      </c>
      <c r="E1645" t="inlineStr">
        <is>
          <t>KARLSTAD</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17864-2019</t>
        </is>
      </c>
      <c r="B1646" s="1" t="n">
        <v>43557</v>
      </c>
      <c r="C1646" s="1" t="n">
        <v>45353</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17868-2019</t>
        </is>
      </c>
      <c r="B1647" s="1" t="n">
        <v>43557</v>
      </c>
      <c r="C1647" s="1" t="n">
        <v>45353</v>
      </c>
      <c r="D1647" t="inlineStr">
        <is>
          <t>VÄRMLANDS LÄN</t>
        </is>
      </c>
      <c r="E1647" t="inlineStr">
        <is>
          <t>GRUMS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18249-2019</t>
        </is>
      </c>
      <c r="B1648" s="1" t="n">
        <v>43557</v>
      </c>
      <c r="C1648" s="1" t="n">
        <v>45353</v>
      </c>
      <c r="D1648" t="inlineStr">
        <is>
          <t>VÄRMLANDS LÄN</t>
        </is>
      </c>
      <c r="E1648" t="inlineStr">
        <is>
          <t>ARVIKA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18009-2019</t>
        </is>
      </c>
      <c r="B1649" s="1" t="n">
        <v>43557</v>
      </c>
      <c r="C1649" s="1" t="n">
        <v>45353</v>
      </c>
      <c r="D1649" t="inlineStr">
        <is>
          <t>VÄRMLANDS LÄN</t>
        </is>
      </c>
      <c r="E1649" t="inlineStr">
        <is>
          <t>SUNNE</t>
        </is>
      </c>
      <c r="F1649" t="inlineStr">
        <is>
          <t>Övriga Aktiebolag</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18270-2019</t>
        </is>
      </c>
      <c r="B1650" s="1" t="n">
        <v>43557</v>
      </c>
      <c r="C1650" s="1" t="n">
        <v>45353</v>
      </c>
      <c r="D1650" t="inlineStr">
        <is>
          <t>VÄRMLANDS LÄN</t>
        </is>
      </c>
      <c r="E1650" t="inlineStr">
        <is>
          <t>SÄFFLE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18279-2019</t>
        </is>
      </c>
      <c r="B1651" s="1" t="n">
        <v>43557</v>
      </c>
      <c r="C1651" s="1" t="n">
        <v>45353</v>
      </c>
      <c r="D1651" t="inlineStr">
        <is>
          <t>VÄRMLANDS LÄN</t>
        </is>
      </c>
      <c r="E1651" t="inlineStr">
        <is>
          <t>SÄFFLE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17895-2019</t>
        </is>
      </c>
      <c r="B1652" s="1" t="n">
        <v>43557</v>
      </c>
      <c r="C1652" s="1" t="n">
        <v>45353</v>
      </c>
      <c r="D1652" t="inlineStr">
        <is>
          <t>VÄRMLANDS LÄN</t>
        </is>
      </c>
      <c r="E1652" t="inlineStr">
        <is>
          <t>SUNNE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18120-2019</t>
        </is>
      </c>
      <c r="B1653" s="1" t="n">
        <v>43558</v>
      </c>
      <c r="C1653" s="1" t="n">
        <v>45353</v>
      </c>
      <c r="D1653" t="inlineStr">
        <is>
          <t>VÄRMLANDS LÄN</t>
        </is>
      </c>
      <c r="E1653" t="inlineStr">
        <is>
          <t>KARLSTAD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18117-2019</t>
        </is>
      </c>
      <c r="B1654" s="1" t="n">
        <v>43558</v>
      </c>
      <c r="C1654" s="1" t="n">
        <v>45353</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18093-2019</t>
        </is>
      </c>
      <c r="B1655" s="1" t="n">
        <v>43558</v>
      </c>
      <c r="C1655" s="1" t="n">
        <v>45353</v>
      </c>
      <c r="D1655" t="inlineStr">
        <is>
          <t>VÄRMLANDS LÄN</t>
        </is>
      </c>
      <c r="E1655" t="inlineStr">
        <is>
          <t>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18113-2019</t>
        </is>
      </c>
      <c r="B1656" s="1" t="n">
        <v>43558</v>
      </c>
      <c r="C1656" s="1" t="n">
        <v>45353</v>
      </c>
      <c r="D1656" t="inlineStr">
        <is>
          <t>VÄRMLANDS LÄN</t>
        </is>
      </c>
      <c r="E1656" t="inlineStr">
        <is>
          <t>FORSHAGA</t>
        </is>
      </c>
      <c r="F1656" t="inlineStr">
        <is>
          <t>Bergvik skog väst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18118-2019</t>
        </is>
      </c>
      <c r="B1657" s="1" t="n">
        <v>43558</v>
      </c>
      <c r="C1657" s="1" t="n">
        <v>45353</v>
      </c>
      <c r="D1657" t="inlineStr">
        <is>
          <t>VÄRMLANDS LÄN</t>
        </is>
      </c>
      <c r="E1657" t="inlineStr">
        <is>
          <t>EDA</t>
        </is>
      </c>
      <c r="F1657" t="inlineStr">
        <is>
          <t>Bergvik skog väst AB</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18126-2019</t>
        </is>
      </c>
      <c r="B1658" s="1" t="n">
        <v>43558</v>
      </c>
      <c r="C1658" s="1" t="n">
        <v>45353</v>
      </c>
      <c r="D1658" t="inlineStr">
        <is>
          <t>VÄRMLANDS LÄN</t>
        </is>
      </c>
      <c r="E1658" t="inlineStr">
        <is>
          <t>KARLSTAD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18153-2019</t>
        </is>
      </c>
      <c r="B1659" s="1" t="n">
        <v>43558</v>
      </c>
      <c r="C1659" s="1" t="n">
        <v>45353</v>
      </c>
      <c r="D1659" t="inlineStr">
        <is>
          <t>VÄRMLANDS LÄN</t>
        </is>
      </c>
      <c r="E1659" t="inlineStr">
        <is>
          <t>ARVIKA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18281-2019</t>
        </is>
      </c>
      <c r="B1660" s="1" t="n">
        <v>43558</v>
      </c>
      <c r="C1660" s="1" t="n">
        <v>45353</v>
      </c>
      <c r="D1660" t="inlineStr">
        <is>
          <t>VÄRMLANDS LÄN</t>
        </is>
      </c>
      <c r="E1660" t="inlineStr">
        <is>
          <t>HAGFORS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18285-2019</t>
        </is>
      </c>
      <c r="B1661" s="1" t="n">
        <v>43558</v>
      </c>
      <c r="C1661" s="1" t="n">
        <v>45353</v>
      </c>
      <c r="D1661" t="inlineStr">
        <is>
          <t>VÄRMLANDS LÄN</t>
        </is>
      </c>
      <c r="E1661" t="inlineStr">
        <is>
          <t>KARLSTAD</t>
        </is>
      </c>
      <c r="F1661" t="inlineStr">
        <is>
          <t>Övriga statliga verk och myndigheter</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18385-2019</t>
        </is>
      </c>
      <c r="B1662" s="1" t="n">
        <v>43558</v>
      </c>
      <c r="C1662" s="1" t="n">
        <v>45353</v>
      </c>
      <c r="D1662" t="inlineStr">
        <is>
          <t>VÄRMLANDS LÄN</t>
        </is>
      </c>
      <c r="E1662" t="inlineStr">
        <is>
          <t>KRISTINEHAMN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18103-2019</t>
        </is>
      </c>
      <c r="B1663" s="1" t="n">
        <v>43558</v>
      </c>
      <c r="C1663" s="1" t="n">
        <v>45353</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18332-2019</t>
        </is>
      </c>
      <c r="B1664" s="1" t="n">
        <v>43559</v>
      </c>
      <c r="C1664" s="1" t="n">
        <v>45353</v>
      </c>
      <c r="D1664" t="inlineStr">
        <is>
          <t>VÄRMLANDS LÄN</t>
        </is>
      </c>
      <c r="E1664" t="inlineStr">
        <is>
          <t>ÅRJÄNG</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18451-2019</t>
        </is>
      </c>
      <c r="B1665" s="1" t="n">
        <v>43559</v>
      </c>
      <c r="C1665" s="1" t="n">
        <v>45353</v>
      </c>
      <c r="D1665" t="inlineStr">
        <is>
          <t>VÄRMLANDS LÄN</t>
        </is>
      </c>
      <c r="E1665" t="inlineStr">
        <is>
          <t>KIL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18309-2019</t>
        </is>
      </c>
      <c r="B1666" s="1" t="n">
        <v>43559</v>
      </c>
      <c r="C1666" s="1" t="n">
        <v>45353</v>
      </c>
      <c r="D1666" t="inlineStr">
        <is>
          <t>VÄRMLANDS LÄN</t>
        </is>
      </c>
      <c r="E1666" t="inlineStr">
        <is>
          <t>KIL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18308-2019</t>
        </is>
      </c>
      <c r="B1667" s="1" t="n">
        <v>43559</v>
      </c>
      <c r="C1667" s="1" t="n">
        <v>45353</v>
      </c>
      <c r="D1667" t="inlineStr">
        <is>
          <t>VÄRMLANDS LÄN</t>
        </is>
      </c>
      <c r="E1667" t="inlineStr">
        <is>
          <t>KIL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18551-2019</t>
        </is>
      </c>
      <c r="B1668" s="1" t="n">
        <v>43559</v>
      </c>
      <c r="C1668" s="1" t="n">
        <v>45353</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18638-2019</t>
        </is>
      </c>
      <c r="B1669" s="1" t="n">
        <v>43559</v>
      </c>
      <c r="C1669" s="1" t="n">
        <v>45353</v>
      </c>
      <c r="D1669" t="inlineStr">
        <is>
          <t>VÄRMLANDS LÄN</t>
        </is>
      </c>
      <c r="E1669" t="inlineStr">
        <is>
          <t>KRISTINEHAMN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18549-2019</t>
        </is>
      </c>
      <c r="B1670" s="1" t="n">
        <v>43559</v>
      </c>
      <c r="C1670" s="1" t="n">
        <v>45353</v>
      </c>
      <c r="D1670" t="inlineStr">
        <is>
          <t>VÄRMLANDS LÄN</t>
        </is>
      </c>
      <c r="E1670" t="inlineStr">
        <is>
          <t>GRUMS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18655-2019</t>
        </is>
      </c>
      <c r="B1671" s="1" t="n">
        <v>43559</v>
      </c>
      <c r="C1671" s="1" t="n">
        <v>45353</v>
      </c>
      <c r="D1671" t="inlineStr">
        <is>
          <t>VÄRMLANDS LÄN</t>
        </is>
      </c>
      <c r="E1671" t="inlineStr">
        <is>
          <t>SÄFFLE</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18525-2019</t>
        </is>
      </c>
      <c r="B1672" s="1" t="n">
        <v>43559</v>
      </c>
      <c r="C1672" s="1" t="n">
        <v>45353</v>
      </c>
      <c r="D1672" t="inlineStr">
        <is>
          <t>VÄRMLANDS LÄN</t>
        </is>
      </c>
      <c r="E1672" t="inlineStr">
        <is>
          <t>KARLSTAD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18508-2019</t>
        </is>
      </c>
      <c r="B1673" s="1" t="n">
        <v>43559</v>
      </c>
      <c r="C1673" s="1" t="n">
        <v>45353</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18817-2019</t>
        </is>
      </c>
      <c r="B1674" s="1" t="n">
        <v>43560</v>
      </c>
      <c r="C1674" s="1" t="n">
        <v>45353</v>
      </c>
      <c r="D1674" t="inlineStr">
        <is>
          <t>VÄRMLANDS LÄN</t>
        </is>
      </c>
      <c r="E1674" t="inlineStr">
        <is>
          <t>SÄFFLE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18676-2019</t>
        </is>
      </c>
      <c r="B1675" s="1" t="n">
        <v>43560</v>
      </c>
      <c r="C1675" s="1" t="n">
        <v>45353</v>
      </c>
      <c r="D1675" t="inlineStr">
        <is>
          <t>VÄRMLANDS LÄN</t>
        </is>
      </c>
      <c r="E1675" t="inlineStr">
        <is>
          <t>EDA</t>
        </is>
      </c>
      <c r="F1675" t="inlineStr">
        <is>
          <t>Bergvik skog väst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18736-2019</t>
        </is>
      </c>
      <c r="B1676" s="1" t="n">
        <v>43560</v>
      </c>
      <c r="C1676" s="1" t="n">
        <v>45353</v>
      </c>
      <c r="D1676" t="inlineStr">
        <is>
          <t>VÄRMLANDS LÄN</t>
        </is>
      </c>
      <c r="E1676" t="inlineStr">
        <is>
          <t>HAGFORS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18750-2019</t>
        </is>
      </c>
      <c r="B1677" s="1" t="n">
        <v>43560</v>
      </c>
      <c r="C1677" s="1" t="n">
        <v>45353</v>
      </c>
      <c r="D1677" t="inlineStr">
        <is>
          <t>VÄRMLANDS LÄN</t>
        </is>
      </c>
      <c r="E1677" t="inlineStr">
        <is>
          <t>STORFORS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18830-2019</t>
        </is>
      </c>
      <c r="B1678" s="1" t="n">
        <v>43560</v>
      </c>
      <c r="C1678" s="1" t="n">
        <v>45353</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18574-2019</t>
        </is>
      </c>
      <c r="B1679" s="1" t="n">
        <v>43560</v>
      </c>
      <c r="C1679" s="1" t="n">
        <v>45353</v>
      </c>
      <c r="D1679" t="inlineStr">
        <is>
          <t>VÄRMLANDS LÄN</t>
        </is>
      </c>
      <c r="E1679" t="inlineStr">
        <is>
          <t>ARVIKA</t>
        </is>
      </c>
      <c r="F1679" t="inlineStr">
        <is>
          <t>Bergvik skog väst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18773-2019</t>
        </is>
      </c>
      <c r="B1680" s="1" t="n">
        <v>43561</v>
      </c>
      <c r="C1680" s="1" t="n">
        <v>45353</v>
      </c>
      <c r="D1680" t="inlineStr">
        <is>
          <t>VÄRMLANDS LÄN</t>
        </is>
      </c>
      <c r="E1680" t="inlineStr">
        <is>
          <t>GRUMS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18832-2019</t>
        </is>
      </c>
      <c r="B1681" s="1" t="n">
        <v>43563</v>
      </c>
      <c r="C1681" s="1" t="n">
        <v>45353</v>
      </c>
      <c r="D1681" t="inlineStr">
        <is>
          <t>VÄRMLANDS LÄN</t>
        </is>
      </c>
      <c r="E1681" t="inlineStr">
        <is>
          <t>SÄFFLE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18932-2019</t>
        </is>
      </c>
      <c r="B1682" s="1" t="n">
        <v>43563</v>
      </c>
      <c r="C1682" s="1" t="n">
        <v>45353</v>
      </c>
      <c r="D1682" t="inlineStr">
        <is>
          <t>VÄRMLANDS LÄN</t>
        </is>
      </c>
      <c r="E1682" t="inlineStr">
        <is>
          <t>SÄFFLE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18852-2019</t>
        </is>
      </c>
      <c r="B1683" s="1" t="n">
        <v>43563</v>
      </c>
      <c r="C1683" s="1" t="n">
        <v>45353</v>
      </c>
      <c r="D1683" t="inlineStr">
        <is>
          <t>VÄRMLANDS LÄN</t>
        </is>
      </c>
      <c r="E1683" t="inlineStr">
        <is>
          <t>KIL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18881-2019</t>
        </is>
      </c>
      <c r="B1684" s="1" t="n">
        <v>43563</v>
      </c>
      <c r="C1684" s="1" t="n">
        <v>45353</v>
      </c>
      <c r="D1684" t="inlineStr">
        <is>
          <t>VÄRMLANDS LÄN</t>
        </is>
      </c>
      <c r="E1684" t="inlineStr">
        <is>
          <t>GRUMS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18917-2019</t>
        </is>
      </c>
      <c r="B1685" s="1" t="n">
        <v>43563</v>
      </c>
      <c r="C1685" s="1" t="n">
        <v>45353</v>
      </c>
      <c r="D1685" t="inlineStr">
        <is>
          <t>VÄRMLANDS LÄN</t>
        </is>
      </c>
      <c r="E1685" t="inlineStr">
        <is>
          <t>EDA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18947-2019</t>
        </is>
      </c>
      <c r="B1686" s="1" t="n">
        <v>43563</v>
      </c>
      <c r="C1686" s="1" t="n">
        <v>45353</v>
      </c>
      <c r="D1686" t="inlineStr">
        <is>
          <t>VÄRMLANDS LÄN</t>
        </is>
      </c>
      <c r="E1686" t="inlineStr">
        <is>
          <t>TORSBY</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18930-2019</t>
        </is>
      </c>
      <c r="B1687" s="1" t="n">
        <v>43563</v>
      </c>
      <c r="C1687" s="1" t="n">
        <v>45353</v>
      </c>
      <c r="D1687" t="inlineStr">
        <is>
          <t>VÄRMLANDS LÄN</t>
        </is>
      </c>
      <c r="E1687" t="inlineStr">
        <is>
          <t>SUNNE</t>
        </is>
      </c>
      <c r="F1687" t="inlineStr">
        <is>
          <t>Kyrkan</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19011-2019</t>
        </is>
      </c>
      <c r="B1688" s="1" t="n">
        <v>43563</v>
      </c>
      <c r="C1688" s="1" t="n">
        <v>45353</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19032-2019</t>
        </is>
      </c>
      <c r="B1689" s="1" t="n">
        <v>43563</v>
      </c>
      <c r="C1689" s="1" t="n">
        <v>45353</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18977-2019</t>
        </is>
      </c>
      <c r="B1690" s="1" t="n">
        <v>43563</v>
      </c>
      <c r="C1690" s="1" t="n">
        <v>45353</v>
      </c>
      <c r="D1690" t="inlineStr">
        <is>
          <t>VÄRMLANDS LÄN</t>
        </is>
      </c>
      <c r="E1690" t="inlineStr">
        <is>
          <t>KRISTINEHAMN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18915-2019</t>
        </is>
      </c>
      <c r="B1691" s="1" t="n">
        <v>43563</v>
      </c>
      <c r="C1691" s="1" t="n">
        <v>45353</v>
      </c>
      <c r="D1691" t="inlineStr">
        <is>
          <t>VÄRMLANDS LÄN</t>
        </is>
      </c>
      <c r="E1691" t="inlineStr">
        <is>
          <t>KRISTINEHAMN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19037-2019</t>
        </is>
      </c>
      <c r="B1692" s="1" t="n">
        <v>43563</v>
      </c>
      <c r="C1692" s="1" t="n">
        <v>45353</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19039-2019</t>
        </is>
      </c>
      <c r="B1693" s="1" t="n">
        <v>43563</v>
      </c>
      <c r="C1693" s="1" t="n">
        <v>45353</v>
      </c>
      <c r="D1693" t="inlineStr">
        <is>
          <t>VÄRMLANDS LÄN</t>
        </is>
      </c>
      <c r="E1693" t="inlineStr">
        <is>
          <t>ÅRJÄNG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18999-2019</t>
        </is>
      </c>
      <c r="B1694" s="1" t="n">
        <v>43563</v>
      </c>
      <c r="C1694" s="1" t="n">
        <v>45353</v>
      </c>
      <c r="D1694" t="inlineStr">
        <is>
          <t>VÄRMLANDS LÄN</t>
        </is>
      </c>
      <c r="E1694" t="inlineStr">
        <is>
          <t>KRISTINEHAMN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18899-2019</t>
        </is>
      </c>
      <c r="B1695" s="1" t="n">
        <v>43563</v>
      </c>
      <c r="C1695" s="1" t="n">
        <v>45353</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18938-2019</t>
        </is>
      </c>
      <c r="B1696" s="1" t="n">
        <v>43563</v>
      </c>
      <c r="C1696" s="1" t="n">
        <v>45353</v>
      </c>
      <c r="D1696" t="inlineStr">
        <is>
          <t>VÄRMLANDS LÄN</t>
        </is>
      </c>
      <c r="E1696" t="inlineStr">
        <is>
          <t>KARLSTAD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19020-2019</t>
        </is>
      </c>
      <c r="B1697" s="1" t="n">
        <v>43563</v>
      </c>
      <c r="C1697" s="1" t="n">
        <v>45353</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18943-2019</t>
        </is>
      </c>
      <c r="B1698" s="1" t="n">
        <v>43563</v>
      </c>
      <c r="C1698" s="1" t="n">
        <v>45353</v>
      </c>
      <c r="D1698" t="inlineStr">
        <is>
          <t>VÄRMLANDS LÄN</t>
        </is>
      </c>
      <c r="E1698" t="inlineStr">
        <is>
          <t>SÄFFLE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19148-2019</t>
        </is>
      </c>
      <c r="B1699" s="1" t="n">
        <v>43564</v>
      </c>
      <c r="C1699" s="1" t="n">
        <v>45353</v>
      </c>
      <c r="D1699" t="inlineStr">
        <is>
          <t>VÄRMLANDS LÄN</t>
        </is>
      </c>
      <c r="E1699" t="inlineStr">
        <is>
          <t>GRUMS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19096-2019</t>
        </is>
      </c>
      <c r="B1700" s="1" t="n">
        <v>43564</v>
      </c>
      <c r="C1700" s="1" t="n">
        <v>45353</v>
      </c>
      <c r="D1700" t="inlineStr">
        <is>
          <t>VÄRMLANDS LÄN</t>
        </is>
      </c>
      <c r="E1700" t="inlineStr">
        <is>
          <t>ARVIKA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19120-2019</t>
        </is>
      </c>
      <c r="B1701" s="1" t="n">
        <v>43564</v>
      </c>
      <c r="C1701" s="1" t="n">
        <v>45353</v>
      </c>
      <c r="D1701" t="inlineStr">
        <is>
          <t>VÄRMLANDS LÄN</t>
        </is>
      </c>
      <c r="E1701" t="inlineStr">
        <is>
          <t>KARLSTAD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19164-2019</t>
        </is>
      </c>
      <c r="B1702" s="1" t="n">
        <v>43564</v>
      </c>
      <c r="C1702" s="1" t="n">
        <v>45353</v>
      </c>
      <c r="D1702" t="inlineStr">
        <is>
          <t>VÄRMLANDS LÄN</t>
        </is>
      </c>
      <c r="E1702" t="inlineStr">
        <is>
          <t>ARVIKA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19226-2019</t>
        </is>
      </c>
      <c r="B1703" s="1" t="n">
        <v>43564</v>
      </c>
      <c r="C1703" s="1" t="n">
        <v>45353</v>
      </c>
      <c r="D1703" t="inlineStr">
        <is>
          <t>VÄRMLANDS LÄN</t>
        </is>
      </c>
      <c r="E1703" t="inlineStr">
        <is>
          <t>KARLSTAD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19144-2019</t>
        </is>
      </c>
      <c r="B1704" s="1" t="n">
        <v>43564</v>
      </c>
      <c r="C1704" s="1" t="n">
        <v>45353</v>
      </c>
      <c r="D1704" t="inlineStr">
        <is>
          <t>VÄRMLANDS LÄN</t>
        </is>
      </c>
      <c r="E1704" t="inlineStr">
        <is>
          <t>GRUMS</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19974-2019</t>
        </is>
      </c>
      <c r="B1705" s="1" t="n">
        <v>43564</v>
      </c>
      <c r="C1705" s="1" t="n">
        <v>45353</v>
      </c>
      <c r="D1705" t="inlineStr">
        <is>
          <t>VÄRMLANDS LÄN</t>
        </is>
      </c>
      <c r="E1705" t="inlineStr">
        <is>
          <t>TORSBY</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19173-2019</t>
        </is>
      </c>
      <c r="B1706" s="1" t="n">
        <v>43564</v>
      </c>
      <c r="C1706" s="1" t="n">
        <v>45353</v>
      </c>
      <c r="D1706" t="inlineStr">
        <is>
          <t>VÄRMLANDS LÄN</t>
        </is>
      </c>
      <c r="E1706" t="inlineStr">
        <is>
          <t>KIL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19133-2019</t>
        </is>
      </c>
      <c r="B1707" s="1" t="n">
        <v>43564</v>
      </c>
      <c r="C1707" s="1" t="n">
        <v>45353</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19125-2019</t>
        </is>
      </c>
      <c r="B1708" s="1" t="n">
        <v>43564</v>
      </c>
      <c r="C1708" s="1" t="n">
        <v>45353</v>
      </c>
      <c r="D1708" t="inlineStr">
        <is>
          <t>VÄRMLANDS LÄN</t>
        </is>
      </c>
      <c r="E1708" t="inlineStr">
        <is>
          <t>TORSBY</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19402-2019</t>
        </is>
      </c>
      <c r="B1709" s="1" t="n">
        <v>43565</v>
      </c>
      <c r="C1709" s="1" t="n">
        <v>45353</v>
      </c>
      <c r="D1709" t="inlineStr">
        <is>
          <t>VÄRMLANDS LÄN</t>
        </is>
      </c>
      <c r="E1709" t="inlineStr">
        <is>
          <t>HAGFORS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19491-2019</t>
        </is>
      </c>
      <c r="B1710" s="1" t="n">
        <v>43565</v>
      </c>
      <c r="C1710" s="1" t="n">
        <v>45353</v>
      </c>
      <c r="D1710" t="inlineStr">
        <is>
          <t>VÄRMLANDS LÄN</t>
        </is>
      </c>
      <c r="E1710" t="inlineStr">
        <is>
          <t>FILIPSTAD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19412-2019</t>
        </is>
      </c>
      <c r="B1711" s="1" t="n">
        <v>43565</v>
      </c>
      <c r="C1711" s="1" t="n">
        <v>45353</v>
      </c>
      <c r="D1711" t="inlineStr">
        <is>
          <t>VÄRMLANDS LÄN</t>
        </is>
      </c>
      <c r="E1711" t="inlineStr">
        <is>
          <t>SUNNE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19528-2019</t>
        </is>
      </c>
      <c r="B1712" s="1" t="n">
        <v>43565</v>
      </c>
      <c r="C1712" s="1" t="n">
        <v>45353</v>
      </c>
      <c r="D1712" t="inlineStr">
        <is>
          <t>VÄRMLANDS LÄN</t>
        </is>
      </c>
      <c r="E1712" t="inlineStr">
        <is>
          <t>HAGFORS</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19438-2019</t>
        </is>
      </c>
      <c r="B1713" s="1" t="n">
        <v>43565</v>
      </c>
      <c r="C1713" s="1" t="n">
        <v>45353</v>
      </c>
      <c r="D1713" t="inlineStr">
        <is>
          <t>VÄRMLANDS LÄN</t>
        </is>
      </c>
      <c r="E1713" t="inlineStr">
        <is>
          <t>EDA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19421-2019</t>
        </is>
      </c>
      <c r="B1714" s="1" t="n">
        <v>43565</v>
      </c>
      <c r="C1714" s="1" t="n">
        <v>45353</v>
      </c>
      <c r="D1714" t="inlineStr">
        <is>
          <t>VÄRMLANDS LÄN</t>
        </is>
      </c>
      <c r="E1714" t="inlineStr">
        <is>
          <t>HAGFORS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19487-2019</t>
        </is>
      </c>
      <c r="B1715" s="1" t="n">
        <v>43565</v>
      </c>
      <c r="C1715" s="1" t="n">
        <v>45353</v>
      </c>
      <c r="D1715" t="inlineStr">
        <is>
          <t>VÄRMLANDS LÄN</t>
        </is>
      </c>
      <c r="E1715" t="inlineStr">
        <is>
          <t>STORFORS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19507-2019</t>
        </is>
      </c>
      <c r="B1716" s="1" t="n">
        <v>43565</v>
      </c>
      <c r="C1716" s="1" t="n">
        <v>45353</v>
      </c>
      <c r="D1716" t="inlineStr">
        <is>
          <t>VÄRMLANDS LÄN</t>
        </is>
      </c>
      <c r="E1716" t="inlineStr">
        <is>
          <t>KRISTINEHAMN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19591-2019</t>
        </is>
      </c>
      <c r="B1717" s="1" t="n">
        <v>43566</v>
      </c>
      <c r="C1717" s="1" t="n">
        <v>45353</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19677-2019</t>
        </is>
      </c>
      <c r="B1718" s="1" t="n">
        <v>43566</v>
      </c>
      <c r="C1718" s="1" t="n">
        <v>45353</v>
      </c>
      <c r="D1718" t="inlineStr">
        <is>
          <t>VÄRMLANDS LÄN</t>
        </is>
      </c>
      <c r="E1718" t="inlineStr">
        <is>
          <t>SUNNE</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19828-2019</t>
        </is>
      </c>
      <c r="B1719" s="1" t="n">
        <v>43566</v>
      </c>
      <c r="C1719" s="1" t="n">
        <v>45353</v>
      </c>
      <c r="D1719" t="inlineStr">
        <is>
          <t>VÄRMLANDS LÄN</t>
        </is>
      </c>
      <c r="E1719" t="inlineStr">
        <is>
          <t>FORSHAGA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20059-2019</t>
        </is>
      </c>
      <c r="B1720" s="1" t="n">
        <v>43566</v>
      </c>
      <c r="C1720" s="1" t="n">
        <v>45353</v>
      </c>
      <c r="D1720" t="inlineStr">
        <is>
          <t>VÄRMLANDS LÄN</t>
        </is>
      </c>
      <c r="E1720" t="inlineStr">
        <is>
          <t>SÄFFLE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19782-2019</t>
        </is>
      </c>
      <c r="B1721" s="1" t="n">
        <v>43567</v>
      </c>
      <c r="C1721" s="1" t="n">
        <v>45353</v>
      </c>
      <c r="D1721" t="inlineStr">
        <is>
          <t>VÄRMLANDS LÄN</t>
        </is>
      </c>
      <c r="E1721" t="inlineStr">
        <is>
          <t>SUNNE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19781-2019</t>
        </is>
      </c>
      <c r="B1722" s="1" t="n">
        <v>43567</v>
      </c>
      <c r="C1722" s="1" t="n">
        <v>45353</v>
      </c>
      <c r="D1722" t="inlineStr">
        <is>
          <t>VÄRMLANDS LÄN</t>
        </is>
      </c>
      <c r="E1722" t="inlineStr">
        <is>
          <t>ÅRJÄNG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19868-2019</t>
        </is>
      </c>
      <c r="B1723" s="1" t="n">
        <v>43567</v>
      </c>
      <c r="C1723" s="1" t="n">
        <v>45353</v>
      </c>
      <c r="D1723" t="inlineStr">
        <is>
          <t>VÄRMLANDS LÄN</t>
        </is>
      </c>
      <c r="E1723" t="inlineStr">
        <is>
          <t>KRISTINEHAMN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19746-2019</t>
        </is>
      </c>
      <c r="B1724" s="1" t="n">
        <v>43567</v>
      </c>
      <c r="C1724" s="1" t="n">
        <v>45353</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20086-2019</t>
        </is>
      </c>
      <c r="B1725" s="1" t="n">
        <v>43567</v>
      </c>
      <c r="C1725" s="1" t="n">
        <v>45353</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19748-2019</t>
        </is>
      </c>
      <c r="B1726" s="1" t="n">
        <v>43567</v>
      </c>
      <c r="C1726" s="1" t="n">
        <v>45353</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19947-2019</t>
        </is>
      </c>
      <c r="B1727" s="1" t="n">
        <v>43569</v>
      </c>
      <c r="C1727" s="1" t="n">
        <v>45353</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20047-2019</t>
        </is>
      </c>
      <c r="B1728" s="1" t="n">
        <v>43570</v>
      </c>
      <c r="C1728" s="1" t="n">
        <v>45353</v>
      </c>
      <c r="D1728" t="inlineStr">
        <is>
          <t>VÄRMLANDS LÄN</t>
        </is>
      </c>
      <c r="E1728" t="inlineStr">
        <is>
          <t>FILIPSTAD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20167-2019</t>
        </is>
      </c>
      <c r="B1729" s="1" t="n">
        <v>43570</v>
      </c>
      <c r="C1729" s="1" t="n">
        <v>45353</v>
      </c>
      <c r="D1729" t="inlineStr">
        <is>
          <t>VÄRMLANDS LÄN</t>
        </is>
      </c>
      <c r="E1729" t="inlineStr">
        <is>
          <t>TORSBY</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20189-2019</t>
        </is>
      </c>
      <c r="B1730" s="1" t="n">
        <v>43570</v>
      </c>
      <c r="C1730" s="1" t="n">
        <v>45353</v>
      </c>
      <c r="D1730" t="inlineStr">
        <is>
          <t>VÄRMLANDS LÄN</t>
        </is>
      </c>
      <c r="E1730" t="inlineStr">
        <is>
          <t>ÅRJÄNG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20190-2019</t>
        </is>
      </c>
      <c r="B1731" s="1" t="n">
        <v>43570</v>
      </c>
      <c r="C1731" s="1" t="n">
        <v>45353</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20237-2019</t>
        </is>
      </c>
      <c r="B1732" s="1" t="n">
        <v>43570</v>
      </c>
      <c r="C1732" s="1" t="n">
        <v>45353</v>
      </c>
      <c r="D1732" t="inlineStr">
        <is>
          <t>VÄRMLANDS LÄN</t>
        </is>
      </c>
      <c r="E1732" t="inlineStr">
        <is>
          <t>SUNNE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20301-2019</t>
        </is>
      </c>
      <c r="B1733" s="1" t="n">
        <v>43570</v>
      </c>
      <c r="C1733" s="1" t="n">
        <v>45353</v>
      </c>
      <c r="D1733" t="inlineStr">
        <is>
          <t>VÄRMLANDS LÄN</t>
        </is>
      </c>
      <c r="E1733" t="inlineStr">
        <is>
          <t>KARLSTAD</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20215-2019</t>
        </is>
      </c>
      <c r="B1734" s="1" t="n">
        <v>43570</v>
      </c>
      <c r="C1734" s="1" t="n">
        <v>45353</v>
      </c>
      <c r="D1734" t="inlineStr">
        <is>
          <t>VÄRMLANDS LÄN</t>
        </is>
      </c>
      <c r="E1734" t="inlineStr">
        <is>
          <t>EDA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20045-2019</t>
        </is>
      </c>
      <c r="B1735" s="1" t="n">
        <v>43570</v>
      </c>
      <c r="C1735" s="1" t="n">
        <v>45353</v>
      </c>
      <c r="D1735" t="inlineStr">
        <is>
          <t>VÄRMLANDS LÄN</t>
        </is>
      </c>
      <c r="E1735" t="inlineStr">
        <is>
          <t>FILIPSTAD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20307-2019</t>
        </is>
      </c>
      <c r="B1736" s="1" t="n">
        <v>43570</v>
      </c>
      <c r="C1736" s="1" t="n">
        <v>45353</v>
      </c>
      <c r="D1736" t="inlineStr">
        <is>
          <t>VÄRMLANDS LÄN</t>
        </is>
      </c>
      <c r="E1736" t="inlineStr">
        <is>
          <t>SÄFFLE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20339-2019</t>
        </is>
      </c>
      <c r="B1737" s="1" t="n">
        <v>43570</v>
      </c>
      <c r="C1737" s="1" t="n">
        <v>45353</v>
      </c>
      <c r="D1737" t="inlineStr">
        <is>
          <t>VÄRMLANDS LÄN</t>
        </is>
      </c>
      <c r="E1737" t="inlineStr">
        <is>
          <t>KARLSTAD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20275-2019</t>
        </is>
      </c>
      <c r="B1738" s="1" t="n">
        <v>43570</v>
      </c>
      <c r="C1738" s="1" t="n">
        <v>45353</v>
      </c>
      <c r="D1738" t="inlineStr">
        <is>
          <t>VÄRMLANDS LÄN</t>
        </is>
      </c>
      <c r="E1738" t="inlineStr">
        <is>
          <t>SÄFFLE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20221-2019</t>
        </is>
      </c>
      <c r="B1739" s="1" t="n">
        <v>43570</v>
      </c>
      <c r="C1739" s="1" t="n">
        <v>45353</v>
      </c>
      <c r="D1739" t="inlineStr">
        <is>
          <t>VÄRMLANDS LÄN</t>
        </is>
      </c>
      <c r="E1739" t="inlineStr">
        <is>
          <t>EDA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20385-2019</t>
        </is>
      </c>
      <c r="B1740" s="1" t="n">
        <v>43571</v>
      </c>
      <c r="C1740" s="1" t="n">
        <v>45353</v>
      </c>
      <c r="D1740" t="inlineStr">
        <is>
          <t>VÄRMLANDS LÄN</t>
        </is>
      </c>
      <c r="E1740" t="inlineStr">
        <is>
          <t>KIL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20244-2019</t>
        </is>
      </c>
      <c r="B1741" s="1" t="n">
        <v>43571</v>
      </c>
      <c r="C1741" s="1" t="n">
        <v>45353</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20364-2019</t>
        </is>
      </c>
      <c r="B1742" s="1" t="n">
        <v>43571</v>
      </c>
      <c r="C1742" s="1" t="n">
        <v>45353</v>
      </c>
      <c r="D1742" t="inlineStr">
        <is>
          <t>VÄRMLANDS LÄN</t>
        </is>
      </c>
      <c r="E1742" t="inlineStr">
        <is>
          <t>ARVIKA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20329-2019</t>
        </is>
      </c>
      <c r="B1743" s="1" t="n">
        <v>43571</v>
      </c>
      <c r="C1743" s="1" t="n">
        <v>45353</v>
      </c>
      <c r="D1743" t="inlineStr">
        <is>
          <t>VÄRMLANDS LÄN</t>
        </is>
      </c>
      <c r="E1743" t="inlineStr">
        <is>
          <t>ARVIKA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20461-2019</t>
        </is>
      </c>
      <c r="B1744" s="1" t="n">
        <v>43572</v>
      </c>
      <c r="C1744" s="1" t="n">
        <v>45353</v>
      </c>
      <c r="D1744" t="inlineStr">
        <is>
          <t>VÄRMLANDS LÄN</t>
        </is>
      </c>
      <c r="E1744" t="inlineStr">
        <is>
          <t>KARLSTAD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20573-2019</t>
        </is>
      </c>
      <c r="B1745" s="1" t="n">
        <v>43572</v>
      </c>
      <c r="C1745" s="1" t="n">
        <v>45353</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20616-2019</t>
        </is>
      </c>
      <c r="B1746" s="1" t="n">
        <v>43572</v>
      </c>
      <c r="C1746" s="1" t="n">
        <v>45353</v>
      </c>
      <c r="D1746" t="inlineStr">
        <is>
          <t>VÄRMLANDS LÄN</t>
        </is>
      </c>
      <c r="E1746" t="inlineStr">
        <is>
          <t>TORSBY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20468-2019</t>
        </is>
      </c>
      <c r="B1747" s="1" t="n">
        <v>43572</v>
      </c>
      <c r="C1747" s="1" t="n">
        <v>45353</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20451-2019</t>
        </is>
      </c>
      <c r="B1748" s="1" t="n">
        <v>43572</v>
      </c>
      <c r="C1748" s="1" t="n">
        <v>45353</v>
      </c>
      <c r="D1748" t="inlineStr">
        <is>
          <t>VÄRMLANDS LÄN</t>
        </is>
      </c>
      <c r="E1748" t="inlineStr">
        <is>
          <t>EDA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20610-2019</t>
        </is>
      </c>
      <c r="B1749" s="1" t="n">
        <v>43572</v>
      </c>
      <c r="C1749" s="1" t="n">
        <v>45353</v>
      </c>
      <c r="D1749" t="inlineStr">
        <is>
          <t>VÄRMLANDS LÄN</t>
        </is>
      </c>
      <c r="E1749" t="inlineStr">
        <is>
          <t>KARLSTAD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20452-2019</t>
        </is>
      </c>
      <c r="B1750" s="1" t="n">
        <v>43572</v>
      </c>
      <c r="C1750" s="1" t="n">
        <v>45353</v>
      </c>
      <c r="D1750" t="inlineStr">
        <is>
          <t>VÄRMLANDS LÄN</t>
        </is>
      </c>
      <c r="E1750" t="inlineStr">
        <is>
          <t>EDA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20457-2019</t>
        </is>
      </c>
      <c r="B1751" s="1" t="n">
        <v>43572</v>
      </c>
      <c r="C1751" s="1" t="n">
        <v>45353</v>
      </c>
      <c r="D1751" t="inlineStr">
        <is>
          <t>VÄRMLANDS LÄN</t>
        </is>
      </c>
      <c r="E1751" t="inlineStr">
        <is>
          <t>EDA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20492-2019</t>
        </is>
      </c>
      <c r="B1752" s="1" t="n">
        <v>43572</v>
      </c>
      <c r="C1752" s="1" t="n">
        <v>45353</v>
      </c>
      <c r="D1752" t="inlineStr">
        <is>
          <t>VÄRMLANDS LÄN</t>
        </is>
      </c>
      <c r="E1752" t="inlineStr">
        <is>
          <t>SUNNE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20753-2019</t>
        </is>
      </c>
      <c r="B1753" s="1" t="n">
        <v>43573</v>
      </c>
      <c r="C1753" s="1" t="n">
        <v>45353</v>
      </c>
      <c r="D1753" t="inlineStr">
        <is>
          <t>VÄRMLANDS LÄN</t>
        </is>
      </c>
      <c r="E1753" t="inlineStr">
        <is>
          <t>MUNKFORS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20691-2019</t>
        </is>
      </c>
      <c r="B1754" s="1" t="n">
        <v>43573</v>
      </c>
      <c r="C1754" s="1" t="n">
        <v>45353</v>
      </c>
      <c r="D1754" t="inlineStr">
        <is>
          <t>VÄRMLANDS LÄN</t>
        </is>
      </c>
      <c r="E1754" t="inlineStr">
        <is>
          <t>EDA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20757-2019</t>
        </is>
      </c>
      <c r="B1755" s="1" t="n">
        <v>43573</v>
      </c>
      <c r="C1755" s="1" t="n">
        <v>45353</v>
      </c>
      <c r="D1755" t="inlineStr">
        <is>
          <t>VÄRMLANDS LÄN</t>
        </is>
      </c>
      <c r="E1755" t="inlineStr">
        <is>
          <t>KRISTINEHAMN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20772-2019</t>
        </is>
      </c>
      <c r="B1756" s="1" t="n">
        <v>43573</v>
      </c>
      <c r="C1756" s="1" t="n">
        <v>45353</v>
      </c>
      <c r="D1756" t="inlineStr">
        <is>
          <t>VÄRMLANDS LÄN</t>
        </is>
      </c>
      <c r="E1756" t="inlineStr">
        <is>
          <t>GRUMS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20791-2019</t>
        </is>
      </c>
      <c r="B1757" s="1" t="n">
        <v>43573</v>
      </c>
      <c r="C1757" s="1" t="n">
        <v>45353</v>
      </c>
      <c r="D1757" t="inlineStr">
        <is>
          <t>VÄRMLANDS LÄN</t>
        </is>
      </c>
      <c r="E1757" t="inlineStr">
        <is>
          <t>FORSHAGA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20805-2019</t>
        </is>
      </c>
      <c r="B1758" s="1" t="n">
        <v>43573</v>
      </c>
      <c r="C1758" s="1" t="n">
        <v>45353</v>
      </c>
      <c r="D1758" t="inlineStr">
        <is>
          <t>VÄRMLANDS LÄN</t>
        </is>
      </c>
      <c r="E1758" t="inlineStr">
        <is>
          <t>ÅRJÄNG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20798-2019</t>
        </is>
      </c>
      <c r="B1759" s="1" t="n">
        <v>43573</v>
      </c>
      <c r="C1759" s="1" t="n">
        <v>45353</v>
      </c>
      <c r="D1759" t="inlineStr">
        <is>
          <t>VÄRMLANDS LÄN</t>
        </is>
      </c>
      <c r="E1759" t="inlineStr">
        <is>
          <t>ÅRJÄNG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20807-2019</t>
        </is>
      </c>
      <c r="B1760" s="1" t="n">
        <v>43573</v>
      </c>
      <c r="C1760" s="1" t="n">
        <v>45353</v>
      </c>
      <c r="D1760" t="inlineStr">
        <is>
          <t>VÄRMLANDS LÄN</t>
        </is>
      </c>
      <c r="E1760" t="inlineStr">
        <is>
          <t>ÅRJÄNG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20785-2019</t>
        </is>
      </c>
      <c r="B1761" s="1" t="n">
        <v>43573</v>
      </c>
      <c r="C1761" s="1" t="n">
        <v>45353</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20847-2019</t>
        </is>
      </c>
      <c r="B1762" s="1" t="n">
        <v>43577</v>
      </c>
      <c r="C1762" s="1" t="n">
        <v>45353</v>
      </c>
      <c r="D1762" t="inlineStr">
        <is>
          <t>VÄRMLANDS LÄN</t>
        </is>
      </c>
      <c r="E1762" t="inlineStr">
        <is>
          <t>KRISTINEHAMN</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20852-2019</t>
        </is>
      </c>
      <c r="B1763" s="1" t="n">
        <v>43577</v>
      </c>
      <c r="C1763" s="1" t="n">
        <v>45353</v>
      </c>
      <c r="D1763" t="inlineStr">
        <is>
          <t>VÄRMLANDS LÄN</t>
        </is>
      </c>
      <c r="E1763" t="inlineStr">
        <is>
          <t>KARLSTAD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20846-2019</t>
        </is>
      </c>
      <c r="B1764" s="1" t="n">
        <v>43577</v>
      </c>
      <c r="C1764" s="1" t="n">
        <v>45353</v>
      </c>
      <c r="D1764" t="inlineStr">
        <is>
          <t>VÄRMLANDS LÄN</t>
        </is>
      </c>
      <c r="E1764" t="inlineStr">
        <is>
          <t>KRISTINEHAMN</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20866-2019</t>
        </is>
      </c>
      <c r="B1765" s="1" t="n">
        <v>43578</v>
      </c>
      <c r="C1765" s="1" t="n">
        <v>45353</v>
      </c>
      <c r="D1765" t="inlineStr">
        <is>
          <t>VÄRMLANDS LÄN</t>
        </is>
      </c>
      <c r="E1765" t="inlineStr">
        <is>
          <t>HAGFORS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20927-2019</t>
        </is>
      </c>
      <c r="B1766" s="1" t="n">
        <v>43578</v>
      </c>
      <c r="C1766" s="1" t="n">
        <v>45353</v>
      </c>
      <c r="D1766" t="inlineStr">
        <is>
          <t>VÄRMLANDS LÄN</t>
        </is>
      </c>
      <c r="E1766" t="inlineStr">
        <is>
          <t>ARVIKA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21002-2019</t>
        </is>
      </c>
      <c r="B1767" s="1" t="n">
        <v>43578</v>
      </c>
      <c r="C1767" s="1" t="n">
        <v>45353</v>
      </c>
      <c r="D1767" t="inlineStr">
        <is>
          <t>VÄRMLANDS LÄN</t>
        </is>
      </c>
      <c r="E1767" t="inlineStr">
        <is>
          <t>KIL</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20865-2019</t>
        </is>
      </c>
      <c r="B1768" s="1" t="n">
        <v>43578</v>
      </c>
      <c r="C1768" s="1" t="n">
        <v>45353</v>
      </c>
      <c r="D1768" t="inlineStr">
        <is>
          <t>VÄRMLANDS LÄN</t>
        </is>
      </c>
      <c r="E1768" t="inlineStr">
        <is>
          <t>SUNNE</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21072-2019</t>
        </is>
      </c>
      <c r="B1769" s="1" t="n">
        <v>43578</v>
      </c>
      <c r="C1769" s="1" t="n">
        <v>45353</v>
      </c>
      <c r="D1769" t="inlineStr">
        <is>
          <t>VÄRMLANDS LÄN</t>
        </is>
      </c>
      <c r="E1769" t="inlineStr">
        <is>
          <t>SÄFFLE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21005-2019</t>
        </is>
      </c>
      <c r="B1770" s="1" t="n">
        <v>43578</v>
      </c>
      <c r="C1770" s="1" t="n">
        <v>45353</v>
      </c>
      <c r="D1770" t="inlineStr">
        <is>
          <t>VÄRMLANDS LÄN</t>
        </is>
      </c>
      <c r="E1770" t="inlineStr">
        <is>
          <t>KIL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20864-2019</t>
        </is>
      </c>
      <c r="B1771" s="1" t="n">
        <v>43578</v>
      </c>
      <c r="C1771" s="1" t="n">
        <v>45353</v>
      </c>
      <c r="D1771" t="inlineStr">
        <is>
          <t>VÄRMLANDS LÄN</t>
        </is>
      </c>
      <c r="E1771" t="inlineStr">
        <is>
          <t>SUNNE</t>
        </is>
      </c>
      <c r="F1771" t="inlineStr">
        <is>
          <t>Kommuner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20862-2019</t>
        </is>
      </c>
      <c r="B1772" s="1" t="n">
        <v>43578</v>
      </c>
      <c r="C1772" s="1" t="n">
        <v>45353</v>
      </c>
      <c r="D1772" t="inlineStr">
        <is>
          <t>VÄRMLANDS LÄN</t>
        </is>
      </c>
      <c r="E1772" t="inlineStr">
        <is>
          <t>SUNNE</t>
        </is>
      </c>
      <c r="F1772" t="inlineStr">
        <is>
          <t>Övriga Aktiebolag</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21166-2019</t>
        </is>
      </c>
      <c r="B1773" s="1" t="n">
        <v>43578</v>
      </c>
      <c r="C1773" s="1" t="n">
        <v>45353</v>
      </c>
      <c r="D1773" t="inlineStr">
        <is>
          <t>VÄRMLANDS LÄN</t>
        </is>
      </c>
      <c r="E1773" t="inlineStr">
        <is>
          <t>TORSBY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21185-2019</t>
        </is>
      </c>
      <c r="B1774" s="1" t="n">
        <v>43579</v>
      </c>
      <c r="C1774" s="1" t="n">
        <v>45353</v>
      </c>
      <c r="D1774" t="inlineStr">
        <is>
          <t>VÄRMLANDS LÄN</t>
        </is>
      </c>
      <c r="E1774" t="inlineStr">
        <is>
          <t>FORSHAGA</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21190-2019</t>
        </is>
      </c>
      <c r="B1775" s="1" t="n">
        <v>43579</v>
      </c>
      <c r="C1775" s="1" t="n">
        <v>45353</v>
      </c>
      <c r="D1775" t="inlineStr">
        <is>
          <t>VÄRMLANDS LÄN</t>
        </is>
      </c>
      <c r="E1775" t="inlineStr">
        <is>
          <t>SUNNE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21301-2019</t>
        </is>
      </c>
      <c r="B1776" s="1" t="n">
        <v>43579</v>
      </c>
      <c r="C1776" s="1" t="n">
        <v>45353</v>
      </c>
      <c r="D1776" t="inlineStr">
        <is>
          <t>VÄRMLANDS LÄN</t>
        </is>
      </c>
      <c r="E1776" t="inlineStr">
        <is>
          <t>GRUMS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21328-2019</t>
        </is>
      </c>
      <c r="B1777" s="1" t="n">
        <v>43579</v>
      </c>
      <c r="C1777" s="1" t="n">
        <v>45353</v>
      </c>
      <c r="D1777" t="inlineStr">
        <is>
          <t>VÄRMLANDS LÄN</t>
        </is>
      </c>
      <c r="E1777" t="inlineStr">
        <is>
          <t>SUNNE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21283-2019</t>
        </is>
      </c>
      <c r="B1778" s="1" t="n">
        <v>43579</v>
      </c>
      <c r="C1778" s="1" t="n">
        <v>45353</v>
      </c>
      <c r="D1778" t="inlineStr">
        <is>
          <t>VÄRMLANDS LÄN</t>
        </is>
      </c>
      <c r="E1778" t="inlineStr">
        <is>
          <t>FORSHAGA</t>
        </is>
      </c>
      <c r="F1778" t="inlineStr">
        <is>
          <t>Bergvik skog väst AB</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21350-2019</t>
        </is>
      </c>
      <c r="B1779" s="1" t="n">
        <v>43579</v>
      </c>
      <c r="C1779" s="1" t="n">
        <v>45353</v>
      </c>
      <c r="D1779" t="inlineStr">
        <is>
          <t>VÄRMLANDS LÄN</t>
        </is>
      </c>
      <c r="E1779" t="inlineStr">
        <is>
          <t>KARLSTAD</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21326-2019</t>
        </is>
      </c>
      <c r="B1780" s="1" t="n">
        <v>43579</v>
      </c>
      <c r="C1780" s="1" t="n">
        <v>45353</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21299-2019</t>
        </is>
      </c>
      <c r="B1781" s="1" t="n">
        <v>43579</v>
      </c>
      <c r="C1781" s="1" t="n">
        <v>45353</v>
      </c>
      <c r="D1781" t="inlineStr">
        <is>
          <t>VÄRMLANDS LÄN</t>
        </is>
      </c>
      <c r="E1781" t="inlineStr">
        <is>
          <t>ARVIKA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21222-2019</t>
        </is>
      </c>
      <c r="B1782" s="1" t="n">
        <v>43579</v>
      </c>
      <c r="C1782" s="1" t="n">
        <v>45353</v>
      </c>
      <c r="D1782" t="inlineStr">
        <is>
          <t>VÄRMLANDS LÄN</t>
        </is>
      </c>
      <c r="E1782" t="inlineStr">
        <is>
          <t>FILIPSTAD</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21196-2019</t>
        </is>
      </c>
      <c r="B1783" s="1" t="n">
        <v>43579</v>
      </c>
      <c r="C1783" s="1" t="n">
        <v>45353</v>
      </c>
      <c r="D1783" t="inlineStr">
        <is>
          <t>VÄRMLANDS LÄN</t>
        </is>
      </c>
      <c r="E1783" t="inlineStr">
        <is>
          <t>FORSHAGA</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21464-2019</t>
        </is>
      </c>
      <c r="B1784" s="1" t="n">
        <v>43580</v>
      </c>
      <c r="C1784" s="1" t="n">
        <v>45353</v>
      </c>
      <c r="D1784" t="inlineStr">
        <is>
          <t>VÄRMLANDS LÄN</t>
        </is>
      </c>
      <c r="E1784" t="inlineStr">
        <is>
          <t>FORSHAGA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21467-2019</t>
        </is>
      </c>
      <c r="B1785" s="1" t="n">
        <v>43580</v>
      </c>
      <c r="C1785" s="1" t="n">
        <v>45353</v>
      </c>
      <c r="D1785" t="inlineStr">
        <is>
          <t>VÄRMLANDS LÄN</t>
        </is>
      </c>
      <c r="E1785" t="inlineStr">
        <is>
          <t>FORSHAGA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21486-2019</t>
        </is>
      </c>
      <c r="B1786" s="1" t="n">
        <v>43580</v>
      </c>
      <c r="C1786" s="1" t="n">
        <v>45353</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21646-2019</t>
        </is>
      </c>
      <c r="B1787" s="1" t="n">
        <v>43580</v>
      </c>
      <c r="C1787" s="1" t="n">
        <v>45353</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21573-2019</t>
        </is>
      </c>
      <c r="B1788" s="1" t="n">
        <v>43580</v>
      </c>
      <c r="C1788" s="1" t="n">
        <v>45353</v>
      </c>
      <c r="D1788" t="inlineStr">
        <is>
          <t>VÄRMLANDS LÄN</t>
        </is>
      </c>
      <c r="E1788" t="inlineStr">
        <is>
          <t>KARLSTAD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21523-2019</t>
        </is>
      </c>
      <c r="B1789" s="1" t="n">
        <v>43580</v>
      </c>
      <c r="C1789" s="1" t="n">
        <v>45353</v>
      </c>
      <c r="D1789" t="inlineStr">
        <is>
          <t>VÄRMLANDS LÄN</t>
        </is>
      </c>
      <c r="E1789" t="inlineStr">
        <is>
          <t>ÅRJÄNG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21447-2019</t>
        </is>
      </c>
      <c r="B1790" s="1" t="n">
        <v>43580</v>
      </c>
      <c r="C1790" s="1" t="n">
        <v>45353</v>
      </c>
      <c r="D1790" t="inlineStr">
        <is>
          <t>VÄRMLANDS LÄN</t>
        </is>
      </c>
      <c r="E1790" t="inlineStr">
        <is>
          <t>ARVIKA</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21387-2019</t>
        </is>
      </c>
      <c r="B1791" s="1" t="n">
        <v>43580</v>
      </c>
      <c r="C1791" s="1" t="n">
        <v>45353</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21643-2019</t>
        </is>
      </c>
      <c r="B1792" s="1" t="n">
        <v>43581</v>
      </c>
      <c r="C1792" s="1" t="n">
        <v>45353</v>
      </c>
      <c r="D1792" t="inlineStr">
        <is>
          <t>VÄRMLANDS LÄN</t>
        </is>
      </c>
      <c r="E1792" t="inlineStr">
        <is>
          <t>SÄFFLE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21695-2019</t>
        </is>
      </c>
      <c r="B1793" s="1" t="n">
        <v>43581</v>
      </c>
      <c r="C1793" s="1" t="n">
        <v>45353</v>
      </c>
      <c r="D1793" t="inlineStr">
        <is>
          <t>VÄRMLANDS LÄN</t>
        </is>
      </c>
      <c r="E1793" t="inlineStr">
        <is>
          <t>FORSHAGA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21723-2019</t>
        </is>
      </c>
      <c r="B1794" s="1" t="n">
        <v>43581</v>
      </c>
      <c r="C1794" s="1" t="n">
        <v>45353</v>
      </c>
      <c r="D1794" t="inlineStr">
        <is>
          <t>VÄRMLANDS LÄN</t>
        </is>
      </c>
      <c r="E1794" t="inlineStr">
        <is>
          <t>ÅRJÄNG</t>
        </is>
      </c>
      <c r="F1794" t="inlineStr">
        <is>
          <t>Bergvik skog väst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21724-2019</t>
        </is>
      </c>
      <c r="B1795" s="1" t="n">
        <v>43581</v>
      </c>
      <c r="C1795" s="1" t="n">
        <v>45353</v>
      </c>
      <c r="D1795" t="inlineStr">
        <is>
          <t>VÄRMLANDS LÄN</t>
        </is>
      </c>
      <c r="E1795" t="inlineStr">
        <is>
          <t>SUNNE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21831-2019</t>
        </is>
      </c>
      <c r="B1796" s="1" t="n">
        <v>43581</v>
      </c>
      <c r="C1796" s="1" t="n">
        <v>45353</v>
      </c>
      <c r="D1796" t="inlineStr">
        <is>
          <t>VÄRMLANDS LÄN</t>
        </is>
      </c>
      <c r="E1796" t="inlineStr">
        <is>
          <t>ÅRJÄNG</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21802-2019</t>
        </is>
      </c>
      <c r="B1797" s="1" t="n">
        <v>43582</v>
      </c>
      <c r="C1797" s="1" t="n">
        <v>45353</v>
      </c>
      <c r="D1797" t="inlineStr">
        <is>
          <t>VÄRMLANDS LÄN</t>
        </is>
      </c>
      <c r="E1797" t="inlineStr">
        <is>
          <t>ARVIKA</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21804-2019</t>
        </is>
      </c>
      <c r="B1798" s="1" t="n">
        <v>43582</v>
      </c>
      <c r="C1798" s="1" t="n">
        <v>45353</v>
      </c>
      <c r="D1798" t="inlineStr">
        <is>
          <t>VÄRMLANDS LÄN</t>
        </is>
      </c>
      <c r="E1798" t="inlineStr">
        <is>
          <t>ARVIKA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21939-2019</t>
        </is>
      </c>
      <c r="B1799" s="1" t="n">
        <v>43584</v>
      </c>
      <c r="C1799" s="1" t="n">
        <v>45353</v>
      </c>
      <c r="D1799" t="inlineStr">
        <is>
          <t>VÄRMLANDS LÄN</t>
        </is>
      </c>
      <c r="E1799" t="inlineStr">
        <is>
          <t>EDA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21899-2019</t>
        </is>
      </c>
      <c r="B1800" s="1" t="n">
        <v>43584</v>
      </c>
      <c r="C1800" s="1" t="n">
        <v>45353</v>
      </c>
      <c r="D1800" t="inlineStr">
        <is>
          <t>VÄRMLANDS LÄN</t>
        </is>
      </c>
      <c r="E1800" t="inlineStr">
        <is>
          <t>KARLSTAD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21961-2019</t>
        </is>
      </c>
      <c r="B1801" s="1" t="n">
        <v>43584</v>
      </c>
      <c r="C1801" s="1" t="n">
        <v>45353</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21938-2019</t>
        </is>
      </c>
      <c r="B1802" s="1" t="n">
        <v>43584</v>
      </c>
      <c r="C1802" s="1" t="n">
        <v>45353</v>
      </c>
      <c r="D1802" t="inlineStr">
        <is>
          <t>VÄRMLANDS LÄN</t>
        </is>
      </c>
      <c r="E1802" t="inlineStr">
        <is>
          <t>EDA</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21970-2019</t>
        </is>
      </c>
      <c r="B1803" s="1" t="n">
        <v>43584</v>
      </c>
      <c r="C1803" s="1" t="n">
        <v>45353</v>
      </c>
      <c r="D1803" t="inlineStr">
        <is>
          <t>VÄRMLANDS LÄN</t>
        </is>
      </c>
      <c r="E1803" t="inlineStr">
        <is>
          <t>SÄFFLE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22079-2019</t>
        </is>
      </c>
      <c r="B1804" s="1" t="n">
        <v>43584</v>
      </c>
      <c r="C1804" s="1" t="n">
        <v>45353</v>
      </c>
      <c r="D1804" t="inlineStr">
        <is>
          <t>VÄRMLANDS LÄN</t>
        </is>
      </c>
      <c r="E1804" t="inlineStr">
        <is>
          <t>EDA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21974-2019</t>
        </is>
      </c>
      <c r="B1805" s="1" t="n">
        <v>43584</v>
      </c>
      <c r="C1805" s="1" t="n">
        <v>45353</v>
      </c>
      <c r="D1805" t="inlineStr">
        <is>
          <t>VÄRMLANDS LÄN</t>
        </is>
      </c>
      <c r="E1805" t="inlineStr">
        <is>
          <t>SÄFFLE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22019-2019</t>
        </is>
      </c>
      <c r="B1806" s="1" t="n">
        <v>43584</v>
      </c>
      <c r="C1806" s="1" t="n">
        <v>45353</v>
      </c>
      <c r="D1806" t="inlineStr">
        <is>
          <t>VÄRMLANDS LÄN</t>
        </is>
      </c>
      <c r="E1806" t="inlineStr">
        <is>
          <t>SUNNE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21965-2019</t>
        </is>
      </c>
      <c r="B1807" s="1" t="n">
        <v>43584</v>
      </c>
      <c r="C1807" s="1" t="n">
        <v>45353</v>
      </c>
      <c r="D1807" t="inlineStr">
        <is>
          <t>VÄRMLANDS LÄN</t>
        </is>
      </c>
      <c r="E1807" t="inlineStr">
        <is>
          <t>SÄFFLE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21871-2019</t>
        </is>
      </c>
      <c r="B1808" s="1" t="n">
        <v>43584</v>
      </c>
      <c r="C1808" s="1" t="n">
        <v>45353</v>
      </c>
      <c r="D1808" t="inlineStr">
        <is>
          <t>VÄRMLANDS LÄN</t>
        </is>
      </c>
      <c r="E1808" t="inlineStr">
        <is>
          <t>EDA</t>
        </is>
      </c>
      <c r="F1808" t="inlineStr">
        <is>
          <t>Bergvik skog väst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21958-2019</t>
        </is>
      </c>
      <c r="B1809" s="1" t="n">
        <v>43584</v>
      </c>
      <c r="C1809" s="1" t="n">
        <v>45353</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22116-2019</t>
        </is>
      </c>
      <c r="B1810" s="1" t="n">
        <v>43585</v>
      </c>
      <c r="C1810" s="1" t="n">
        <v>45353</v>
      </c>
      <c r="D1810" t="inlineStr">
        <is>
          <t>VÄRMLANDS LÄN</t>
        </is>
      </c>
      <c r="E1810" t="inlineStr">
        <is>
          <t>ÅRJÄNG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22194-2019</t>
        </is>
      </c>
      <c r="B1811" s="1" t="n">
        <v>43585</v>
      </c>
      <c r="C1811" s="1" t="n">
        <v>45353</v>
      </c>
      <c r="D1811" t="inlineStr">
        <is>
          <t>VÄRMLANDS LÄN</t>
        </is>
      </c>
      <c r="E1811" t="inlineStr">
        <is>
          <t>HAGFORS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22265-2019</t>
        </is>
      </c>
      <c r="B1812" s="1" t="n">
        <v>43585</v>
      </c>
      <c r="C1812" s="1" t="n">
        <v>45353</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22259-2019</t>
        </is>
      </c>
      <c r="B1813" s="1" t="n">
        <v>43585</v>
      </c>
      <c r="C1813" s="1" t="n">
        <v>45353</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22261-2019</t>
        </is>
      </c>
      <c r="B1814" s="1" t="n">
        <v>43585</v>
      </c>
      <c r="C1814" s="1" t="n">
        <v>45353</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22252-2019</t>
        </is>
      </c>
      <c r="B1815" s="1" t="n">
        <v>43585</v>
      </c>
      <c r="C1815" s="1" t="n">
        <v>45353</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22173-2019</t>
        </is>
      </c>
      <c r="B1816" s="1" t="n">
        <v>43585</v>
      </c>
      <c r="C1816" s="1" t="n">
        <v>45353</v>
      </c>
      <c r="D1816" t="inlineStr">
        <is>
          <t>VÄRMLANDS LÄN</t>
        </is>
      </c>
      <c r="E1816" t="inlineStr">
        <is>
          <t>ÅRJÄNG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22230-2019</t>
        </is>
      </c>
      <c r="B1817" s="1" t="n">
        <v>43585</v>
      </c>
      <c r="C1817" s="1" t="n">
        <v>45353</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22204-2019</t>
        </is>
      </c>
      <c r="B1818" s="1" t="n">
        <v>43585</v>
      </c>
      <c r="C1818" s="1" t="n">
        <v>45353</v>
      </c>
      <c r="D1818" t="inlineStr">
        <is>
          <t>VÄRMLANDS LÄN</t>
        </is>
      </c>
      <c r="E1818" t="inlineStr">
        <is>
          <t>HAGFORS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22158-2019</t>
        </is>
      </c>
      <c r="B1819" s="1" t="n">
        <v>43585</v>
      </c>
      <c r="C1819" s="1" t="n">
        <v>45353</v>
      </c>
      <c r="D1819" t="inlineStr">
        <is>
          <t>VÄRMLANDS LÄN</t>
        </is>
      </c>
      <c r="E1819" t="inlineStr">
        <is>
          <t>TORSBY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22513-2019</t>
        </is>
      </c>
      <c r="B1820" s="1" t="n">
        <v>43587</v>
      </c>
      <c r="C1820" s="1" t="n">
        <v>45353</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22386-2019</t>
        </is>
      </c>
      <c r="B1821" s="1" t="n">
        <v>43587</v>
      </c>
      <c r="C1821" s="1" t="n">
        <v>45353</v>
      </c>
      <c r="D1821" t="inlineStr">
        <is>
          <t>VÄRMLANDS LÄN</t>
        </is>
      </c>
      <c r="E1821" t="inlineStr">
        <is>
          <t>KARLSTAD</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22435-2019</t>
        </is>
      </c>
      <c r="B1822" s="1" t="n">
        <v>43587</v>
      </c>
      <c r="C1822" s="1" t="n">
        <v>45353</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22416-2019</t>
        </is>
      </c>
      <c r="B1823" s="1" t="n">
        <v>43587</v>
      </c>
      <c r="C1823" s="1" t="n">
        <v>45353</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22574-2019</t>
        </is>
      </c>
      <c r="B1824" s="1" t="n">
        <v>43587</v>
      </c>
      <c r="C1824" s="1" t="n">
        <v>45353</v>
      </c>
      <c r="D1824" t="inlineStr">
        <is>
          <t>VÄRMLANDS LÄN</t>
        </is>
      </c>
      <c r="E1824" t="inlineStr">
        <is>
          <t>HAGFORS</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22342-2019</t>
        </is>
      </c>
      <c r="B1825" s="1" t="n">
        <v>43587</v>
      </c>
      <c r="C1825" s="1" t="n">
        <v>45353</v>
      </c>
      <c r="D1825" t="inlineStr">
        <is>
          <t>VÄRMLANDS LÄN</t>
        </is>
      </c>
      <c r="E1825" t="inlineStr">
        <is>
          <t>GRUMS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22387-2019</t>
        </is>
      </c>
      <c r="B1826" s="1" t="n">
        <v>43587</v>
      </c>
      <c r="C1826" s="1" t="n">
        <v>45353</v>
      </c>
      <c r="D1826" t="inlineStr">
        <is>
          <t>VÄRMLANDS LÄN</t>
        </is>
      </c>
      <c r="E1826" t="inlineStr">
        <is>
          <t>SUNNE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22351-2019</t>
        </is>
      </c>
      <c r="B1827" s="1" t="n">
        <v>43587</v>
      </c>
      <c r="C1827" s="1" t="n">
        <v>45353</v>
      </c>
      <c r="D1827" t="inlineStr">
        <is>
          <t>VÄRMLANDS LÄN</t>
        </is>
      </c>
      <c r="E1827" t="inlineStr">
        <is>
          <t>TORSBY</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22657-2019</t>
        </is>
      </c>
      <c r="B1828" s="1" t="n">
        <v>43588</v>
      </c>
      <c r="C1828" s="1" t="n">
        <v>45353</v>
      </c>
      <c r="D1828" t="inlineStr">
        <is>
          <t>VÄRMLANDS LÄN</t>
        </is>
      </c>
      <c r="E1828" t="inlineStr">
        <is>
          <t>GRUMS</t>
        </is>
      </c>
      <c r="F1828" t="inlineStr">
        <is>
          <t>Bergvik skog väst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22724-2019</t>
        </is>
      </c>
      <c r="B1829" s="1" t="n">
        <v>43588</v>
      </c>
      <c r="C1829" s="1" t="n">
        <v>45353</v>
      </c>
      <c r="D1829" t="inlineStr">
        <is>
          <t>VÄRMLANDS LÄN</t>
        </is>
      </c>
      <c r="E1829" t="inlineStr">
        <is>
          <t>STORFORS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22692-2019</t>
        </is>
      </c>
      <c r="B1830" s="1" t="n">
        <v>43588</v>
      </c>
      <c r="C1830" s="1" t="n">
        <v>45353</v>
      </c>
      <c r="D1830" t="inlineStr">
        <is>
          <t>VÄRMLANDS LÄN</t>
        </is>
      </c>
      <c r="E1830" t="inlineStr">
        <is>
          <t>TORSBY</t>
        </is>
      </c>
      <c r="F1830" t="inlineStr">
        <is>
          <t>Bergvik skog väst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22717-2019</t>
        </is>
      </c>
      <c r="B1831" s="1" t="n">
        <v>43588</v>
      </c>
      <c r="C1831" s="1" t="n">
        <v>45353</v>
      </c>
      <c r="D1831" t="inlineStr">
        <is>
          <t>VÄRMLANDS LÄN</t>
        </is>
      </c>
      <c r="E1831" t="inlineStr">
        <is>
          <t>TORSBY</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22700-2019</t>
        </is>
      </c>
      <c r="B1832" s="1" t="n">
        <v>43588</v>
      </c>
      <c r="C1832" s="1" t="n">
        <v>45353</v>
      </c>
      <c r="D1832" t="inlineStr">
        <is>
          <t>VÄRMLANDS LÄN</t>
        </is>
      </c>
      <c r="E1832" t="inlineStr">
        <is>
          <t>KARLSTAD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22773-2019</t>
        </is>
      </c>
      <c r="B1833" s="1" t="n">
        <v>43588</v>
      </c>
      <c r="C1833" s="1" t="n">
        <v>45353</v>
      </c>
      <c r="D1833" t="inlineStr">
        <is>
          <t>VÄRMLANDS LÄN</t>
        </is>
      </c>
      <c r="E1833" t="inlineStr">
        <is>
          <t>EDA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22774-2019</t>
        </is>
      </c>
      <c r="B1834" s="1" t="n">
        <v>43588</v>
      </c>
      <c r="C1834" s="1" t="n">
        <v>45353</v>
      </c>
      <c r="D1834" t="inlineStr">
        <is>
          <t>VÄRMLANDS LÄN</t>
        </is>
      </c>
      <c r="E1834" t="inlineStr">
        <is>
          <t>EDA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22641-2019</t>
        </is>
      </c>
      <c r="B1835" s="1" t="n">
        <v>43588</v>
      </c>
      <c r="C1835" s="1" t="n">
        <v>45353</v>
      </c>
      <c r="D1835" t="inlineStr">
        <is>
          <t>VÄRMLANDS LÄN</t>
        </is>
      </c>
      <c r="E1835" t="inlineStr">
        <is>
          <t>SUNNE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22654-2019</t>
        </is>
      </c>
      <c r="B1836" s="1" t="n">
        <v>43588</v>
      </c>
      <c r="C1836" s="1" t="n">
        <v>45353</v>
      </c>
      <c r="D1836" t="inlineStr">
        <is>
          <t>VÄRMLANDS LÄN</t>
        </is>
      </c>
      <c r="E1836" t="inlineStr">
        <is>
          <t>GRUMS</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22775-2019</t>
        </is>
      </c>
      <c r="B1837" s="1" t="n">
        <v>43588</v>
      </c>
      <c r="C1837" s="1" t="n">
        <v>45353</v>
      </c>
      <c r="D1837" t="inlineStr">
        <is>
          <t>VÄRMLANDS LÄN</t>
        </is>
      </c>
      <c r="E1837" t="inlineStr">
        <is>
          <t>EDA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22795-2019</t>
        </is>
      </c>
      <c r="B1838" s="1" t="n">
        <v>43589</v>
      </c>
      <c r="C1838" s="1" t="n">
        <v>45353</v>
      </c>
      <c r="D1838" t="inlineStr">
        <is>
          <t>VÄRMLANDS LÄN</t>
        </is>
      </c>
      <c r="E1838" t="inlineStr">
        <is>
          <t>EDA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22794-2019</t>
        </is>
      </c>
      <c r="B1839" s="1" t="n">
        <v>43589</v>
      </c>
      <c r="C1839" s="1" t="n">
        <v>45353</v>
      </c>
      <c r="D1839" t="inlineStr">
        <is>
          <t>VÄRMLANDS LÄN</t>
        </is>
      </c>
      <c r="E1839" t="inlineStr">
        <is>
          <t>EDA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22815-2019</t>
        </is>
      </c>
      <c r="B1840" s="1" t="n">
        <v>43590</v>
      </c>
      <c r="C1840" s="1" t="n">
        <v>45353</v>
      </c>
      <c r="D1840" t="inlineStr">
        <is>
          <t>VÄRMLANDS LÄN</t>
        </is>
      </c>
      <c r="E1840" t="inlineStr">
        <is>
          <t>KIL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22813-2019</t>
        </is>
      </c>
      <c r="B1841" s="1" t="n">
        <v>43590</v>
      </c>
      <c r="C1841" s="1" t="n">
        <v>45353</v>
      </c>
      <c r="D1841" t="inlineStr">
        <is>
          <t>VÄRMLANDS LÄN</t>
        </is>
      </c>
      <c r="E1841" t="inlineStr">
        <is>
          <t>KIL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22816-2019</t>
        </is>
      </c>
      <c r="B1842" s="1" t="n">
        <v>43590</v>
      </c>
      <c r="C1842" s="1" t="n">
        <v>45353</v>
      </c>
      <c r="D1842" t="inlineStr">
        <is>
          <t>VÄRMLANDS LÄN</t>
        </is>
      </c>
      <c r="E1842" t="inlineStr">
        <is>
          <t>KIL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22840-2019</t>
        </is>
      </c>
      <c r="B1843" s="1" t="n">
        <v>43591</v>
      </c>
      <c r="C1843" s="1" t="n">
        <v>45353</v>
      </c>
      <c r="D1843" t="inlineStr">
        <is>
          <t>VÄRMLANDS LÄN</t>
        </is>
      </c>
      <c r="E1843" t="inlineStr">
        <is>
          <t>GRUMS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22869-2019</t>
        </is>
      </c>
      <c r="B1844" s="1" t="n">
        <v>43591</v>
      </c>
      <c r="C1844" s="1" t="n">
        <v>45353</v>
      </c>
      <c r="D1844" t="inlineStr">
        <is>
          <t>VÄRMLANDS LÄN</t>
        </is>
      </c>
      <c r="E1844" t="inlineStr">
        <is>
          <t>KARLSTAD</t>
        </is>
      </c>
      <c r="F1844" t="inlineStr">
        <is>
          <t>Kommuner</t>
        </is>
      </c>
      <c r="G1844" t="n">
        <v>13.1</v>
      </c>
      <c r="H1844" t="n">
        <v>0</v>
      </c>
      <c r="I1844" t="n">
        <v>0</v>
      </c>
      <c r="J1844" t="n">
        <v>0</v>
      </c>
      <c r="K1844" t="n">
        <v>0</v>
      </c>
      <c r="L1844" t="n">
        <v>0</v>
      </c>
      <c r="M1844" t="n">
        <v>0</v>
      </c>
      <c r="N1844" t="n">
        <v>0</v>
      </c>
      <c r="O1844" t="n">
        <v>0</v>
      </c>
      <c r="P1844" t="n">
        <v>0</v>
      </c>
      <c r="Q1844" t="n">
        <v>0</v>
      </c>
      <c r="R1844" s="2" t="inlineStr"/>
      <c r="U1844">
        <f>HYPERLINK("https://klasma.github.io/Logging_1780/knärot/A 22869-2019 karta knärot.png", "A 22869-2019")</f>
        <v/>
      </c>
      <c r="V1844">
        <f>HYPERLINK("https://klasma.github.io/Logging_1780/klagomål/A 22869-2019 FSC-klagomål.docx", "A 22869-2019")</f>
        <v/>
      </c>
      <c r="W1844">
        <f>HYPERLINK("https://klasma.github.io/Logging_1780/klagomålsmail/A 22869-2019 FSC-klagomål mail.docx", "A 22869-2019")</f>
        <v/>
      </c>
      <c r="X1844">
        <f>HYPERLINK("https://klasma.github.io/Logging_1780/tillsyn/A 22869-2019 tillsynsbegäran.docx", "A 22869-2019")</f>
        <v/>
      </c>
      <c r="Y1844">
        <f>HYPERLINK("https://klasma.github.io/Logging_1780/tillsynsmail/A 22869-2019 tillsynsbegäran mail.docx", "A 22869-2019")</f>
        <v/>
      </c>
    </row>
    <row r="1845" ht="15" customHeight="1">
      <c r="A1845" t="inlineStr">
        <is>
          <t>A 22914-2019</t>
        </is>
      </c>
      <c r="B1845" s="1" t="n">
        <v>43591</v>
      </c>
      <c r="C1845" s="1" t="n">
        <v>45353</v>
      </c>
      <c r="D1845" t="inlineStr">
        <is>
          <t>VÄRMLANDS LÄN</t>
        </is>
      </c>
      <c r="E1845" t="inlineStr">
        <is>
          <t>KARLSTAD</t>
        </is>
      </c>
      <c r="F1845" t="inlineStr">
        <is>
          <t>Bergvik skog väst AB</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22986-2019</t>
        </is>
      </c>
      <c r="B1846" s="1" t="n">
        <v>43591</v>
      </c>
      <c r="C1846" s="1" t="n">
        <v>45353</v>
      </c>
      <c r="D1846" t="inlineStr">
        <is>
          <t>VÄRMLANDS LÄN</t>
        </is>
      </c>
      <c r="E1846" t="inlineStr">
        <is>
          <t>HAGFORS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23251-2019</t>
        </is>
      </c>
      <c r="B1847" s="1" t="n">
        <v>43591</v>
      </c>
      <c r="C1847" s="1" t="n">
        <v>45353</v>
      </c>
      <c r="D1847" t="inlineStr">
        <is>
          <t>VÄRMLANDS LÄN</t>
        </is>
      </c>
      <c r="E1847" t="inlineStr">
        <is>
          <t>HAGFORS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23255-2019</t>
        </is>
      </c>
      <c r="B1848" s="1" t="n">
        <v>43591</v>
      </c>
      <c r="C1848" s="1" t="n">
        <v>45353</v>
      </c>
      <c r="D1848" t="inlineStr">
        <is>
          <t>VÄRMLANDS LÄN</t>
        </is>
      </c>
      <c r="E1848" t="inlineStr">
        <is>
          <t>SUNNE</t>
        </is>
      </c>
      <c r="F1848" t="inlineStr">
        <is>
          <t>Kyrkan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23023-2019</t>
        </is>
      </c>
      <c r="B1849" s="1" t="n">
        <v>43591</v>
      </c>
      <c r="C1849" s="1" t="n">
        <v>45353</v>
      </c>
      <c r="D1849" t="inlineStr">
        <is>
          <t>VÄRMLANDS LÄN</t>
        </is>
      </c>
      <c r="E1849" t="inlineStr">
        <is>
          <t>FILIPSTAD</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23045-2019</t>
        </is>
      </c>
      <c r="B1850" s="1" t="n">
        <v>43591</v>
      </c>
      <c r="C1850" s="1" t="n">
        <v>45353</v>
      </c>
      <c r="D1850" t="inlineStr">
        <is>
          <t>VÄRMLANDS LÄN</t>
        </is>
      </c>
      <c r="E1850" t="inlineStr">
        <is>
          <t>KARLSTAD</t>
        </is>
      </c>
      <c r="F1850" t="inlineStr">
        <is>
          <t>Kommuner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23242-2019</t>
        </is>
      </c>
      <c r="B1851" s="1" t="n">
        <v>43591</v>
      </c>
      <c r="C1851" s="1" t="n">
        <v>45353</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23340-2019</t>
        </is>
      </c>
      <c r="B1852" s="1" t="n">
        <v>43591</v>
      </c>
      <c r="C1852" s="1" t="n">
        <v>45353</v>
      </c>
      <c r="D1852" t="inlineStr">
        <is>
          <t>VÄRMLANDS LÄN</t>
        </is>
      </c>
      <c r="E1852" t="inlineStr">
        <is>
          <t>SÄFFLE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23032-2019</t>
        </is>
      </c>
      <c r="B1853" s="1" t="n">
        <v>43591</v>
      </c>
      <c r="C1853" s="1" t="n">
        <v>45353</v>
      </c>
      <c r="D1853" t="inlineStr">
        <is>
          <t>VÄRMLANDS LÄN</t>
        </is>
      </c>
      <c r="E1853" t="inlineStr">
        <is>
          <t>FORSHAGA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22841-2019</t>
        </is>
      </c>
      <c r="B1854" s="1" t="n">
        <v>43591</v>
      </c>
      <c r="C1854" s="1" t="n">
        <v>45353</v>
      </c>
      <c r="D1854" t="inlineStr">
        <is>
          <t>VÄRMLANDS LÄN</t>
        </is>
      </c>
      <c r="E1854" t="inlineStr">
        <is>
          <t>KARLSTAD</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23266-2019</t>
        </is>
      </c>
      <c r="B1855" s="1" t="n">
        <v>43592</v>
      </c>
      <c r="C1855" s="1" t="n">
        <v>45353</v>
      </c>
      <c r="D1855" t="inlineStr">
        <is>
          <t>VÄRMLANDS LÄN</t>
        </is>
      </c>
      <c r="E1855" t="inlineStr">
        <is>
          <t>FORSHAGA</t>
        </is>
      </c>
      <c r="F1855" t="inlineStr">
        <is>
          <t>Bergvik skog väst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23122-2019</t>
        </is>
      </c>
      <c r="B1856" s="1" t="n">
        <v>43592</v>
      </c>
      <c r="C1856" s="1" t="n">
        <v>45353</v>
      </c>
      <c r="D1856" t="inlineStr">
        <is>
          <t>VÄRMLANDS LÄN</t>
        </is>
      </c>
      <c r="E1856" t="inlineStr">
        <is>
          <t>ARVIKA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23274-2019</t>
        </is>
      </c>
      <c r="B1857" s="1" t="n">
        <v>43592</v>
      </c>
      <c r="C1857" s="1" t="n">
        <v>45353</v>
      </c>
      <c r="D1857" t="inlineStr">
        <is>
          <t>VÄRMLANDS LÄN</t>
        </is>
      </c>
      <c r="E1857" t="inlineStr">
        <is>
          <t>SUNNE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24285-2019</t>
        </is>
      </c>
      <c r="B1858" s="1" t="n">
        <v>43593</v>
      </c>
      <c r="C1858" s="1" t="n">
        <v>45353</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23412-2019</t>
        </is>
      </c>
      <c r="B1859" s="1" t="n">
        <v>43593</v>
      </c>
      <c r="C1859" s="1" t="n">
        <v>45353</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23555-2019</t>
        </is>
      </c>
      <c r="B1860" s="1" t="n">
        <v>43594</v>
      </c>
      <c r="C1860" s="1" t="n">
        <v>45353</v>
      </c>
      <c r="D1860" t="inlineStr">
        <is>
          <t>VÄRMLANDS LÄN</t>
        </is>
      </c>
      <c r="E1860" t="inlineStr">
        <is>
          <t>ÅRJÄNG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23573-2019</t>
        </is>
      </c>
      <c r="B1861" s="1" t="n">
        <v>43594</v>
      </c>
      <c r="C1861" s="1" t="n">
        <v>45353</v>
      </c>
      <c r="D1861" t="inlineStr">
        <is>
          <t>VÄRMLANDS LÄN</t>
        </is>
      </c>
      <c r="E1861" t="inlineStr">
        <is>
          <t>ÅRJÄNG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23600-2019</t>
        </is>
      </c>
      <c r="B1862" s="1" t="n">
        <v>43594</v>
      </c>
      <c r="C1862" s="1" t="n">
        <v>45353</v>
      </c>
      <c r="D1862" t="inlineStr">
        <is>
          <t>VÄRMLANDS LÄN</t>
        </is>
      </c>
      <c r="E1862" t="inlineStr">
        <is>
          <t>ÅRJÄNG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23641-2019</t>
        </is>
      </c>
      <c r="B1863" s="1" t="n">
        <v>43594</v>
      </c>
      <c r="C1863" s="1" t="n">
        <v>45353</v>
      </c>
      <c r="D1863" t="inlineStr">
        <is>
          <t>VÄRMLANDS LÄN</t>
        </is>
      </c>
      <c r="E1863" t="inlineStr">
        <is>
          <t>SÄFFLE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23685-2019</t>
        </is>
      </c>
      <c r="B1864" s="1" t="n">
        <v>43594</v>
      </c>
      <c r="C1864" s="1" t="n">
        <v>45353</v>
      </c>
      <c r="D1864" t="inlineStr">
        <is>
          <t>VÄRMLANDS LÄN</t>
        </is>
      </c>
      <c r="E1864" t="inlineStr">
        <is>
          <t>KRISTINEHAMN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23715-2019</t>
        </is>
      </c>
      <c r="B1865" s="1" t="n">
        <v>43594</v>
      </c>
      <c r="C1865" s="1" t="n">
        <v>45353</v>
      </c>
      <c r="D1865" t="inlineStr">
        <is>
          <t>VÄRMLANDS LÄN</t>
        </is>
      </c>
      <c r="E1865" t="inlineStr">
        <is>
          <t>ÅRJÄNG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24798-2019</t>
        </is>
      </c>
      <c r="B1866" s="1" t="n">
        <v>43594</v>
      </c>
      <c r="C1866" s="1" t="n">
        <v>45353</v>
      </c>
      <c r="D1866" t="inlineStr">
        <is>
          <t>VÄRMLANDS LÄN</t>
        </is>
      </c>
      <c r="E1866" t="inlineStr">
        <is>
          <t>SÄFFLE</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24816-2019</t>
        </is>
      </c>
      <c r="B1867" s="1" t="n">
        <v>43594</v>
      </c>
      <c r="C1867" s="1" t="n">
        <v>45353</v>
      </c>
      <c r="D1867" t="inlineStr">
        <is>
          <t>VÄRMLANDS LÄN</t>
        </is>
      </c>
      <c r="E1867" t="inlineStr">
        <is>
          <t>SÄFFLE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24799-2019</t>
        </is>
      </c>
      <c r="B1868" s="1" t="n">
        <v>43594</v>
      </c>
      <c r="C1868" s="1" t="n">
        <v>45353</v>
      </c>
      <c r="D1868" t="inlineStr">
        <is>
          <t>VÄRMLANDS LÄN</t>
        </is>
      </c>
      <c r="E1868" t="inlineStr">
        <is>
          <t>SÄFFLE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23716-2019</t>
        </is>
      </c>
      <c r="B1869" s="1" t="n">
        <v>43594</v>
      </c>
      <c r="C1869" s="1" t="n">
        <v>45353</v>
      </c>
      <c r="D1869" t="inlineStr">
        <is>
          <t>VÄRMLANDS LÄN</t>
        </is>
      </c>
      <c r="E1869" t="inlineStr">
        <is>
          <t>ÅRJÄNG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24812-2019</t>
        </is>
      </c>
      <c r="B1870" s="1" t="n">
        <v>43594</v>
      </c>
      <c r="C1870" s="1" t="n">
        <v>45353</v>
      </c>
      <c r="D1870" t="inlineStr">
        <is>
          <t>VÄRMLANDS LÄN</t>
        </is>
      </c>
      <c r="E1870" t="inlineStr">
        <is>
          <t>SÄFFLE</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23646-2019</t>
        </is>
      </c>
      <c r="B1871" s="1" t="n">
        <v>43594</v>
      </c>
      <c r="C1871" s="1" t="n">
        <v>45353</v>
      </c>
      <c r="D1871" t="inlineStr">
        <is>
          <t>VÄRMLANDS LÄN</t>
        </is>
      </c>
      <c r="E1871" t="inlineStr">
        <is>
          <t>ARVIKA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23570-2019</t>
        </is>
      </c>
      <c r="B1872" s="1" t="n">
        <v>43594</v>
      </c>
      <c r="C1872" s="1" t="n">
        <v>45353</v>
      </c>
      <c r="D1872" t="inlineStr">
        <is>
          <t>VÄRMLANDS LÄN</t>
        </is>
      </c>
      <c r="E1872" t="inlineStr">
        <is>
          <t>ÅRJÄNG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23658-2019</t>
        </is>
      </c>
      <c r="B1873" s="1" t="n">
        <v>43594</v>
      </c>
      <c r="C1873" s="1" t="n">
        <v>45353</v>
      </c>
      <c r="D1873" t="inlineStr">
        <is>
          <t>VÄRMLANDS LÄN</t>
        </is>
      </c>
      <c r="E1873" t="inlineStr">
        <is>
          <t>SÄFFLE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24804-2019</t>
        </is>
      </c>
      <c r="B1874" s="1" t="n">
        <v>43594</v>
      </c>
      <c r="C1874" s="1" t="n">
        <v>45353</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24684-2019</t>
        </is>
      </c>
      <c r="B1875" s="1" t="n">
        <v>43594</v>
      </c>
      <c r="C1875" s="1" t="n">
        <v>45353</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24808-2019</t>
        </is>
      </c>
      <c r="B1876" s="1" t="n">
        <v>43594</v>
      </c>
      <c r="C1876" s="1" t="n">
        <v>45353</v>
      </c>
      <c r="D1876" t="inlineStr">
        <is>
          <t>VÄRMLANDS LÄN</t>
        </is>
      </c>
      <c r="E1876" t="inlineStr">
        <is>
          <t>SÄFFLE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24795-2019</t>
        </is>
      </c>
      <c r="B1877" s="1" t="n">
        <v>43594</v>
      </c>
      <c r="C1877" s="1" t="n">
        <v>45353</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23900-2019</t>
        </is>
      </c>
      <c r="B1878" s="1" t="n">
        <v>43595</v>
      </c>
      <c r="C1878" s="1" t="n">
        <v>45353</v>
      </c>
      <c r="D1878" t="inlineStr">
        <is>
          <t>VÄRMLANDS LÄN</t>
        </is>
      </c>
      <c r="E1878" t="inlineStr">
        <is>
          <t>KARLSTAD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23892-2019</t>
        </is>
      </c>
      <c r="B1879" s="1" t="n">
        <v>43595</v>
      </c>
      <c r="C1879" s="1" t="n">
        <v>45353</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23893-2019</t>
        </is>
      </c>
      <c r="B1880" s="1" t="n">
        <v>43595</v>
      </c>
      <c r="C1880" s="1" t="n">
        <v>45353</v>
      </c>
      <c r="D1880" t="inlineStr">
        <is>
          <t>VÄRMLANDS LÄN</t>
        </is>
      </c>
      <c r="E1880" t="inlineStr">
        <is>
          <t>SUNNE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23771-2019</t>
        </is>
      </c>
      <c r="B1881" s="1" t="n">
        <v>43595</v>
      </c>
      <c r="C1881" s="1" t="n">
        <v>45353</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24236-2019</t>
        </is>
      </c>
      <c r="B1882" s="1" t="n">
        <v>43596</v>
      </c>
      <c r="C1882" s="1" t="n">
        <v>45353</v>
      </c>
      <c r="D1882" t="inlineStr">
        <is>
          <t>VÄRMLANDS LÄN</t>
        </is>
      </c>
      <c r="E1882" t="inlineStr">
        <is>
          <t>ARVIKA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24238-2019</t>
        </is>
      </c>
      <c r="B1883" s="1" t="n">
        <v>43596</v>
      </c>
      <c r="C1883" s="1" t="n">
        <v>45353</v>
      </c>
      <c r="D1883" t="inlineStr">
        <is>
          <t>VÄRMLANDS LÄN</t>
        </is>
      </c>
      <c r="E1883" t="inlineStr">
        <is>
          <t>KIL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24240-2019</t>
        </is>
      </c>
      <c r="B1884" s="1" t="n">
        <v>43596</v>
      </c>
      <c r="C1884" s="1" t="n">
        <v>45353</v>
      </c>
      <c r="D1884" t="inlineStr">
        <is>
          <t>VÄRMLANDS LÄN</t>
        </is>
      </c>
      <c r="E1884" t="inlineStr">
        <is>
          <t>ARVIKA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24235-2019</t>
        </is>
      </c>
      <c r="B1885" s="1" t="n">
        <v>43596</v>
      </c>
      <c r="C1885" s="1" t="n">
        <v>45353</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24249-2019</t>
        </is>
      </c>
      <c r="B1886" s="1" t="n">
        <v>43596</v>
      </c>
      <c r="C1886" s="1" t="n">
        <v>45353</v>
      </c>
      <c r="D1886" t="inlineStr">
        <is>
          <t>VÄRMLANDS LÄN</t>
        </is>
      </c>
      <c r="E1886" t="inlineStr">
        <is>
          <t>ARVIKA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24110-2019</t>
        </is>
      </c>
      <c r="B1887" s="1" t="n">
        <v>43598</v>
      </c>
      <c r="C1887" s="1" t="n">
        <v>45353</v>
      </c>
      <c r="D1887" t="inlineStr">
        <is>
          <t>VÄRMLANDS LÄN</t>
        </is>
      </c>
      <c r="E1887" t="inlineStr">
        <is>
          <t>SÄFFLE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24136-2019</t>
        </is>
      </c>
      <c r="B1888" s="1" t="n">
        <v>43598</v>
      </c>
      <c r="C1888" s="1" t="n">
        <v>45353</v>
      </c>
      <c r="D1888" t="inlineStr">
        <is>
          <t>VÄRMLANDS LÄN</t>
        </is>
      </c>
      <c r="E1888" t="inlineStr">
        <is>
          <t>HAGFORS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24130-2019</t>
        </is>
      </c>
      <c r="B1889" s="1" t="n">
        <v>43598</v>
      </c>
      <c r="C1889" s="1" t="n">
        <v>45353</v>
      </c>
      <c r="D1889" t="inlineStr">
        <is>
          <t>VÄRMLANDS LÄN</t>
        </is>
      </c>
      <c r="E1889" t="inlineStr">
        <is>
          <t>HAGFORS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24288-2019</t>
        </is>
      </c>
      <c r="B1890" s="1" t="n">
        <v>43598</v>
      </c>
      <c r="C1890" s="1" t="n">
        <v>45353</v>
      </c>
      <c r="D1890" t="inlineStr">
        <is>
          <t>VÄRMLANDS LÄN</t>
        </is>
      </c>
      <c r="E1890" t="inlineStr">
        <is>
          <t>KIL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24002-2019</t>
        </is>
      </c>
      <c r="B1891" s="1" t="n">
        <v>43598</v>
      </c>
      <c r="C1891" s="1" t="n">
        <v>45353</v>
      </c>
      <c r="D1891" t="inlineStr">
        <is>
          <t>VÄRMLANDS LÄN</t>
        </is>
      </c>
      <c r="E1891" t="inlineStr">
        <is>
          <t>KARLSTAD</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24178-2019</t>
        </is>
      </c>
      <c r="B1892" s="1" t="n">
        <v>43598</v>
      </c>
      <c r="C1892" s="1" t="n">
        <v>45353</v>
      </c>
      <c r="D1892" t="inlineStr">
        <is>
          <t>VÄRMLANDS LÄN</t>
        </is>
      </c>
      <c r="E1892" t="inlineStr">
        <is>
          <t>SÄFFLE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24282-2019</t>
        </is>
      </c>
      <c r="B1893" s="1" t="n">
        <v>43598</v>
      </c>
      <c r="C1893" s="1" t="n">
        <v>45353</v>
      </c>
      <c r="D1893" t="inlineStr">
        <is>
          <t>VÄRMLANDS LÄN</t>
        </is>
      </c>
      <c r="E1893" t="inlineStr">
        <is>
          <t>SÄFFLE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24280-2019</t>
        </is>
      </c>
      <c r="B1894" s="1" t="n">
        <v>43598</v>
      </c>
      <c r="C1894" s="1" t="n">
        <v>45353</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24337-2019</t>
        </is>
      </c>
      <c r="B1895" s="1" t="n">
        <v>43598</v>
      </c>
      <c r="C1895" s="1" t="n">
        <v>45353</v>
      </c>
      <c r="D1895" t="inlineStr">
        <is>
          <t>VÄRMLANDS LÄN</t>
        </is>
      </c>
      <c r="E1895" t="inlineStr">
        <is>
          <t>ÅRJÄNG</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24000-2019</t>
        </is>
      </c>
      <c r="B1896" s="1" t="n">
        <v>43598</v>
      </c>
      <c r="C1896" s="1" t="n">
        <v>45353</v>
      </c>
      <c r="D1896" t="inlineStr">
        <is>
          <t>VÄRMLANDS LÄN</t>
        </is>
      </c>
      <c r="E1896" t="inlineStr">
        <is>
          <t>EDA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24028-2019</t>
        </is>
      </c>
      <c r="B1897" s="1" t="n">
        <v>43598</v>
      </c>
      <c r="C1897" s="1" t="n">
        <v>45353</v>
      </c>
      <c r="D1897" t="inlineStr">
        <is>
          <t>VÄRMLANDS LÄN</t>
        </is>
      </c>
      <c r="E1897" t="inlineStr">
        <is>
          <t>KARLSTAD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24059-2019</t>
        </is>
      </c>
      <c r="B1898" s="1" t="n">
        <v>43598</v>
      </c>
      <c r="C1898" s="1" t="n">
        <v>45353</v>
      </c>
      <c r="D1898" t="inlineStr">
        <is>
          <t>VÄRMLANDS LÄN</t>
        </is>
      </c>
      <c r="E1898" t="inlineStr">
        <is>
          <t>SÄFFLE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24215-2019</t>
        </is>
      </c>
      <c r="B1899" s="1" t="n">
        <v>43599</v>
      </c>
      <c r="C1899" s="1" t="n">
        <v>45353</v>
      </c>
      <c r="D1899" t="inlineStr">
        <is>
          <t>VÄRMLANDS LÄN</t>
        </is>
      </c>
      <c r="E1899" t="inlineStr">
        <is>
          <t>FORSHAGA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24289-2019</t>
        </is>
      </c>
      <c r="B1900" s="1" t="n">
        <v>43599</v>
      </c>
      <c r="C1900" s="1" t="n">
        <v>45353</v>
      </c>
      <c r="D1900" t="inlineStr">
        <is>
          <t>VÄRMLANDS LÄN</t>
        </is>
      </c>
      <c r="E1900" t="inlineStr">
        <is>
          <t>KIL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24667-2019</t>
        </is>
      </c>
      <c r="B1901" s="1" t="n">
        <v>43599</v>
      </c>
      <c r="C1901" s="1" t="n">
        <v>45353</v>
      </c>
      <c r="D1901" t="inlineStr">
        <is>
          <t>VÄRMLANDS LÄN</t>
        </is>
      </c>
      <c r="E1901" t="inlineStr">
        <is>
          <t>TORSBY</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24348-2019</t>
        </is>
      </c>
      <c r="B1902" s="1" t="n">
        <v>43599</v>
      </c>
      <c r="C1902" s="1" t="n">
        <v>45353</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24290-2019</t>
        </is>
      </c>
      <c r="B1903" s="1" t="n">
        <v>43599</v>
      </c>
      <c r="C1903" s="1" t="n">
        <v>45353</v>
      </c>
      <c r="D1903" t="inlineStr">
        <is>
          <t>VÄRMLANDS LÄN</t>
        </is>
      </c>
      <c r="E1903" t="inlineStr">
        <is>
          <t>GRUMS</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24423-2019</t>
        </is>
      </c>
      <c r="B1904" s="1" t="n">
        <v>43599</v>
      </c>
      <c r="C1904" s="1" t="n">
        <v>45353</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24412-2019</t>
        </is>
      </c>
      <c r="B1905" s="1" t="n">
        <v>43600</v>
      </c>
      <c r="C1905" s="1" t="n">
        <v>45353</v>
      </c>
      <c r="D1905" t="inlineStr">
        <is>
          <t>VÄRMLANDS LÄN</t>
        </is>
      </c>
      <c r="E1905" t="inlineStr">
        <is>
          <t>EDA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24400-2019</t>
        </is>
      </c>
      <c r="B1906" s="1" t="n">
        <v>43600</v>
      </c>
      <c r="C1906" s="1" t="n">
        <v>45353</v>
      </c>
      <c r="D1906" t="inlineStr">
        <is>
          <t>VÄRMLANDS LÄN</t>
        </is>
      </c>
      <c r="E1906" t="inlineStr">
        <is>
          <t>KARLSTAD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24414-2019</t>
        </is>
      </c>
      <c r="B1907" s="1" t="n">
        <v>43600</v>
      </c>
      <c r="C1907" s="1" t="n">
        <v>45353</v>
      </c>
      <c r="D1907" t="inlineStr">
        <is>
          <t>VÄRMLANDS LÄN</t>
        </is>
      </c>
      <c r="E1907" t="inlineStr">
        <is>
          <t>ARVIKA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24521-2019</t>
        </is>
      </c>
      <c r="B1908" s="1" t="n">
        <v>43600</v>
      </c>
      <c r="C1908" s="1" t="n">
        <v>45353</v>
      </c>
      <c r="D1908" t="inlineStr">
        <is>
          <t>VÄRMLANDS LÄN</t>
        </is>
      </c>
      <c r="E1908" t="inlineStr">
        <is>
          <t>KIL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24468-2019</t>
        </is>
      </c>
      <c r="B1909" s="1" t="n">
        <v>43600</v>
      </c>
      <c r="C1909" s="1" t="n">
        <v>45353</v>
      </c>
      <c r="D1909" t="inlineStr">
        <is>
          <t>VÄRMLANDS LÄN</t>
        </is>
      </c>
      <c r="E1909" t="inlineStr">
        <is>
          <t>ARVIKA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24401-2019</t>
        </is>
      </c>
      <c r="B1910" s="1" t="n">
        <v>43600</v>
      </c>
      <c r="C1910" s="1" t="n">
        <v>45353</v>
      </c>
      <c r="D1910" t="inlineStr">
        <is>
          <t>VÄRMLANDS LÄN</t>
        </is>
      </c>
      <c r="E1910" t="inlineStr">
        <is>
          <t>KARLSTAD</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25207-2019</t>
        </is>
      </c>
      <c r="B1911" s="1" t="n">
        <v>43600</v>
      </c>
      <c r="C1911" s="1" t="n">
        <v>45353</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24733-2019</t>
        </is>
      </c>
      <c r="B1912" s="1" t="n">
        <v>43601</v>
      </c>
      <c r="C1912" s="1" t="n">
        <v>45353</v>
      </c>
      <c r="D1912" t="inlineStr">
        <is>
          <t>VÄRMLANDS LÄN</t>
        </is>
      </c>
      <c r="E1912" t="inlineStr">
        <is>
          <t>GRUMS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24703-2019</t>
        </is>
      </c>
      <c r="B1913" s="1" t="n">
        <v>43601</v>
      </c>
      <c r="C1913" s="1" t="n">
        <v>45353</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24687-2019</t>
        </is>
      </c>
      <c r="B1914" s="1" t="n">
        <v>43601</v>
      </c>
      <c r="C1914" s="1" t="n">
        <v>45353</v>
      </c>
      <c r="D1914" t="inlineStr">
        <is>
          <t>VÄRMLANDS LÄN</t>
        </is>
      </c>
      <c r="E1914" t="inlineStr">
        <is>
          <t>ARVIKA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24624-2019</t>
        </is>
      </c>
      <c r="B1915" s="1" t="n">
        <v>43601</v>
      </c>
      <c r="C1915" s="1" t="n">
        <v>45353</v>
      </c>
      <c r="D1915" t="inlineStr">
        <is>
          <t>VÄRMLANDS LÄN</t>
        </is>
      </c>
      <c r="E1915" t="inlineStr">
        <is>
          <t>KARLSTAD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25233-2019</t>
        </is>
      </c>
      <c r="B1916" s="1" t="n">
        <v>43601</v>
      </c>
      <c r="C1916" s="1" t="n">
        <v>45353</v>
      </c>
      <c r="D1916" t="inlineStr">
        <is>
          <t>VÄRMLANDS LÄN</t>
        </is>
      </c>
      <c r="E1916" t="inlineStr">
        <is>
          <t>GRUMS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24763-2019</t>
        </is>
      </c>
      <c r="B1917" s="1" t="n">
        <v>43601</v>
      </c>
      <c r="C1917" s="1" t="n">
        <v>45353</v>
      </c>
      <c r="D1917" t="inlineStr">
        <is>
          <t>VÄRMLANDS LÄN</t>
        </is>
      </c>
      <c r="E1917" t="inlineStr">
        <is>
          <t>ARVIKA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25228-2019</t>
        </is>
      </c>
      <c r="B1918" s="1" t="n">
        <v>43601</v>
      </c>
      <c r="C1918" s="1" t="n">
        <v>45353</v>
      </c>
      <c r="D1918" t="inlineStr">
        <is>
          <t>VÄRMLANDS LÄN</t>
        </is>
      </c>
      <c r="E1918" t="inlineStr">
        <is>
          <t>GRUMS</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24902-2019</t>
        </is>
      </c>
      <c r="B1919" s="1" t="n">
        <v>43602</v>
      </c>
      <c r="C1919" s="1" t="n">
        <v>45353</v>
      </c>
      <c r="D1919" t="inlineStr">
        <is>
          <t>VÄRMLANDS LÄN</t>
        </is>
      </c>
      <c r="E1919" t="inlineStr">
        <is>
          <t>FILIPSTAD</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25041-2019</t>
        </is>
      </c>
      <c r="B1920" s="1" t="n">
        <v>43603</v>
      </c>
      <c r="C1920" s="1" t="n">
        <v>45353</v>
      </c>
      <c r="D1920" t="inlineStr">
        <is>
          <t>VÄRMLANDS LÄN</t>
        </is>
      </c>
      <c r="E1920" t="inlineStr">
        <is>
          <t>FILIPSTAD</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25045-2019</t>
        </is>
      </c>
      <c r="B1921" s="1" t="n">
        <v>43604</v>
      </c>
      <c r="C1921" s="1" t="n">
        <v>45353</v>
      </c>
      <c r="D1921" t="inlineStr">
        <is>
          <t>VÄRMLANDS LÄN</t>
        </is>
      </c>
      <c r="E1921" t="inlineStr">
        <is>
          <t>KARLSTAD</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25059-2019</t>
        </is>
      </c>
      <c r="B1922" s="1" t="n">
        <v>43604</v>
      </c>
      <c r="C1922" s="1" t="n">
        <v>45353</v>
      </c>
      <c r="D1922" t="inlineStr">
        <is>
          <t>VÄRMLANDS LÄN</t>
        </is>
      </c>
      <c r="E1922" t="inlineStr">
        <is>
          <t>KRISTINEHAMN</t>
        </is>
      </c>
      <c r="F1922" t="inlineStr">
        <is>
          <t>Bergvik skog väst AB</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25050-2019</t>
        </is>
      </c>
      <c r="B1923" s="1" t="n">
        <v>43604</v>
      </c>
      <c r="C1923" s="1" t="n">
        <v>45353</v>
      </c>
      <c r="D1923" t="inlineStr">
        <is>
          <t>VÄRMLANDS LÄN</t>
        </is>
      </c>
      <c r="E1923" t="inlineStr">
        <is>
          <t>KRISTINEHAMN</t>
        </is>
      </c>
      <c r="F1923" t="inlineStr">
        <is>
          <t>Bergvik skog väst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25049-2019</t>
        </is>
      </c>
      <c r="B1924" s="1" t="n">
        <v>43604</v>
      </c>
      <c r="C1924" s="1" t="n">
        <v>45353</v>
      </c>
      <c r="D1924" t="inlineStr">
        <is>
          <t>VÄRMLANDS LÄN</t>
        </is>
      </c>
      <c r="E1924" t="inlineStr">
        <is>
          <t>KRISTINEHAMN</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25174-2019</t>
        </is>
      </c>
      <c r="B1925" s="1" t="n">
        <v>43605</v>
      </c>
      <c r="C1925" s="1" t="n">
        <v>45353</v>
      </c>
      <c r="D1925" t="inlineStr">
        <is>
          <t>VÄRMLANDS LÄN</t>
        </is>
      </c>
      <c r="E1925" t="inlineStr">
        <is>
          <t>SÄFFLE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25271-2019</t>
        </is>
      </c>
      <c r="B1926" s="1" t="n">
        <v>43605</v>
      </c>
      <c r="C1926" s="1" t="n">
        <v>45353</v>
      </c>
      <c r="D1926" t="inlineStr">
        <is>
          <t>VÄRMLANDS LÄN</t>
        </is>
      </c>
      <c r="E1926" t="inlineStr">
        <is>
          <t>SUNNE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25226-2019</t>
        </is>
      </c>
      <c r="B1927" s="1" t="n">
        <v>43605</v>
      </c>
      <c r="C1927" s="1" t="n">
        <v>45353</v>
      </c>
      <c r="D1927" t="inlineStr">
        <is>
          <t>VÄRMLANDS LÄN</t>
        </is>
      </c>
      <c r="E1927" t="inlineStr">
        <is>
          <t>GRUMS</t>
        </is>
      </c>
      <c r="F1927" t="inlineStr">
        <is>
          <t>Bergvik skog väst AB</t>
        </is>
      </c>
      <c r="G1927" t="n">
        <v>31.3</v>
      </c>
      <c r="H1927" t="n">
        <v>0</v>
      </c>
      <c r="I1927" t="n">
        <v>0</v>
      </c>
      <c r="J1927" t="n">
        <v>0</v>
      </c>
      <c r="K1927" t="n">
        <v>0</v>
      </c>
      <c r="L1927" t="n">
        <v>0</v>
      </c>
      <c r="M1927" t="n">
        <v>0</v>
      </c>
      <c r="N1927" t="n">
        <v>0</v>
      </c>
      <c r="O1927" t="n">
        <v>0</v>
      </c>
      <c r="P1927" t="n">
        <v>0</v>
      </c>
      <c r="Q1927" t="n">
        <v>0</v>
      </c>
      <c r="R1927" s="2" t="inlineStr"/>
    </row>
    <row r="1928" ht="15" customHeight="1">
      <c r="A1928" t="inlineStr">
        <is>
          <t>A 25469-2019</t>
        </is>
      </c>
      <c r="B1928" s="1" t="n">
        <v>43606</v>
      </c>
      <c r="C1928" s="1" t="n">
        <v>45353</v>
      </c>
      <c r="D1928" t="inlineStr">
        <is>
          <t>VÄRMLANDS LÄN</t>
        </is>
      </c>
      <c r="E1928" t="inlineStr">
        <is>
          <t>ÅRJÄNG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25332-2019</t>
        </is>
      </c>
      <c r="B1929" s="1" t="n">
        <v>43606</v>
      </c>
      <c r="C1929" s="1" t="n">
        <v>45353</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25406-2019</t>
        </is>
      </c>
      <c r="B1930" s="1" t="n">
        <v>43606</v>
      </c>
      <c r="C1930" s="1" t="n">
        <v>45353</v>
      </c>
      <c r="D1930" t="inlineStr">
        <is>
          <t>VÄRMLANDS LÄN</t>
        </is>
      </c>
      <c r="E1930" t="inlineStr">
        <is>
          <t>EDA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25476-2019</t>
        </is>
      </c>
      <c r="B1931" s="1" t="n">
        <v>43606</v>
      </c>
      <c r="C1931" s="1" t="n">
        <v>45353</v>
      </c>
      <c r="D1931" t="inlineStr">
        <is>
          <t>VÄRMLANDS LÄN</t>
        </is>
      </c>
      <c r="E1931" t="inlineStr">
        <is>
          <t>ÅRJÄNG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26484-2019</t>
        </is>
      </c>
      <c r="B1932" s="1" t="n">
        <v>43606</v>
      </c>
      <c r="C1932" s="1" t="n">
        <v>45353</v>
      </c>
      <c r="D1932" t="inlineStr">
        <is>
          <t>VÄRMLANDS LÄN</t>
        </is>
      </c>
      <c r="E1932" t="inlineStr">
        <is>
          <t>SÄFFLE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26488-2019</t>
        </is>
      </c>
      <c r="B1933" s="1" t="n">
        <v>43606</v>
      </c>
      <c r="C1933" s="1" t="n">
        <v>45353</v>
      </c>
      <c r="D1933" t="inlineStr">
        <is>
          <t>VÄRMLANDS LÄN</t>
        </is>
      </c>
      <c r="E1933" t="inlineStr">
        <is>
          <t>ÅRJÄNG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25310-2019</t>
        </is>
      </c>
      <c r="B1934" s="1" t="n">
        <v>43606</v>
      </c>
      <c r="C1934" s="1" t="n">
        <v>45353</v>
      </c>
      <c r="D1934" t="inlineStr">
        <is>
          <t>VÄRMLANDS LÄN</t>
        </is>
      </c>
      <c r="E1934" t="inlineStr">
        <is>
          <t>KARLSTAD</t>
        </is>
      </c>
      <c r="G1934" t="n">
        <v>15.8</v>
      </c>
      <c r="H1934" t="n">
        <v>0</v>
      </c>
      <c r="I1934" t="n">
        <v>0</v>
      </c>
      <c r="J1934" t="n">
        <v>0</v>
      </c>
      <c r="K1934" t="n">
        <v>0</v>
      </c>
      <c r="L1934" t="n">
        <v>0</v>
      </c>
      <c r="M1934" t="n">
        <v>0</v>
      </c>
      <c r="N1934" t="n">
        <v>0</v>
      </c>
      <c r="O1934" t="n">
        <v>0</v>
      </c>
      <c r="P1934" t="n">
        <v>0</v>
      </c>
      <c r="Q1934" t="n">
        <v>0</v>
      </c>
      <c r="R1934" s="2" t="inlineStr"/>
    </row>
    <row r="1935" ht="15" customHeight="1">
      <c r="A1935" t="inlineStr">
        <is>
          <t>A 26501-2019</t>
        </is>
      </c>
      <c r="B1935" s="1" t="n">
        <v>43606</v>
      </c>
      <c r="C1935" s="1" t="n">
        <v>45353</v>
      </c>
      <c r="D1935" t="inlineStr">
        <is>
          <t>VÄRMLANDS LÄN</t>
        </is>
      </c>
      <c r="E1935" t="inlineStr">
        <is>
          <t>SÄFFLE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26480-2019</t>
        </is>
      </c>
      <c r="B1936" s="1" t="n">
        <v>43606</v>
      </c>
      <c r="C1936" s="1" t="n">
        <v>45353</v>
      </c>
      <c r="D1936" t="inlineStr">
        <is>
          <t>VÄRMLANDS LÄN</t>
        </is>
      </c>
      <c r="E1936" t="inlineStr">
        <is>
          <t>SÄFFLE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25439-2019</t>
        </is>
      </c>
      <c r="B1937" s="1" t="n">
        <v>43606</v>
      </c>
      <c r="C1937" s="1" t="n">
        <v>45353</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25311-2019</t>
        </is>
      </c>
      <c r="B1938" s="1" t="n">
        <v>43606</v>
      </c>
      <c r="C1938" s="1" t="n">
        <v>45353</v>
      </c>
      <c r="D1938" t="inlineStr">
        <is>
          <t>VÄRMLANDS LÄN</t>
        </is>
      </c>
      <c r="E1938" t="inlineStr">
        <is>
          <t>KARLSTAD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25648-2019</t>
        </is>
      </c>
      <c r="B1939" s="1" t="n">
        <v>43607</v>
      </c>
      <c r="C1939" s="1" t="n">
        <v>45353</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25561-2019</t>
        </is>
      </c>
      <c r="B1940" s="1" t="n">
        <v>43607</v>
      </c>
      <c r="C1940" s="1" t="n">
        <v>45353</v>
      </c>
      <c r="D1940" t="inlineStr">
        <is>
          <t>VÄRMLANDS LÄN</t>
        </is>
      </c>
      <c r="E1940" t="inlineStr">
        <is>
          <t>ÅRJÄNG</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25638-2019</t>
        </is>
      </c>
      <c r="B1941" s="1" t="n">
        <v>43607</v>
      </c>
      <c r="C1941" s="1" t="n">
        <v>45353</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25692-2019</t>
        </is>
      </c>
      <c r="B1942" s="1" t="n">
        <v>43607</v>
      </c>
      <c r="C1942" s="1" t="n">
        <v>45353</v>
      </c>
      <c r="D1942" t="inlineStr">
        <is>
          <t>VÄRMLANDS LÄN</t>
        </is>
      </c>
      <c r="E1942" t="inlineStr">
        <is>
          <t>SÄFFLE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25572-2019</t>
        </is>
      </c>
      <c r="B1943" s="1" t="n">
        <v>43607</v>
      </c>
      <c r="C1943" s="1" t="n">
        <v>45353</v>
      </c>
      <c r="D1943" t="inlineStr">
        <is>
          <t>VÄRMLANDS LÄN</t>
        </is>
      </c>
      <c r="E1943" t="inlineStr">
        <is>
          <t>ARVIKA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25564-2019</t>
        </is>
      </c>
      <c r="B1944" s="1" t="n">
        <v>43607</v>
      </c>
      <c r="C1944" s="1" t="n">
        <v>45353</v>
      </c>
      <c r="D1944" t="inlineStr">
        <is>
          <t>VÄRMLANDS LÄN</t>
        </is>
      </c>
      <c r="E1944" t="inlineStr">
        <is>
          <t>SUNNE</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25750-2019</t>
        </is>
      </c>
      <c r="B1945" s="1" t="n">
        <v>43608</v>
      </c>
      <c r="C1945" s="1" t="n">
        <v>45353</v>
      </c>
      <c r="D1945" t="inlineStr">
        <is>
          <t>VÄRMLANDS LÄN</t>
        </is>
      </c>
      <c r="E1945" t="inlineStr">
        <is>
          <t>ÅRJÄNG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25769-2019</t>
        </is>
      </c>
      <c r="B1946" s="1" t="n">
        <v>43608</v>
      </c>
      <c r="C1946" s="1" t="n">
        <v>45353</v>
      </c>
      <c r="D1946" t="inlineStr">
        <is>
          <t>VÄRMLANDS LÄN</t>
        </is>
      </c>
      <c r="E1946" t="inlineStr">
        <is>
          <t>HAGFORS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25764-2019</t>
        </is>
      </c>
      <c r="B1947" s="1" t="n">
        <v>43608</v>
      </c>
      <c r="C1947" s="1" t="n">
        <v>45353</v>
      </c>
      <c r="D1947" t="inlineStr">
        <is>
          <t>VÄRMLANDS LÄN</t>
        </is>
      </c>
      <c r="E1947" t="inlineStr">
        <is>
          <t>SUNNE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25782-2019</t>
        </is>
      </c>
      <c r="B1948" s="1" t="n">
        <v>43608</v>
      </c>
      <c r="C1948" s="1" t="n">
        <v>45353</v>
      </c>
      <c r="D1948" t="inlineStr">
        <is>
          <t>VÄRMLANDS LÄN</t>
        </is>
      </c>
      <c r="E1948" t="inlineStr">
        <is>
          <t>HAGFORS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25765-2019</t>
        </is>
      </c>
      <c r="B1949" s="1" t="n">
        <v>43608</v>
      </c>
      <c r="C1949" s="1" t="n">
        <v>45353</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25784-2019</t>
        </is>
      </c>
      <c r="B1950" s="1" t="n">
        <v>43608</v>
      </c>
      <c r="C1950" s="1" t="n">
        <v>45353</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25884-2019</t>
        </is>
      </c>
      <c r="B1951" s="1" t="n">
        <v>43608</v>
      </c>
      <c r="C1951" s="1" t="n">
        <v>45353</v>
      </c>
      <c r="D1951" t="inlineStr">
        <is>
          <t>VÄRMLANDS LÄN</t>
        </is>
      </c>
      <c r="E1951" t="inlineStr">
        <is>
          <t>EDA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26844-2019</t>
        </is>
      </c>
      <c r="B1952" s="1" t="n">
        <v>43608</v>
      </c>
      <c r="C1952" s="1" t="n">
        <v>45353</v>
      </c>
      <c r="D1952" t="inlineStr">
        <is>
          <t>VÄRMLANDS LÄN</t>
        </is>
      </c>
      <c r="E1952" t="inlineStr">
        <is>
          <t>KARLSTAD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25759-2019</t>
        </is>
      </c>
      <c r="B1953" s="1" t="n">
        <v>43608</v>
      </c>
      <c r="C1953" s="1" t="n">
        <v>45353</v>
      </c>
      <c r="D1953" t="inlineStr">
        <is>
          <t>VÄRMLANDS LÄN</t>
        </is>
      </c>
      <c r="E1953" t="inlineStr">
        <is>
          <t>SUNNE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26087-2019</t>
        </is>
      </c>
      <c r="B1954" s="1" t="n">
        <v>43609</v>
      </c>
      <c r="C1954" s="1" t="n">
        <v>45353</v>
      </c>
      <c r="D1954" t="inlineStr">
        <is>
          <t>VÄRMLANDS LÄN</t>
        </is>
      </c>
      <c r="E1954" t="inlineStr">
        <is>
          <t>EDA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26274-2019</t>
        </is>
      </c>
      <c r="B1955" s="1" t="n">
        <v>43611</v>
      </c>
      <c r="C1955" s="1" t="n">
        <v>45353</v>
      </c>
      <c r="D1955" t="inlineStr">
        <is>
          <t>VÄRMLANDS LÄN</t>
        </is>
      </c>
      <c r="E1955" t="inlineStr">
        <is>
          <t>FILIPSTAD</t>
        </is>
      </c>
      <c r="F1955" t="inlineStr">
        <is>
          <t>Bergvik skog väst AB</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26289-2019</t>
        </is>
      </c>
      <c r="B1956" s="1" t="n">
        <v>43611</v>
      </c>
      <c r="C1956" s="1" t="n">
        <v>45353</v>
      </c>
      <c r="D1956" t="inlineStr">
        <is>
          <t>VÄRMLANDS LÄN</t>
        </is>
      </c>
      <c r="E1956" t="inlineStr">
        <is>
          <t>FILIPSTAD</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26280-2019</t>
        </is>
      </c>
      <c r="B1957" s="1" t="n">
        <v>43611</v>
      </c>
      <c r="C1957" s="1" t="n">
        <v>45353</v>
      </c>
      <c r="D1957" t="inlineStr">
        <is>
          <t>VÄRMLANDS LÄN</t>
        </is>
      </c>
      <c r="E1957" t="inlineStr">
        <is>
          <t>FILIPSTAD</t>
        </is>
      </c>
      <c r="F1957" t="inlineStr">
        <is>
          <t>Bergvik skog väst AB</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26287-2019</t>
        </is>
      </c>
      <c r="B1958" s="1" t="n">
        <v>43611</v>
      </c>
      <c r="C1958" s="1" t="n">
        <v>45353</v>
      </c>
      <c r="D1958" t="inlineStr">
        <is>
          <t>VÄRMLANDS LÄN</t>
        </is>
      </c>
      <c r="E1958" t="inlineStr">
        <is>
          <t>FILIPSTAD</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26412-2019</t>
        </is>
      </c>
      <c r="B1959" s="1" t="n">
        <v>43612</v>
      </c>
      <c r="C1959" s="1" t="n">
        <v>45353</v>
      </c>
      <c r="D1959" t="inlineStr">
        <is>
          <t>VÄRMLANDS LÄN</t>
        </is>
      </c>
      <c r="E1959" t="inlineStr">
        <is>
          <t>FORSHAGA</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26415-2019</t>
        </is>
      </c>
      <c r="B1960" s="1" t="n">
        <v>43612</v>
      </c>
      <c r="C1960" s="1" t="n">
        <v>45353</v>
      </c>
      <c r="D1960" t="inlineStr">
        <is>
          <t>VÄRMLANDS LÄN</t>
        </is>
      </c>
      <c r="E1960" t="inlineStr">
        <is>
          <t>HAGFORS</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26330-2019</t>
        </is>
      </c>
      <c r="B1961" s="1" t="n">
        <v>43612</v>
      </c>
      <c r="C1961" s="1" t="n">
        <v>45353</v>
      </c>
      <c r="D1961" t="inlineStr">
        <is>
          <t>VÄRMLANDS LÄN</t>
        </is>
      </c>
      <c r="E1961" t="inlineStr">
        <is>
          <t>SUNNE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26509-2019</t>
        </is>
      </c>
      <c r="B1962" s="1" t="n">
        <v>43612</v>
      </c>
      <c r="C1962" s="1" t="n">
        <v>45353</v>
      </c>
      <c r="D1962" t="inlineStr">
        <is>
          <t>VÄRMLANDS LÄN</t>
        </is>
      </c>
      <c r="E1962" t="inlineStr">
        <is>
          <t>FORSHAGA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26527-2019</t>
        </is>
      </c>
      <c r="B1963" s="1" t="n">
        <v>43612</v>
      </c>
      <c r="C1963" s="1" t="n">
        <v>45353</v>
      </c>
      <c r="D1963" t="inlineStr">
        <is>
          <t>VÄRMLANDS LÄN</t>
        </is>
      </c>
      <c r="E1963" t="inlineStr">
        <is>
          <t>ARVIKA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26493-2019</t>
        </is>
      </c>
      <c r="B1964" s="1" t="n">
        <v>43612</v>
      </c>
      <c r="C1964" s="1" t="n">
        <v>45353</v>
      </c>
      <c r="D1964" t="inlineStr">
        <is>
          <t>VÄRMLANDS LÄN</t>
        </is>
      </c>
      <c r="E1964" t="inlineStr">
        <is>
          <t>TORSBY</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26372-2019</t>
        </is>
      </c>
      <c r="B1965" s="1" t="n">
        <v>43612</v>
      </c>
      <c r="C1965" s="1" t="n">
        <v>45353</v>
      </c>
      <c r="D1965" t="inlineStr">
        <is>
          <t>VÄRMLANDS LÄN</t>
        </is>
      </c>
      <c r="E1965" t="inlineStr">
        <is>
          <t>ARVIKA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26552-2019</t>
        </is>
      </c>
      <c r="B1966" s="1" t="n">
        <v>43612</v>
      </c>
      <c r="C1966" s="1" t="n">
        <v>45353</v>
      </c>
      <c r="D1966" t="inlineStr">
        <is>
          <t>VÄRMLANDS LÄN</t>
        </is>
      </c>
      <c r="E1966" t="inlineStr">
        <is>
          <t>HAGFORS</t>
        </is>
      </c>
      <c r="F1966" t="inlineStr">
        <is>
          <t>Bergvik skog väst AB</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27805-2019</t>
        </is>
      </c>
      <c r="B1967" s="1" t="n">
        <v>43612</v>
      </c>
      <c r="C1967" s="1" t="n">
        <v>45353</v>
      </c>
      <c r="D1967" t="inlineStr">
        <is>
          <t>VÄRMLANDS LÄN</t>
        </is>
      </c>
      <c r="E1967" t="inlineStr">
        <is>
          <t>GRUMS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26622-2019</t>
        </is>
      </c>
      <c r="B1968" s="1" t="n">
        <v>43612</v>
      </c>
      <c r="C1968" s="1" t="n">
        <v>45353</v>
      </c>
      <c r="D1968" t="inlineStr">
        <is>
          <t>VÄRMLANDS LÄN</t>
        </is>
      </c>
      <c r="E1968" t="inlineStr">
        <is>
          <t>SÄFFLE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27907-2019</t>
        </is>
      </c>
      <c r="B1969" s="1" t="n">
        <v>43612</v>
      </c>
      <c r="C1969" s="1" t="n">
        <v>45353</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26658-2019</t>
        </is>
      </c>
      <c r="B1970" s="1" t="n">
        <v>43613</v>
      </c>
      <c r="C1970" s="1" t="n">
        <v>45353</v>
      </c>
      <c r="D1970" t="inlineStr">
        <is>
          <t>VÄRMLANDS LÄN</t>
        </is>
      </c>
      <c r="E1970" t="inlineStr">
        <is>
          <t>GRUMS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28062-2019</t>
        </is>
      </c>
      <c r="B1971" s="1" t="n">
        <v>43613</v>
      </c>
      <c r="C1971" s="1" t="n">
        <v>45353</v>
      </c>
      <c r="D1971" t="inlineStr">
        <is>
          <t>VÄRMLANDS LÄN</t>
        </is>
      </c>
      <c r="E1971" t="inlineStr">
        <is>
          <t>GRUMS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26653-2019</t>
        </is>
      </c>
      <c r="B1972" s="1" t="n">
        <v>43613</v>
      </c>
      <c r="C1972" s="1" t="n">
        <v>45353</v>
      </c>
      <c r="D1972" t="inlineStr">
        <is>
          <t>VÄRMLANDS LÄN</t>
        </is>
      </c>
      <c r="E1972" t="inlineStr">
        <is>
          <t>ARVIKA</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26719-2019</t>
        </is>
      </c>
      <c r="B1973" s="1" t="n">
        <v>43613</v>
      </c>
      <c r="C1973" s="1" t="n">
        <v>45353</v>
      </c>
      <c r="D1973" t="inlineStr">
        <is>
          <t>VÄRMLANDS LÄN</t>
        </is>
      </c>
      <c r="E1973" t="inlineStr">
        <is>
          <t>ARVIKA</t>
        </is>
      </c>
      <c r="F1973" t="inlineStr">
        <is>
          <t>Bergvik skog väst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26783-2019</t>
        </is>
      </c>
      <c r="B1974" s="1" t="n">
        <v>43613</v>
      </c>
      <c r="C1974" s="1" t="n">
        <v>45353</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27014-2019</t>
        </is>
      </c>
      <c r="B1975" s="1" t="n">
        <v>43614</v>
      </c>
      <c r="C1975" s="1" t="n">
        <v>45353</v>
      </c>
      <c r="D1975" t="inlineStr">
        <is>
          <t>VÄRMLANDS LÄN</t>
        </is>
      </c>
      <c r="E1975" t="inlineStr">
        <is>
          <t>ÅRJÄNG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27199-2019</t>
        </is>
      </c>
      <c r="B1976" s="1" t="n">
        <v>43614</v>
      </c>
      <c r="C1976" s="1" t="n">
        <v>45353</v>
      </c>
      <c r="D1976" t="inlineStr">
        <is>
          <t>VÄRMLANDS LÄN</t>
        </is>
      </c>
      <c r="E1976" t="inlineStr">
        <is>
          <t>FILIPSTAD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27110-2019</t>
        </is>
      </c>
      <c r="B1977" s="1" t="n">
        <v>43614</v>
      </c>
      <c r="C1977" s="1" t="n">
        <v>45353</v>
      </c>
      <c r="D1977" t="inlineStr">
        <is>
          <t>VÄRMLANDS LÄN</t>
        </is>
      </c>
      <c r="E1977" t="inlineStr">
        <is>
          <t>MUNKFORS</t>
        </is>
      </c>
      <c r="F1977" t="inlineStr">
        <is>
          <t>Bergvik skog väst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28727-2019</t>
        </is>
      </c>
      <c r="B1978" s="1" t="n">
        <v>43614</v>
      </c>
      <c r="C1978" s="1" t="n">
        <v>45353</v>
      </c>
      <c r="D1978" t="inlineStr">
        <is>
          <t>VÄRMLANDS LÄN</t>
        </is>
      </c>
      <c r="E1978" t="inlineStr">
        <is>
          <t>ÅRJÄNG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27172-2019</t>
        </is>
      </c>
      <c r="B1979" s="1" t="n">
        <v>43614</v>
      </c>
      <c r="C1979" s="1" t="n">
        <v>45353</v>
      </c>
      <c r="D1979" t="inlineStr">
        <is>
          <t>VÄRMLANDS LÄN</t>
        </is>
      </c>
      <c r="E1979" t="inlineStr">
        <is>
          <t>GRUMS</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27076-2019</t>
        </is>
      </c>
      <c r="B1980" s="1" t="n">
        <v>43614</v>
      </c>
      <c r="C1980" s="1" t="n">
        <v>45353</v>
      </c>
      <c r="D1980" t="inlineStr">
        <is>
          <t>VÄRMLANDS LÄN</t>
        </is>
      </c>
      <c r="E1980" t="inlineStr">
        <is>
          <t>ARVIKA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27266-2019</t>
        </is>
      </c>
      <c r="B1981" s="1" t="n">
        <v>43615</v>
      </c>
      <c r="C1981" s="1" t="n">
        <v>45353</v>
      </c>
      <c r="D1981" t="inlineStr">
        <is>
          <t>VÄRMLANDS LÄN</t>
        </is>
      </c>
      <c r="E1981" t="inlineStr">
        <is>
          <t>SÄFFLE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27375-2019</t>
        </is>
      </c>
      <c r="B1982" s="1" t="n">
        <v>43616</v>
      </c>
      <c r="C1982" s="1" t="n">
        <v>45353</v>
      </c>
      <c r="D1982" t="inlineStr">
        <is>
          <t>VÄRMLANDS LÄN</t>
        </is>
      </c>
      <c r="E1982" t="inlineStr">
        <is>
          <t>KARLSTAD</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27388-2019</t>
        </is>
      </c>
      <c r="B1983" s="1" t="n">
        <v>43616</v>
      </c>
      <c r="C1983" s="1" t="n">
        <v>45353</v>
      </c>
      <c r="D1983" t="inlineStr">
        <is>
          <t>VÄRMLANDS LÄN</t>
        </is>
      </c>
      <c r="E1983" t="inlineStr">
        <is>
          <t>FILIPSTAD</t>
        </is>
      </c>
      <c r="F1983" t="inlineStr">
        <is>
          <t>Bergvik skog väst AB</t>
        </is>
      </c>
      <c r="G1983" t="n">
        <v>34.4</v>
      </c>
      <c r="H1983" t="n">
        <v>0</v>
      </c>
      <c r="I1983" t="n">
        <v>0</v>
      </c>
      <c r="J1983" t="n">
        <v>0</v>
      </c>
      <c r="K1983" t="n">
        <v>0</v>
      </c>
      <c r="L1983" t="n">
        <v>0</v>
      </c>
      <c r="M1983" t="n">
        <v>0</v>
      </c>
      <c r="N1983" t="n">
        <v>0</v>
      </c>
      <c r="O1983" t="n">
        <v>0</v>
      </c>
      <c r="P1983" t="n">
        <v>0</v>
      </c>
      <c r="Q1983" t="n">
        <v>0</v>
      </c>
      <c r="R1983" s="2" t="inlineStr"/>
    </row>
    <row r="1984" ht="15" customHeight="1">
      <c r="A1984" t="inlineStr">
        <is>
          <t>A 28786-2019</t>
        </is>
      </c>
      <c r="B1984" s="1" t="n">
        <v>43616</v>
      </c>
      <c r="C1984" s="1" t="n">
        <v>45353</v>
      </c>
      <c r="D1984" t="inlineStr">
        <is>
          <t>VÄRMLANDS LÄN</t>
        </is>
      </c>
      <c r="E1984" t="inlineStr">
        <is>
          <t>SUNNE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28784-2019</t>
        </is>
      </c>
      <c r="B1985" s="1" t="n">
        <v>43616</v>
      </c>
      <c r="C1985" s="1" t="n">
        <v>45353</v>
      </c>
      <c r="D1985" t="inlineStr">
        <is>
          <t>VÄRMLANDS LÄN</t>
        </is>
      </c>
      <c r="E1985" t="inlineStr">
        <is>
          <t>SUNNE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27430-2019</t>
        </is>
      </c>
      <c r="B1986" s="1" t="n">
        <v>43617</v>
      </c>
      <c r="C1986" s="1" t="n">
        <v>45353</v>
      </c>
      <c r="D1986" t="inlineStr">
        <is>
          <t>VÄRMLANDS LÄN</t>
        </is>
      </c>
      <c r="E1986" t="inlineStr">
        <is>
          <t>FILIPSTAD</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27711-2019</t>
        </is>
      </c>
      <c r="B1987" s="1" t="n">
        <v>43619</v>
      </c>
      <c r="C1987" s="1" t="n">
        <v>45353</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27470-2019</t>
        </is>
      </c>
      <c r="B1988" s="1" t="n">
        <v>43619</v>
      </c>
      <c r="C1988" s="1" t="n">
        <v>45353</v>
      </c>
      <c r="D1988" t="inlineStr">
        <is>
          <t>VÄRMLANDS LÄN</t>
        </is>
      </c>
      <c r="E1988" t="inlineStr">
        <is>
          <t>ÅRJÄNG</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27495-2019</t>
        </is>
      </c>
      <c r="B1989" s="1" t="n">
        <v>43619</v>
      </c>
      <c r="C1989" s="1" t="n">
        <v>45353</v>
      </c>
      <c r="D1989" t="inlineStr">
        <is>
          <t>VÄRMLANDS LÄN</t>
        </is>
      </c>
      <c r="E1989" t="inlineStr">
        <is>
          <t>HAGFORS</t>
        </is>
      </c>
      <c r="F1989" t="inlineStr">
        <is>
          <t>Bergvik skog väst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27682-2019</t>
        </is>
      </c>
      <c r="B1990" s="1" t="n">
        <v>43619</v>
      </c>
      <c r="C1990" s="1" t="n">
        <v>45353</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28975-2019</t>
        </is>
      </c>
      <c r="B1991" s="1" t="n">
        <v>43619</v>
      </c>
      <c r="C1991" s="1" t="n">
        <v>45353</v>
      </c>
      <c r="D1991" t="inlineStr">
        <is>
          <t>VÄRMLANDS LÄN</t>
        </is>
      </c>
      <c r="E1991" t="inlineStr">
        <is>
          <t>TORSBY</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27714-2019</t>
        </is>
      </c>
      <c r="B1992" s="1" t="n">
        <v>43619</v>
      </c>
      <c r="C1992" s="1" t="n">
        <v>45353</v>
      </c>
      <c r="D1992" t="inlineStr">
        <is>
          <t>VÄRMLANDS LÄN</t>
        </is>
      </c>
      <c r="E1992" t="inlineStr">
        <is>
          <t>STORFORS</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28106-2019</t>
        </is>
      </c>
      <c r="B1993" s="1" t="n">
        <v>43621</v>
      </c>
      <c r="C1993" s="1" t="n">
        <v>45353</v>
      </c>
      <c r="D1993" t="inlineStr">
        <is>
          <t>VÄRMLANDS LÄN</t>
        </is>
      </c>
      <c r="E1993" t="inlineStr">
        <is>
          <t>EDA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28047-2019</t>
        </is>
      </c>
      <c r="B1994" s="1" t="n">
        <v>43621</v>
      </c>
      <c r="C1994" s="1" t="n">
        <v>45353</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28487-2019</t>
        </is>
      </c>
      <c r="B1995" s="1" t="n">
        <v>43621</v>
      </c>
      <c r="C1995" s="1" t="n">
        <v>45353</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29043-2019</t>
        </is>
      </c>
      <c r="B1996" s="1" t="n">
        <v>43621</v>
      </c>
      <c r="C1996" s="1" t="n">
        <v>45353</v>
      </c>
      <c r="D1996" t="inlineStr">
        <is>
          <t>VÄRMLANDS LÄN</t>
        </is>
      </c>
      <c r="E1996" t="inlineStr">
        <is>
          <t>ÅRJÄNG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28267-2019</t>
        </is>
      </c>
      <c r="B1997" s="1" t="n">
        <v>43623</v>
      </c>
      <c r="C1997" s="1" t="n">
        <v>45353</v>
      </c>
      <c r="D1997" t="inlineStr">
        <is>
          <t>VÄRMLANDS LÄN</t>
        </is>
      </c>
      <c r="E1997" t="inlineStr">
        <is>
          <t>KRISTINEHAMN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28512-2019</t>
        </is>
      </c>
      <c r="B1998" s="1" t="n">
        <v>43626</v>
      </c>
      <c r="C1998" s="1" t="n">
        <v>45353</v>
      </c>
      <c r="D1998" t="inlineStr">
        <is>
          <t>VÄRMLANDS LÄN</t>
        </is>
      </c>
      <c r="E1998" t="inlineStr">
        <is>
          <t>KRISTINEHAMN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28381-2019</t>
        </is>
      </c>
      <c r="B1999" s="1" t="n">
        <v>43626</v>
      </c>
      <c r="C1999" s="1" t="n">
        <v>45353</v>
      </c>
      <c r="D1999" t="inlineStr">
        <is>
          <t>VÄRMLANDS LÄN</t>
        </is>
      </c>
      <c r="E1999" t="inlineStr">
        <is>
          <t>HAGFORS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28387-2019</t>
        </is>
      </c>
      <c r="B2000" s="1" t="n">
        <v>43626</v>
      </c>
      <c r="C2000" s="1" t="n">
        <v>45353</v>
      </c>
      <c r="D2000" t="inlineStr">
        <is>
          <t>VÄRMLANDS LÄN</t>
        </is>
      </c>
      <c r="E2000" t="inlineStr">
        <is>
          <t>SUNNE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28409-2019</t>
        </is>
      </c>
      <c r="B2001" s="1" t="n">
        <v>43626</v>
      </c>
      <c r="C2001" s="1" t="n">
        <v>45353</v>
      </c>
      <c r="D2001" t="inlineStr">
        <is>
          <t>VÄRMLANDS LÄN</t>
        </is>
      </c>
      <c r="E2001" t="inlineStr">
        <is>
          <t>STORFORS</t>
        </is>
      </c>
      <c r="F2001" t="inlineStr">
        <is>
          <t>Bergvik skog väst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28386-2019</t>
        </is>
      </c>
      <c r="B2002" s="1" t="n">
        <v>43626</v>
      </c>
      <c r="C2002" s="1" t="n">
        <v>45353</v>
      </c>
      <c r="D2002" t="inlineStr">
        <is>
          <t>VÄRMLANDS LÄN</t>
        </is>
      </c>
      <c r="E2002" t="inlineStr">
        <is>
          <t>SUNNE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28389-2019</t>
        </is>
      </c>
      <c r="B2003" s="1" t="n">
        <v>43626</v>
      </c>
      <c r="C2003" s="1" t="n">
        <v>45353</v>
      </c>
      <c r="D2003" t="inlineStr">
        <is>
          <t>VÄRMLANDS LÄN</t>
        </is>
      </c>
      <c r="E2003" t="inlineStr">
        <is>
          <t>SUNNE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28653-2019</t>
        </is>
      </c>
      <c r="B2004" s="1" t="n">
        <v>43627</v>
      </c>
      <c r="C2004" s="1" t="n">
        <v>45353</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29365-2019</t>
        </is>
      </c>
      <c r="B2005" s="1" t="n">
        <v>43627</v>
      </c>
      <c r="C2005" s="1" t="n">
        <v>45353</v>
      </c>
      <c r="D2005" t="inlineStr">
        <is>
          <t>VÄRMLANDS LÄN</t>
        </is>
      </c>
      <c r="E2005" t="inlineStr">
        <is>
          <t>SUNNE</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28823-2019</t>
        </is>
      </c>
      <c r="B2006" s="1" t="n">
        <v>43627</v>
      </c>
      <c r="C2006" s="1" t="n">
        <v>45353</v>
      </c>
      <c r="D2006" t="inlineStr">
        <is>
          <t>VÄRMLANDS LÄN</t>
        </is>
      </c>
      <c r="E2006" t="inlineStr">
        <is>
          <t>STORFORS</t>
        </is>
      </c>
      <c r="F2006" t="inlineStr">
        <is>
          <t>Bergvik skog väst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28832-2019</t>
        </is>
      </c>
      <c r="B2007" s="1" t="n">
        <v>43627</v>
      </c>
      <c r="C2007" s="1" t="n">
        <v>45353</v>
      </c>
      <c r="D2007" t="inlineStr">
        <is>
          <t>VÄRMLANDS LÄN</t>
        </is>
      </c>
      <c r="E2007" t="inlineStr">
        <is>
          <t>STORFORS</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29363-2019</t>
        </is>
      </c>
      <c r="B2008" s="1" t="n">
        <v>43627</v>
      </c>
      <c r="C2008" s="1" t="n">
        <v>45353</v>
      </c>
      <c r="D2008" t="inlineStr">
        <is>
          <t>VÄRMLANDS LÄN</t>
        </is>
      </c>
      <c r="E2008" t="inlineStr">
        <is>
          <t>SUNNE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28818-2019</t>
        </is>
      </c>
      <c r="B2009" s="1" t="n">
        <v>43627</v>
      </c>
      <c r="C2009" s="1" t="n">
        <v>45353</v>
      </c>
      <c r="D2009" t="inlineStr">
        <is>
          <t>VÄRMLANDS LÄN</t>
        </is>
      </c>
      <c r="E2009" t="inlineStr">
        <is>
          <t>TORSBY</t>
        </is>
      </c>
      <c r="F2009" t="inlineStr">
        <is>
          <t>Bergvik skog väst AB</t>
        </is>
      </c>
      <c r="G2009" t="n">
        <v>58.6</v>
      </c>
      <c r="H2009" t="n">
        <v>0</v>
      </c>
      <c r="I2009" t="n">
        <v>0</v>
      </c>
      <c r="J2009" t="n">
        <v>0</v>
      </c>
      <c r="K2009" t="n">
        <v>0</v>
      </c>
      <c r="L2009" t="n">
        <v>0</v>
      </c>
      <c r="M2009" t="n">
        <v>0</v>
      </c>
      <c r="N2009" t="n">
        <v>0</v>
      </c>
      <c r="O2009" t="n">
        <v>0</v>
      </c>
      <c r="P2009" t="n">
        <v>0</v>
      </c>
      <c r="Q2009" t="n">
        <v>0</v>
      </c>
      <c r="R2009" s="2" t="inlineStr"/>
    </row>
    <row r="2010" ht="15" customHeight="1">
      <c r="A2010" t="inlineStr">
        <is>
          <t>A 28865-2019</t>
        </is>
      </c>
      <c r="B2010" s="1" t="n">
        <v>43628</v>
      </c>
      <c r="C2010" s="1" t="n">
        <v>45353</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28889-2019</t>
        </is>
      </c>
      <c r="B2011" s="1" t="n">
        <v>43628</v>
      </c>
      <c r="C2011" s="1" t="n">
        <v>45353</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29593-2019</t>
        </is>
      </c>
      <c r="B2012" s="1" t="n">
        <v>43628</v>
      </c>
      <c r="C2012" s="1" t="n">
        <v>45353</v>
      </c>
      <c r="D2012" t="inlineStr">
        <is>
          <t>VÄRMLANDS LÄN</t>
        </is>
      </c>
      <c r="E2012" t="inlineStr">
        <is>
          <t>ARVIKA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29682-2019</t>
        </is>
      </c>
      <c r="B2013" s="1" t="n">
        <v>43628</v>
      </c>
      <c r="C2013" s="1" t="n">
        <v>45353</v>
      </c>
      <c r="D2013" t="inlineStr">
        <is>
          <t>VÄRMLANDS LÄN</t>
        </is>
      </c>
      <c r="E2013" t="inlineStr">
        <is>
          <t>KRISTINEHAMN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29677-2019</t>
        </is>
      </c>
      <c r="B2014" s="1" t="n">
        <v>43628</v>
      </c>
      <c r="C2014" s="1" t="n">
        <v>45353</v>
      </c>
      <c r="D2014" t="inlineStr">
        <is>
          <t>VÄRMLANDS LÄN</t>
        </is>
      </c>
      <c r="E2014" t="inlineStr">
        <is>
          <t>KRISTINEHAMN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29588-2019</t>
        </is>
      </c>
      <c r="B2015" s="1" t="n">
        <v>43628</v>
      </c>
      <c r="C2015" s="1" t="n">
        <v>45353</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29097-2019</t>
        </is>
      </c>
      <c r="B2016" s="1" t="n">
        <v>43628</v>
      </c>
      <c r="C2016" s="1" t="n">
        <v>45353</v>
      </c>
      <c r="D2016" t="inlineStr">
        <is>
          <t>VÄRMLANDS LÄN</t>
        </is>
      </c>
      <c r="E2016" t="inlineStr">
        <is>
          <t>KARLSTAD</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29093-2019</t>
        </is>
      </c>
      <c r="B2017" s="1" t="n">
        <v>43629</v>
      </c>
      <c r="C2017" s="1" t="n">
        <v>45353</v>
      </c>
      <c r="D2017" t="inlineStr">
        <is>
          <t>VÄRMLANDS LÄN</t>
        </is>
      </c>
      <c r="E2017" t="inlineStr">
        <is>
          <t>KRISTINEHAMN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29351-2019</t>
        </is>
      </c>
      <c r="B2018" s="1" t="n">
        <v>43629</v>
      </c>
      <c r="C2018" s="1" t="n">
        <v>45353</v>
      </c>
      <c r="D2018" t="inlineStr">
        <is>
          <t>VÄRMLANDS LÄN</t>
        </is>
      </c>
      <c r="E2018" t="inlineStr">
        <is>
          <t>SUNNE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29366-2019</t>
        </is>
      </c>
      <c r="B2019" s="1" t="n">
        <v>43629</v>
      </c>
      <c r="C2019" s="1" t="n">
        <v>45353</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29389-2019</t>
        </is>
      </c>
      <c r="B2020" s="1" t="n">
        <v>43629</v>
      </c>
      <c r="C2020" s="1" t="n">
        <v>45353</v>
      </c>
      <c r="D2020" t="inlineStr">
        <is>
          <t>VÄRMLANDS LÄN</t>
        </is>
      </c>
      <c r="E2020" t="inlineStr">
        <is>
          <t>HAGFORS</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29800-2019</t>
        </is>
      </c>
      <c r="B2021" s="1" t="n">
        <v>43629</v>
      </c>
      <c r="C2021" s="1" t="n">
        <v>45353</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29803-2019</t>
        </is>
      </c>
      <c r="B2022" s="1" t="n">
        <v>43629</v>
      </c>
      <c r="C2022" s="1" t="n">
        <v>45353</v>
      </c>
      <c r="D2022" t="inlineStr">
        <is>
          <t>VÄRMLANDS LÄN</t>
        </is>
      </c>
      <c r="E2022" t="inlineStr">
        <is>
          <t>ARVIKA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29436-2019</t>
        </is>
      </c>
      <c r="B2023" s="1" t="n">
        <v>43629</v>
      </c>
      <c r="C2023" s="1" t="n">
        <v>45353</v>
      </c>
      <c r="D2023" t="inlineStr">
        <is>
          <t>VÄRMLANDS LÄN</t>
        </is>
      </c>
      <c r="E2023" t="inlineStr">
        <is>
          <t>TORSBY</t>
        </is>
      </c>
      <c r="F2023" t="inlineStr">
        <is>
          <t>Bergvik skog väst AB</t>
        </is>
      </c>
      <c r="G2023" t="n">
        <v>33.7</v>
      </c>
      <c r="H2023" t="n">
        <v>0</v>
      </c>
      <c r="I2023" t="n">
        <v>0</v>
      </c>
      <c r="J2023" t="n">
        <v>0</v>
      </c>
      <c r="K2023" t="n">
        <v>0</v>
      </c>
      <c r="L2023" t="n">
        <v>0</v>
      </c>
      <c r="M2023" t="n">
        <v>0</v>
      </c>
      <c r="N2023" t="n">
        <v>0</v>
      </c>
      <c r="O2023" t="n">
        <v>0</v>
      </c>
      <c r="P2023" t="n">
        <v>0</v>
      </c>
      <c r="Q2023" t="n">
        <v>0</v>
      </c>
      <c r="R2023" s="2" t="inlineStr"/>
    </row>
    <row r="2024" ht="15" customHeight="1">
      <c r="A2024" t="inlineStr">
        <is>
          <t>A 29251-2019</t>
        </is>
      </c>
      <c r="B2024" s="1" t="n">
        <v>43629</v>
      </c>
      <c r="C2024" s="1" t="n">
        <v>45353</v>
      </c>
      <c r="D2024" t="inlineStr">
        <is>
          <t>VÄRMLANDS LÄN</t>
        </is>
      </c>
      <c r="E2024" t="inlineStr">
        <is>
          <t>SÄFFLE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29582-2019</t>
        </is>
      </c>
      <c r="B2025" s="1" t="n">
        <v>43630</v>
      </c>
      <c r="C2025" s="1" t="n">
        <v>45353</v>
      </c>
      <c r="D2025" t="inlineStr">
        <is>
          <t>VÄRMLANDS LÄN</t>
        </is>
      </c>
      <c r="E2025" t="inlineStr">
        <is>
          <t>HAGFORS</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29644-2019</t>
        </is>
      </c>
      <c r="B2026" s="1" t="n">
        <v>43630</v>
      </c>
      <c r="C2026" s="1" t="n">
        <v>45353</v>
      </c>
      <c r="D2026" t="inlineStr">
        <is>
          <t>VÄRMLANDS LÄN</t>
        </is>
      </c>
      <c r="E2026" t="inlineStr">
        <is>
          <t>FORSHAGA</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29722-2019</t>
        </is>
      </c>
      <c r="B2027" s="1" t="n">
        <v>43630</v>
      </c>
      <c r="C2027" s="1" t="n">
        <v>45353</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30031-2019</t>
        </is>
      </c>
      <c r="B2028" s="1" t="n">
        <v>43633</v>
      </c>
      <c r="C2028" s="1" t="n">
        <v>45353</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29825-2019</t>
        </is>
      </c>
      <c r="B2029" s="1" t="n">
        <v>43633</v>
      </c>
      <c r="C2029" s="1" t="n">
        <v>45353</v>
      </c>
      <c r="D2029" t="inlineStr">
        <is>
          <t>VÄRMLANDS LÄN</t>
        </is>
      </c>
      <c r="E2029" t="inlineStr">
        <is>
          <t>SUNNE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30035-2019</t>
        </is>
      </c>
      <c r="B2030" s="1" t="n">
        <v>43633</v>
      </c>
      <c r="C2030" s="1" t="n">
        <v>45353</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30049-2019</t>
        </is>
      </c>
      <c r="B2031" s="1" t="n">
        <v>43633</v>
      </c>
      <c r="C2031" s="1" t="n">
        <v>45353</v>
      </c>
      <c r="D2031" t="inlineStr">
        <is>
          <t>VÄRMLANDS LÄN</t>
        </is>
      </c>
      <c r="E2031" t="inlineStr">
        <is>
          <t>TORSBY</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29984-2019</t>
        </is>
      </c>
      <c r="B2032" s="1" t="n">
        <v>43633</v>
      </c>
      <c r="C2032" s="1" t="n">
        <v>45353</v>
      </c>
      <c r="D2032" t="inlineStr">
        <is>
          <t>VÄRMLANDS LÄN</t>
        </is>
      </c>
      <c r="E2032" t="inlineStr">
        <is>
          <t>TORSBY</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30328-2019</t>
        </is>
      </c>
      <c r="B2033" s="1" t="n">
        <v>43633</v>
      </c>
      <c r="C2033" s="1" t="n">
        <v>45353</v>
      </c>
      <c r="D2033" t="inlineStr">
        <is>
          <t>VÄRMLANDS LÄN</t>
        </is>
      </c>
      <c r="E2033" t="inlineStr">
        <is>
          <t>ARVIKA</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30221-2019</t>
        </is>
      </c>
      <c r="B2034" s="1" t="n">
        <v>43633</v>
      </c>
      <c r="C2034" s="1" t="n">
        <v>45353</v>
      </c>
      <c r="D2034" t="inlineStr">
        <is>
          <t>VÄRMLANDS LÄN</t>
        </is>
      </c>
      <c r="E2034" t="inlineStr">
        <is>
          <t>HAGFORS</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30391-2019</t>
        </is>
      </c>
      <c r="B2035" s="1" t="n">
        <v>43633</v>
      </c>
      <c r="C2035" s="1" t="n">
        <v>45353</v>
      </c>
      <c r="D2035" t="inlineStr">
        <is>
          <t>VÄRMLANDS LÄN</t>
        </is>
      </c>
      <c r="E2035" t="inlineStr">
        <is>
          <t>SUNNE</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30316-2019</t>
        </is>
      </c>
      <c r="B2036" s="1" t="n">
        <v>43633</v>
      </c>
      <c r="C2036" s="1" t="n">
        <v>45353</v>
      </c>
      <c r="D2036" t="inlineStr">
        <is>
          <t>VÄRMLANDS LÄN</t>
        </is>
      </c>
      <c r="E2036" t="inlineStr">
        <is>
          <t>ARVIKA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30398-2019</t>
        </is>
      </c>
      <c r="B2037" s="1" t="n">
        <v>43633</v>
      </c>
      <c r="C2037" s="1" t="n">
        <v>45353</v>
      </c>
      <c r="D2037" t="inlineStr">
        <is>
          <t>VÄRMLANDS LÄN</t>
        </is>
      </c>
      <c r="E2037" t="inlineStr">
        <is>
          <t>HAGFORS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30325-2019</t>
        </is>
      </c>
      <c r="B2038" s="1" t="n">
        <v>43633</v>
      </c>
      <c r="C2038" s="1" t="n">
        <v>45353</v>
      </c>
      <c r="D2038" t="inlineStr">
        <is>
          <t>VÄRMLANDS LÄN</t>
        </is>
      </c>
      <c r="E2038" t="inlineStr">
        <is>
          <t>ARVIKA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30310-2019</t>
        </is>
      </c>
      <c r="B2039" s="1" t="n">
        <v>43634</v>
      </c>
      <c r="C2039" s="1" t="n">
        <v>45353</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30462-2019</t>
        </is>
      </c>
      <c r="B2040" s="1" t="n">
        <v>43634</v>
      </c>
      <c r="C2040" s="1" t="n">
        <v>45353</v>
      </c>
      <c r="D2040" t="inlineStr">
        <is>
          <t>VÄRMLANDS LÄN</t>
        </is>
      </c>
      <c r="E2040" t="inlineStr">
        <is>
          <t>SUNNE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30353-2019</t>
        </is>
      </c>
      <c r="B2041" s="1" t="n">
        <v>43634</v>
      </c>
      <c r="C2041" s="1" t="n">
        <v>45353</v>
      </c>
      <c r="D2041" t="inlineStr">
        <is>
          <t>VÄRMLANDS LÄN</t>
        </is>
      </c>
      <c r="E2041" t="inlineStr">
        <is>
          <t>ARVIKA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30486-2019</t>
        </is>
      </c>
      <c r="B2042" s="1" t="n">
        <v>43634</v>
      </c>
      <c r="C2042" s="1" t="n">
        <v>45353</v>
      </c>
      <c r="D2042" t="inlineStr">
        <is>
          <t>VÄRMLANDS LÄN</t>
        </is>
      </c>
      <c r="E2042" t="inlineStr">
        <is>
          <t>SUNNE</t>
        </is>
      </c>
      <c r="G2042" t="n">
        <v>17.8</v>
      </c>
      <c r="H2042" t="n">
        <v>0</v>
      </c>
      <c r="I2042" t="n">
        <v>0</v>
      </c>
      <c r="J2042" t="n">
        <v>0</v>
      </c>
      <c r="K2042" t="n">
        <v>0</v>
      </c>
      <c r="L2042" t="n">
        <v>0</v>
      </c>
      <c r="M2042" t="n">
        <v>0</v>
      </c>
      <c r="N2042" t="n">
        <v>0</v>
      </c>
      <c r="O2042" t="n">
        <v>0</v>
      </c>
      <c r="P2042" t="n">
        <v>0</v>
      </c>
      <c r="Q2042" t="n">
        <v>0</v>
      </c>
      <c r="R2042" s="2" t="inlineStr"/>
    </row>
    <row r="2043" ht="15" customHeight="1">
      <c r="A2043" t="inlineStr">
        <is>
          <t>A 30158-2019</t>
        </is>
      </c>
      <c r="B2043" s="1" t="n">
        <v>43634</v>
      </c>
      <c r="C2043" s="1" t="n">
        <v>45353</v>
      </c>
      <c r="D2043" t="inlineStr">
        <is>
          <t>VÄRMLANDS LÄN</t>
        </is>
      </c>
      <c r="E2043" t="inlineStr">
        <is>
          <t>TORSBY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30596-2019</t>
        </is>
      </c>
      <c r="B2044" s="1" t="n">
        <v>43635</v>
      </c>
      <c r="C2044" s="1" t="n">
        <v>45353</v>
      </c>
      <c r="D2044" t="inlineStr">
        <is>
          <t>VÄRMLANDS LÄN</t>
        </is>
      </c>
      <c r="E2044" t="inlineStr">
        <is>
          <t>TORSBY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30643-2019</t>
        </is>
      </c>
      <c r="B2045" s="1" t="n">
        <v>43635</v>
      </c>
      <c r="C2045" s="1" t="n">
        <v>45353</v>
      </c>
      <c r="D2045" t="inlineStr">
        <is>
          <t>VÄRMLANDS LÄN</t>
        </is>
      </c>
      <c r="E2045" t="inlineStr">
        <is>
          <t>ARVIKA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31190-2019</t>
        </is>
      </c>
      <c r="B2046" s="1" t="n">
        <v>43635</v>
      </c>
      <c r="C2046" s="1" t="n">
        <v>45353</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30535-2019</t>
        </is>
      </c>
      <c r="B2047" s="1" t="n">
        <v>43635</v>
      </c>
      <c r="C2047" s="1" t="n">
        <v>45353</v>
      </c>
      <c r="D2047" t="inlineStr">
        <is>
          <t>VÄRMLANDS LÄN</t>
        </is>
      </c>
      <c r="E2047" t="inlineStr">
        <is>
          <t>EDA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30636-2019</t>
        </is>
      </c>
      <c r="B2048" s="1" t="n">
        <v>43635</v>
      </c>
      <c r="C2048" s="1" t="n">
        <v>45353</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622-2020</t>
        </is>
      </c>
      <c r="B2049" s="1" t="n">
        <v>43635</v>
      </c>
      <c r="C2049" s="1" t="n">
        <v>45353</v>
      </c>
      <c r="D2049" t="inlineStr">
        <is>
          <t>VÄRMLANDS LÄN</t>
        </is>
      </c>
      <c r="E2049" t="inlineStr">
        <is>
          <t>ARVIKA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30641-2019</t>
        </is>
      </c>
      <c r="B2050" s="1" t="n">
        <v>43636</v>
      </c>
      <c r="C2050" s="1" t="n">
        <v>45353</v>
      </c>
      <c r="D2050" t="inlineStr">
        <is>
          <t>VÄRMLANDS LÄN</t>
        </is>
      </c>
      <c r="E2050" t="inlineStr">
        <is>
          <t>KARLSTAD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30728-2019</t>
        </is>
      </c>
      <c r="B2051" s="1" t="n">
        <v>43636</v>
      </c>
      <c r="C2051" s="1" t="n">
        <v>45353</v>
      </c>
      <c r="D2051" t="inlineStr">
        <is>
          <t>VÄRMLANDS LÄN</t>
        </is>
      </c>
      <c r="E2051" t="inlineStr">
        <is>
          <t>SUNNE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30860-2019</t>
        </is>
      </c>
      <c r="B2052" s="1" t="n">
        <v>43636</v>
      </c>
      <c r="C2052" s="1" t="n">
        <v>45353</v>
      </c>
      <c r="D2052" t="inlineStr">
        <is>
          <t>VÄRMLANDS LÄN</t>
        </is>
      </c>
      <c r="E2052" t="inlineStr">
        <is>
          <t>TORSBY</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31188-2019</t>
        </is>
      </c>
      <c r="B2053" s="1" t="n">
        <v>43636</v>
      </c>
      <c r="C2053" s="1" t="n">
        <v>45353</v>
      </c>
      <c r="D2053" t="inlineStr">
        <is>
          <t>VÄRMLANDS LÄN</t>
        </is>
      </c>
      <c r="E2053" t="inlineStr">
        <is>
          <t>SÄFFLE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30885-2019</t>
        </is>
      </c>
      <c r="B2054" s="1" t="n">
        <v>43636</v>
      </c>
      <c r="C2054" s="1" t="n">
        <v>45353</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30777-2019</t>
        </is>
      </c>
      <c r="B2055" s="1" t="n">
        <v>43636</v>
      </c>
      <c r="C2055" s="1" t="n">
        <v>45353</v>
      </c>
      <c r="D2055" t="inlineStr">
        <is>
          <t>VÄRMLANDS LÄN</t>
        </is>
      </c>
      <c r="E2055" t="inlineStr">
        <is>
          <t>FILIPSTAD</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31379-2019</t>
        </is>
      </c>
      <c r="B2056" s="1" t="n">
        <v>43636</v>
      </c>
      <c r="C2056" s="1" t="n">
        <v>45353</v>
      </c>
      <c r="D2056" t="inlineStr">
        <is>
          <t>VÄRMLANDS LÄN</t>
        </is>
      </c>
      <c r="E2056" t="inlineStr">
        <is>
          <t>ÅRJÄNG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30888-2019</t>
        </is>
      </c>
      <c r="B2057" s="1" t="n">
        <v>43636</v>
      </c>
      <c r="C2057" s="1" t="n">
        <v>45353</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30975-2019</t>
        </is>
      </c>
      <c r="B2058" s="1" t="n">
        <v>43639</v>
      </c>
      <c r="C2058" s="1" t="n">
        <v>45353</v>
      </c>
      <c r="D2058" t="inlineStr">
        <is>
          <t>VÄRMLANDS LÄN</t>
        </is>
      </c>
      <c r="E2058" t="inlineStr">
        <is>
          <t>KARLSTAD</t>
        </is>
      </c>
      <c r="F2058" t="inlineStr">
        <is>
          <t>Naturvårdsverket</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30977-2019</t>
        </is>
      </c>
      <c r="B2059" s="1" t="n">
        <v>43640</v>
      </c>
      <c r="C2059" s="1" t="n">
        <v>45353</v>
      </c>
      <c r="D2059" t="inlineStr">
        <is>
          <t>VÄRMLANDS LÄN</t>
        </is>
      </c>
      <c r="E2059" t="inlineStr">
        <is>
          <t>MUNKFORS</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31109-2019</t>
        </is>
      </c>
      <c r="B2060" s="1" t="n">
        <v>43640</v>
      </c>
      <c r="C2060" s="1" t="n">
        <v>45353</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31121-2019</t>
        </is>
      </c>
      <c r="B2061" s="1" t="n">
        <v>43640</v>
      </c>
      <c r="C2061" s="1" t="n">
        <v>45353</v>
      </c>
      <c r="D2061" t="inlineStr">
        <is>
          <t>VÄRMLANDS LÄN</t>
        </is>
      </c>
      <c r="E2061" t="inlineStr">
        <is>
          <t>FILIPSTAD</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31010-2019</t>
        </is>
      </c>
      <c r="B2062" s="1" t="n">
        <v>43640</v>
      </c>
      <c r="C2062" s="1" t="n">
        <v>45353</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31122-2019</t>
        </is>
      </c>
      <c r="B2063" s="1" t="n">
        <v>43640</v>
      </c>
      <c r="C2063" s="1" t="n">
        <v>45353</v>
      </c>
      <c r="D2063" t="inlineStr">
        <is>
          <t>VÄRMLANDS LÄN</t>
        </is>
      </c>
      <c r="E2063" t="inlineStr">
        <is>
          <t>FILIPSTAD</t>
        </is>
      </c>
      <c r="F2063" t="inlineStr">
        <is>
          <t>Bergvik skog väst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31142-2019</t>
        </is>
      </c>
      <c r="B2064" s="1" t="n">
        <v>43640</v>
      </c>
      <c r="C2064" s="1" t="n">
        <v>45353</v>
      </c>
      <c r="D2064" t="inlineStr">
        <is>
          <t>VÄRMLANDS LÄN</t>
        </is>
      </c>
      <c r="E2064" t="inlineStr">
        <is>
          <t>KARLSTAD</t>
        </is>
      </c>
      <c r="F2064" t="inlineStr">
        <is>
          <t>Bergvik skog väst AB</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31120-2019</t>
        </is>
      </c>
      <c r="B2065" s="1" t="n">
        <v>43640</v>
      </c>
      <c r="C2065" s="1" t="n">
        <v>45353</v>
      </c>
      <c r="D2065" t="inlineStr">
        <is>
          <t>VÄRMLANDS LÄN</t>
        </is>
      </c>
      <c r="E2065" t="inlineStr">
        <is>
          <t>FILIPSTAD</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31138-2019</t>
        </is>
      </c>
      <c r="B2066" s="1" t="n">
        <v>43640</v>
      </c>
      <c r="C2066" s="1" t="n">
        <v>45353</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31218-2019</t>
        </is>
      </c>
      <c r="B2067" s="1" t="n">
        <v>43640</v>
      </c>
      <c r="C2067" s="1" t="n">
        <v>45353</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31174-2019</t>
        </is>
      </c>
      <c r="B2068" s="1" t="n">
        <v>43640</v>
      </c>
      <c r="C2068" s="1" t="n">
        <v>45353</v>
      </c>
      <c r="D2068" t="inlineStr">
        <is>
          <t>VÄRMLANDS LÄN</t>
        </is>
      </c>
      <c r="E2068" t="inlineStr">
        <is>
          <t>SÄFFLE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31457-2019</t>
        </is>
      </c>
      <c r="B2069" s="1" t="n">
        <v>43640</v>
      </c>
      <c r="C2069" s="1" t="n">
        <v>45353</v>
      </c>
      <c r="D2069" t="inlineStr">
        <is>
          <t>VÄRMLANDS LÄN</t>
        </is>
      </c>
      <c r="E2069" t="inlineStr">
        <is>
          <t>SUNNE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31664-2019</t>
        </is>
      </c>
      <c r="B2070" s="1" t="n">
        <v>43640</v>
      </c>
      <c r="C2070" s="1" t="n">
        <v>45353</v>
      </c>
      <c r="D2070" t="inlineStr">
        <is>
          <t>VÄRMLANDS LÄN</t>
        </is>
      </c>
      <c r="E2070" t="inlineStr">
        <is>
          <t>FILIPSTAD</t>
        </is>
      </c>
      <c r="F2070" t="inlineStr">
        <is>
          <t>Kyrkan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32393-2019</t>
        </is>
      </c>
      <c r="B2071" s="1" t="n">
        <v>43640</v>
      </c>
      <c r="C2071" s="1" t="n">
        <v>45353</v>
      </c>
      <c r="D2071" t="inlineStr">
        <is>
          <t>VÄRMLANDS LÄN</t>
        </is>
      </c>
      <c r="E2071" t="inlineStr">
        <is>
          <t>MUNKFORS</t>
        </is>
      </c>
      <c r="F2071" t="inlineStr">
        <is>
          <t>Bergvik skog väst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31449-2019</t>
        </is>
      </c>
      <c r="B2072" s="1" t="n">
        <v>43640</v>
      </c>
      <c r="C2072" s="1" t="n">
        <v>45353</v>
      </c>
      <c r="D2072" t="inlineStr">
        <is>
          <t>VÄRMLANDS LÄN</t>
        </is>
      </c>
      <c r="E2072" t="inlineStr">
        <is>
          <t>SUNNE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31650-2019</t>
        </is>
      </c>
      <c r="B2073" s="1" t="n">
        <v>43640</v>
      </c>
      <c r="C2073" s="1" t="n">
        <v>45353</v>
      </c>
      <c r="D2073" t="inlineStr">
        <is>
          <t>VÄRMLANDS LÄN</t>
        </is>
      </c>
      <c r="E2073" t="inlineStr">
        <is>
          <t>FILIPSTAD</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31203-2019</t>
        </is>
      </c>
      <c r="B2074" s="1" t="n">
        <v>43640</v>
      </c>
      <c r="C2074" s="1" t="n">
        <v>45353</v>
      </c>
      <c r="D2074" t="inlineStr">
        <is>
          <t>VÄRMLANDS LÄN</t>
        </is>
      </c>
      <c r="E2074" t="inlineStr">
        <is>
          <t>KRISTINEHAMN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31383-2019</t>
        </is>
      </c>
      <c r="B2075" s="1" t="n">
        <v>43641</v>
      </c>
      <c r="C2075" s="1" t="n">
        <v>45353</v>
      </c>
      <c r="D2075" t="inlineStr">
        <is>
          <t>VÄRMLANDS LÄN</t>
        </is>
      </c>
      <c r="E2075" t="inlineStr">
        <is>
          <t>FORSHAGA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31553-2019</t>
        </is>
      </c>
      <c r="B2076" s="1" t="n">
        <v>43641</v>
      </c>
      <c r="C2076" s="1" t="n">
        <v>45353</v>
      </c>
      <c r="D2076" t="inlineStr">
        <is>
          <t>VÄRMLANDS LÄN</t>
        </is>
      </c>
      <c r="E2076" t="inlineStr">
        <is>
          <t>SUNNE</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31327-2019</t>
        </is>
      </c>
      <c r="B2077" s="1" t="n">
        <v>43641</v>
      </c>
      <c r="C2077" s="1" t="n">
        <v>45353</v>
      </c>
      <c r="D2077" t="inlineStr">
        <is>
          <t>VÄRMLANDS LÄN</t>
        </is>
      </c>
      <c r="E2077" t="inlineStr">
        <is>
          <t>ARVIKA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31543-2019</t>
        </is>
      </c>
      <c r="B2078" s="1" t="n">
        <v>43641</v>
      </c>
      <c r="C2078" s="1" t="n">
        <v>45353</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31349-2019</t>
        </is>
      </c>
      <c r="B2079" s="1" t="n">
        <v>43641</v>
      </c>
      <c r="C2079" s="1" t="n">
        <v>45353</v>
      </c>
      <c r="D2079" t="inlineStr">
        <is>
          <t>VÄRMLANDS LÄN</t>
        </is>
      </c>
      <c r="E2079" t="inlineStr">
        <is>
          <t>FORSHAGA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31631-2019</t>
        </is>
      </c>
      <c r="B2080" s="1" t="n">
        <v>43642</v>
      </c>
      <c r="C2080" s="1" t="n">
        <v>45353</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31609-2019</t>
        </is>
      </c>
      <c r="B2081" s="1" t="n">
        <v>43642</v>
      </c>
      <c r="C2081" s="1" t="n">
        <v>45353</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31661-2019</t>
        </is>
      </c>
      <c r="B2082" s="1" t="n">
        <v>43642</v>
      </c>
      <c r="C2082" s="1" t="n">
        <v>45353</v>
      </c>
      <c r="D2082" t="inlineStr">
        <is>
          <t>VÄRMLANDS LÄN</t>
        </is>
      </c>
      <c r="E2082" t="inlineStr">
        <is>
          <t>SUNNE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32057-2019</t>
        </is>
      </c>
      <c r="B2083" s="1" t="n">
        <v>43642</v>
      </c>
      <c r="C2083" s="1" t="n">
        <v>45353</v>
      </c>
      <c r="D2083" t="inlineStr">
        <is>
          <t>VÄRMLANDS LÄN</t>
        </is>
      </c>
      <c r="E2083" t="inlineStr">
        <is>
          <t>GRUMS</t>
        </is>
      </c>
      <c r="F2083" t="inlineStr">
        <is>
          <t>Bergvik skog väst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32068-2019</t>
        </is>
      </c>
      <c r="B2084" s="1" t="n">
        <v>43642</v>
      </c>
      <c r="C2084" s="1" t="n">
        <v>45353</v>
      </c>
      <c r="D2084" t="inlineStr">
        <is>
          <t>VÄRMLANDS LÄN</t>
        </is>
      </c>
      <c r="E2084" t="inlineStr">
        <is>
          <t>GRUMS</t>
        </is>
      </c>
      <c r="F2084" t="inlineStr">
        <is>
          <t>Bergvik skog väst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31930-2019</t>
        </is>
      </c>
      <c r="B2085" s="1" t="n">
        <v>43642</v>
      </c>
      <c r="C2085" s="1" t="n">
        <v>45353</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32071-2019</t>
        </is>
      </c>
      <c r="B2086" s="1" t="n">
        <v>43642</v>
      </c>
      <c r="C2086" s="1" t="n">
        <v>45353</v>
      </c>
      <c r="D2086" t="inlineStr">
        <is>
          <t>VÄRMLANDS LÄN</t>
        </is>
      </c>
      <c r="E2086" t="inlineStr">
        <is>
          <t>GRUMS</t>
        </is>
      </c>
      <c r="F2086" t="inlineStr">
        <is>
          <t>Bergvik skog väst AB</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32013-2019</t>
        </is>
      </c>
      <c r="B2087" s="1" t="n">
        <v>43642</v>
      </c>
      <c r="C2087" s="1" t="n">
        <v>45353</v>
      </c>
      <c r="D2087" t="inlineStr">
        <is>
          <t>VÄRMLANDS LÄN</t>
        </is>
      </c>
      <c r="E2087" t="inlineStr">
        <is>
          <t>STORFORS</t>
        </is>
      </c>
      <c r="F2087" t="inlineStr">
        <is>
          <t>Kyrkan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31658-2019</t>
        </is>
      </c>
      <c r="B2088" s="1" t="n">
        <v>43642</v>
      </c>
      <c r="C2088" s="1" t="n">
        <v>45353</v>
      </c>
      <c r="D2088" t="inlineStr">
        <is>
          <t>VÄRMLANDS LÄN</t>
        </is>
      </c>
      <c r="E2088" t="inlineStr">
        <is>
          <t>ÅRJÄNG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32040-2019</t>
        </is>
      </c>
      <c r="B2089" s="1" t="n">
        <v>43643</v>
      </c>
      <c r="C2089" s="1" t="n">
        <v>45353</v>
      </c>
      <c r="D2089" t="inlineStr">
        <is>
          <t>VÄRMLANDS LÄN</t>
        </is>
      </c>
      <c r="E2089" t="inlineStr">
        <is>
          <t>KRISTINEHAMN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31981-2019</t>
        </is>
      </c>
      <c r="B2090" s="1" t="n">
        <v>43643</v>
      </c>
      <c r="C2090" s="1" t="n">
        <v>45353</v>
      </c>
      <c r="D2090" t="inlineStr">
        <is>
          <t>VÄRMLANDS LÄN</t>
        </is>
      </c>
      <c r="E2090" t="inlineStr">
        <is>
          <t>GRUMS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32185-2019</t>
        </is>
      </c>
      <c r="B2091" s="1" t="n">
        <v>43643</v>
      </c>
      <c r="C2091" s="1" t="n">
        <v>45353</v>
      </c>
      <c r="D2091" t="inlineStr">
        <is>
          <t>VÄRMLANDS LÄN</t>
        </is>
      </c>
      <c r="E2091" t="inlineStr">
        <is>
          <t>ARVIKA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31954-2019</t>
        </is>
      </c>
      <c r="B2092" s="1" t="n">
        <v>43643</v>
      </c>
      <c r="C2092" s="1" t="n">
        <v>45353</v>
      </c>
      <c r="D2092" t="inlineStr">
        <is>
          <t>VÄRMLANDS LÄN</t>
        </is>
      </c>
      <c r="E2092" t="inlineStr">
        <is>
          <t>SUNNE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32099-2019</t>
        </is>
      </c>
      <c r="B2093" s="1" t="n">
        <v>43643</v>
      </c>
      <c r="C2093" s="1" t="n">
        <v>45353</v>
      </c>
      <c r="D2093" t="inlineStr">
        <is>
          <t>VÄRMLANDS LÄN</t>
        </is>
      </c>
      <c r="E2093" t="inlineStr">
        <is>
          <t>KRISTINEHAMN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32170-2019</t>
        </is>
      </c>
      <c r="B2094" s="1" t="n">
        <v>43643</v>
      </c>
      <c r="C2094" s="1" t="n">
        <v>45353</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32076-2019</t>
        </is>
      </c>
      <c r="B2095" s="1" t="n">
        <v>43643</v>
      </c>
      <c r="C2095" s="1" t="n">
        <v>45353</v>
      </c>
      <c r="D2095" t="inlineStr">
        <is>
          <t>VÄRMLANDS LÄN</t>
        </is>
      </c>
      <c r="E2095" t="inlineStr">
        <is>
          <t>KRISTINEHAMN</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32112-2019</t>
        </is>
      </c>
      <c r="B2096" s="1" t="n">
        <v>43643</v>
      </c>
      <c r="C2096" s="1" t="n">
        <v>45353</v>
      </c>
      <c r="D2096" t="inlineStr">
        <is>
          <t>VÄRMLANDS LÄN</t>
        </is>
      </c>
      <c r="E2096" t="inlineStr">
        <is>
          <t>KRISTINEHAMN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32250-2019</t>
        </is>
      </c>
      <c r="B2097" s="1" t="n">
        <v>43644</v>
      </c>
      <c r="C2097" s="1" t="n">
        <v>45353</v>
      </c>
      <c r="D2097" t="inlineStr">
        <is>
          <t>VÄRMLANDS LÄN</t>
        </is>
      </c>
      <c r="E2097" t="inlineStr">
        <is>
          <t>KIL</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32406-2019</t>
        </is>
      </c>
      <c r="B2098" s="1" t="n">
        <v>43644</v>
      </c>
      <c r="C2098" s="1" t="n">
        <v>45353</v>
      </c>
      <c r="D2098" t="inlineStr">
        <is>
          <t>VÄRMLANDS LÄN</t>
        </is>
      </c>
      <c r="E2098" t="inlineStr">
        <is>
          <t>KARLSTAD</t>
        </is>
      </c>
      <c r="F2098" t="inlineStr">
        <is>
          <t>Kommuner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32413-2019</t>
        </is>
      </c>
      <c r="B2099" s="1" t="n">
        <v>43644</v>
      </c>
      <c r="C2099" s="1" t="n">
        <v>45353</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32443-2019</t>
        </is>
      </c>
      <c r="B2100" s="1" t="n">
        <v>43644</v>
      </c>
      <c r="C2100" s="1" t="n">
        <v>45353</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32298-2019</t>
        </is>
      </c>
      <c r="B2101" s="1" t="n">
        <v>43644</v>
      </c>
      <c r="C2101" s="1" t="n">
        <v>45353</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33540-2019</t>
        </is>
      </c>
      <c r="B2102" s="1" t="n">
        <v>43644</v>
      </c>
      <c r="C2102" s="1" t="n">
        <v>45353</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32468-2019</t>
        </is>
      </c>
      <c r="B2103" s="1" t="n">
        <v>43644</v>
      </c>
      <c r="C2103" s="1" t="n">
        <v>45353</v>
      </c>
      <c r="D2103" t="inlineStr">
        <is>
          <t>VÄRMLANDS LÄN</t>
        </is>
      </c>
      <c r="E2103" t="inlineStr">
        <is>
          <t>TORSBY</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33587-2019</t>
        </is>
      </c>
      <c r="B2104" s="1" t="n">
        <v>43644</v>
      </c>
      <c r="C2104" s="1" t="n">
        <v>45353</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32444-2019</t>
        </is>
      </c>
      <c r="B2105" s="1" t="n">
        <v>43644</v>
      </c>
      <c r="C2105" s="1" t="n">
        <v>45353</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32516-2019</t>
        </is>
      </c>
      <c r="B2106" s="1" t="n">
        <v>43646</v>
      </c>
      <c r="C2106" s="1" t="n">
        <v>45353</v>
      </c>
      <c r="D2106" t="inlineStr">
        <is>
          <t>VÄRMLANDS LÄN</t>
        </is>
      </c>
      <c r="E2106" t="inlineStr">
        <is>
          <t>SUNNE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33915-2019</t>
        </is>
      </c>
      <c r="B2107" s="1" t="n">
        <v>43646</v>
      </c>
      <c r="C2107" s="1" t="n">
        <v>45353</v>
      </c>
      <c r="D2107" t="inlineStr">
        <is>
          <t>VÄRMLANDS LÄN</t>
        </is>
      </c>
      <c r="E2107" t="inlineStr">
        <is>
          <t>ÅRJÄNG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33911-2019</t>
        </is>
      </c>
      <c r="B2108" s="1" t="n">
        <v>43646</v>
      </c>
      <c r="C2108" s="1" t="n">
        <v>45353</v>
      </c>
      <c r="D2108" t="inlineStr">
        <is>
          <t>VÄRMLANDS LÄN</t>
        </is>
      </c>
      <c r="E2108" t="inlineStr">
        <is>
          <t>ÅRJÄNG</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32562-2019</t>
        </is>
      </c>
      <c r="B2109" s="1" t="n">
        <v>43647</v>
      </c>
      <c r="C2109" s="1" t="n">
        <v>45353</v>
      </c>
      <c r="D2109" t="inlineStr">
        <is>
          <t>VÄRMLANDS LÄN</t>
        </is>
      </c>
      <c r="E2109" t="inlineStr">
        <is>
          <t>FILIPSTAD</t>
        </is>
      </c>
      <c r="F2109" t="inlineStr">
        <is>
          <t>Bergvik skog väst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32560-2019</t>
        </is>
      </c>
      <c r="B2110" s="1" t="n">
        <v>43647</v>
      </c>
      <c r="C2110" s="1" t="n">
        <v>45353</v>
      </c>
      <c r="D2110" t="inlineStr">
        <is>
          <t>VÄRMLANDS LÄN</t>
        </is>
      </c>
      <c r="E2110" t="inlineStr">
        <is>
          <t>SUNNE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34526-2019</t>
        </is>
      </c>
      <c r="B2111" s="1" t="n">
        <v>43647</v>
      </c>
      <c r="C2111" s="1" t="n">
        <v>45353</v>
      </c>
      <c r="D2111" t="inlineStr">
        <is>
          <t>VÄRMLANDS LÄN</t>
        </is>
      </c>
      <c r="E2111" t="inlineStr">
        <is>
          <t>ÅRJÄNG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32764-2019</t>
        </is>
      </c>
      <c r="B2112" s="1" t="n">
        <v>43648</v>
      </c>
      <c r="C2112" s="1" t="n">
        <v>45353</v>
      </c>
      <c r="D2112" t="inlineStr">
        <is>
          <t>VÄRMLANDS LÄN</t>
        </is>
      </c>
      <c r="E2112" t="inlineStr">
        <is>
          <t>SÄFFLE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32865-2019</t>
        </is>
      </c>
      <c r="B2113" s="1" t="n">
        <v>43648</v>
      </c>
      <c r="C2113" s="1" t="n">
        <v>45353</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32900-2019</t>
        </is>
      </c>
      <c r="B2114" s="1" t="n">
        <v>43648</v>
      </c>
      <c r="C2114" s="1" t="n">
        <v>45353</v>
      </c>
      <c r="D2114" t="inlineStr">
        <is>
          <t>VÄRMLANDS LÄN</t>
        </is>
      </c>
      <c r="E2114" t="inlineStr">
        <is>
          <t>KARLSTAD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34646-2019</t>
        </is>
      </c>
      <c r="B2115" s="1" t="n">
        <v>43648</v>
      </c>
      <c r="C2115" s="1" t="n">
        <v>45353</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34750-2019</t>
        </is>
      </c>
      <c r="B2116" s="1" t="n">
        <v>43648</v>
      </c>
      <c r="C2116" s="1" t="n">
        <v>45353</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32896-2019</t>
        </is>
      </c>
      <c r="B2117" s="1" t="n">
        <v>43648</v>
      </c>
      <c r="C2117" s="1" t="n">
        <v>45353</v>
      </c>
      <c r="D2117" t="inlineStr">
        <is>
          <t>VÄRMLANDS LÄN</t>
        </is>
      </c>
      <c r="E2117" t="inlineStr">
        <is>
          <t>SÄFFLE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32765-2019</t>
        </is>
      </c>
      <c r="B2118" s="1" t="n">
        <v>43648</v>
      </c>
      <c r="C2118" s="1" t="n">
        <v>45353</v>
      </c>
      <c r="D2118" t="inlineStr">
        <is>
          <t>VÄRMLANDS LÄN</t>
        </is>
      </c>
      <c r="E2118" t="inlineStr">
        <is>
          <t>SÄFFLE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32763-2019</t>
        </is>
      </c>
      <c r="B2119" s="1" t="n">
        <v>43648</v>
      </c>
      <c r="C2119" s="1" t="n">
        <v>45353</v>
      </c>
      <c r="D2119" t="inlineStr">
        <is>
          <t>VÄRMLANDS LÄN</t>
        </is>
      </c>
      <c r="E2119" t="inlineStr">
        <is>
          <t>SÄFFLE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33004-2019</t>
        </is>
      </c>
      <c r="B2120" s="1" t="n">
        <v>43649</v>
      </c>
      <c r="C2120" s="1" t="n">
        <v>45353</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33132-2019</t>
        </is>
      </c>
      <c r="B2121" s="1" t="n">
        <v>43649</v>
      </c>
      <c r="C2121" s="1" t="n">
        <v>45353</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34762-2019</t>
        </is>
      </c>
      <c r="B2122" s="1" t="n">
        <v>43649</v>
      </c>
      <c r="C2122" s="1" t="n">
        <v>45353</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33192-2019</t>
        </is>
      </c>
      <c r="B2123" s="1" t="n">
        <v>43649</v>
      </c>
      <c r="C2123" s="1" t="n">
        <v>45353</v>
      </c>
      <c r="D2123" t="inlineStr">
        <is>
          <t>VÄRMLANDS LÄN</t>
        </is>
      </c>
      <c r="E2123" t="inlineStr">
        <is>
          <t>ÅRJÄNG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33195-2019</t>
        </is>
      </c>
      <c r="B2124" s="1" t="n">
        <v>43649</v>
      </c>
      <c r="C2124" s="1" t="n">
        <v>45353</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33039-2019</t>
        </is>
      </c>
      <c r="B2125" s="1" t="n">
        <v>43649</v>
      </c>
      <c r="C2125" s="1" t="n">
        <v>45353</v>
      </c>
      <c r="D2125" t="inlineStr">
        <is>
          <t>VÄRMLANDS LÄN</t>
        </is>
      </c>
      <c r="E2125" t="inlineStr">
        <is>
          <t>HAGFORS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33232-2019</t>
        </is>
      </c>
      <c r="B2126" s="1" t="n">
        <v>43650</v>
      </c>
      <c r="C2126" s="1" t="n">
        <v>45353</v>
      </c>
      <c r="D2126" t="inlineStr">
        <is>
          <t>VÄRMLANDS LÄN</t>
        </is>
      </c>
      <c r="E2126" t="inlineStr">
        <is>
          <t>KIL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33442-2019</t>
        </is>
      </c>
      <c r="B2127" s="1" t="n">
        <v>43650</v>
      </c>
      <c r="C2127" s="1" t="n">
        <v>45353</v>
      </c>
      <c r="D2127" t="inlineStr">
        <is>
          <t>VÄRMLANDS LÄN</t>
        </is>
      </c>
      <c r="E2127" t="inlineStr">
        <is>
          <t>ÅRJÄNG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33375-2019</t>
        </is>
      </c>
      <c r="B2128" s="1" t="n">
        <v>43650</v>
      </c>
      <c r="C2128" s="1" t="n">
        <v>45353</v>
      </c>
      <c r="D2128" t="inlineStr">
        <is>
          <t>VÄRMLANDS LÄN</t>
        </is>
      </c>
      <c r="E2128" t="inlineStr">
        <is>
          <t>KIL</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33309-2019</t>
        </is>
      </c>
      <c r="B2129" s="1" t="n">
        <v>43650</v>
      </c>
      <c r="C2129" s="1" t="n">
        <v>45353</v>
      </c>
      <c r="D2129" t="inlineStr">
        <is>
          <t>VÄRMLANDS LÄN</t>
        </is>
      </c>
      <c r="E2129" t="inlineStr">
        <is>
          <t>STORFORS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33405-2019</t>
        </is>
      </c>
      <c r="B2130" s="1" t="n">
        <v>43650</v>
      </c>
      <c r="C2130" s="1" t="n">
        <v>45353</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34904-2019</t>
        </is>
      </c>
      <c r="B2131" s="1" t="n">
        <v>43650</v>
      </c>
      <c r="C2131" s="1" t="n">
        <v>45353</v>
      </c>
      <c r="D2131" t="inlineStr">
        <is>
          <t>VÄRMLANDS LÄN</t>
        </is>
      </c>
      <c r="E2131" t="inlineStr">
        <is>
          <t>KRISTINEHAMN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33443-2019</t>
        </is>
      </c>
      <c r="B2132" s="1" t="n">
        <v>43650</v>
      </c>
      <c r="C2132" s="1" t="n">
        <v>45353</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33401-2019</t>
        </is>
      </c>
      <c r="B2133" s="1" t="n">
        <v>43650</v>
      </c>
      <c r="C2133" s="1" t="n">
        <v>45353</v>
      </c>
      <c r="D2133" t="inlineStr">
        <is>
          <t>VÄRMLANDS LÄN</t>
        </is>
      </c>
      <c r="E2133" t="inlineStr">
        <is>
          <t>KRISTINEHAMN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33633-2019</t>
        </is>
      </c>
      <c r="B2134" s="1" t="n">
        <v>43651</v>
      </c>
      <c r="C2134" s="1" t="n">
        <v>45353</v>
      </c>
      <c r="D2134" t="inlineStr">
        <is>
          <t>VÄRMLANDS LÄN</t>
        </is>
      </c>
      <c r="E2134" t="inlineStr">
        <is>
          <t>SUNNE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33622-2019</t>
        </is>
      </c>
      <c r="B2135" s="1" t="n">
        <v>43651</v>
      </c>
      <c r="C2135" s="1" t="n">
        <v>45353</v>
      </c>
      <c r="D2135" t="inlineStr">
        <is>
          <t>VÄRMLANDS LÄN</t>
        </is>
      </c>
      <c r="E2135" t="inlineStr">
        <is>
          <t>SÄFFLE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35245-2019</t>
        </is>
      </c>
      <c r="B2136" s="1" t="n">
        <v>43651</v>
      </c>
      <c r="C2136" s="1" t="n">
        <v>45353</v>
      </c>
      <c r="D2136" t="inlineStr">
        <is>
          <t>VÄRMLANDS LÄN</t>
        </is>
      </c>
      <c r="E2136" t="inlineStr">
        <is>
          <t>KARLSTAD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33521-2019</t>
        </is>
      </c>
      <c r="B2137" s="1" t="n">
        <v>43651</v>
      </c>
      <c r="C2137" s="1" t="n">
        <v>45353</v>
      </c>
      <c r="D2137" t="inlineStr">
        <is>
          <t>VÄRMLANDS LÄN</t>
        </is>
      </c>
      <c r="E2137" t="inlineStr">
        <is>
          <t>HAGFORS</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33870-2019</t>
        </is>
      </c>
      <c r="B2138" s="1" t="n">
        <v>43652</v>
      </c>
      <c r="C2138" s="1" t="n">
        <v>45353</v>
      </c>
      <c r="D2138" t="inlineStr">
        <is>
          <t>VÄRMLANDS LÄN</t>
        </is>
      </c>
      <c r="E2138" t="inlineStr">
        <is>
          <t>ÅRJÄNG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33882-2019</t>
        </is>
      </c>
      <c r="B2139" s="1" t="n">
        <v>43653</v>
      </c>
      <c r="C2139" s="1" t="n">
        <v>45353</v>
      </c>
      <c r="D2139" t="inlineStr">
        <is>
          <t>VÄRMLANDS LÄN</t>
        </is>
      </c>
      <c r="E2139" t="inlineStr">
        <is>
          <t>KRISTINEHAMN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33898-2019</t>
        </is>
      </c>
      <c r="B2140" s="1" t="n">
        <v>43653</v>
      </c>
      <c r="C2140" s="1" t="n">
        <v>45353</v>
      </c>
      <c r="D2140" t="inlineStr">
        <is>
          <t>VÄRMLANDS LÄN</t>
        </is>
      </c>
      <c r="E2140" t="inlineStr">
        <is>
          <t>EDA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33883-2019</t>
        </is>
      </c>
      <c r="B2141" s="1" t="n">
        <v>43653</v>
      </c>
      <c r="C2141" s="1" t="n">
        <v>45353</v>
      </c>
      <c r="D2141" t="inlineStr">
        <is>
          <t>VÄRMLANDS LÄN</t>
        </is>
      </c>
      <c r="E2141" t="inlineStr">
        <is>
          <t>KRISTINEHAMN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33899-2019</t>
        </is>
      </c>
      <c r="B2142" s="1" t="n">
        <v>43653</v>
      </c>
      <c r="C2142" s="1" t="n">
        <v>45353</v>
      </c>
      <c r="D2142" t="inlineStr">
        <is>
          <t>VÄRMLANDS LÄN</t>
        </is>
      </c>
      <c r="E2142" t="inlineStr">
        <is>
          <t>ÅRJÄNG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33884-2019</t>
        </is>
      </c>
      <c r="B2143" s="1" t="n">
        <v>43653</v>
      </c>
      <c r="C2143" s="1" t="n">
        <v>45353</v>
      </c>
      <c r="D2143" t="inlineStr">
        <is>
          <t>VÄRMLANDS LÄN</t>
        </is>
      </c>
      <c r="E2143" t="inlineStr">
        <is>
          <t>KRISTINEHAMN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35484-2019</t>
        </is>
      </c>
      <c r="B2144" s="1" t="n">
        <v>43653</v>
      </c>
      <c r="C2144" s="1" t="n">
        <v>45353</v>
      </c>
      <c r="D2144" t="inlineStr">
        <is>
          <t>VÄRMLANDS LÄN</t>
        </is>
      </c>
      <c r="E2144" t="inlineStr">
        <is>
          <t>SÄFFLE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33918-2019</t>
        </is>
      </c>
      <c r="B2145" s="1" t="n">
        <v>43654</v>
      </c>
      <c r="C2145" s="1" t="n">
        <v>45353</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34008-2019</t>
        </is>
      </c>
      <c r="B2146" s="1" t="n">
        <v>43654</v>
      </c>
      <c r="C2146" s="1" t="n">
        <v>45353</v>
      </c>
      <c r="D2146" t="inlineStr">
        <is>
          <t>VÄRMLANDS LÄN</t>
        </is>
      </c>
      <c r="E2146" t="inlineStr">
        <is>
          <t>HAGFORS</t>
        </is>
      </c>
      <c r="F2146" t="inlineStr">
        <is>
          <t>Bergvik skog väst AB</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33996-2019</t>
        </is>
      </c>
      <c r="B2147" s="1" t="n">
        <v>43654</v>
      </c>
      <c r="C2147" s="1" t="n">
        <v>45353</v>
      </c>
      <c r="D2147" t="inlineStr">
        <is>
          <t>VÄRMLANDS LÄN</t>
        </is>
      </c>
      <c r="E2147" t="inlineStr">
        <is>
          <t>HAGFORS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34023-2019</t>
        </is>
      </c>
      <c r="B2148" s="1" t="n">
        <v>43654</v>
      </c>
      <c r="C2148" s="1" t="n">
        <v>45353</v>
      </c>
      <c r="D2148" t="inlineStr">
        <is>
          <t>VÄRMLANDS LÄN</t>
        </is>
      </c>
      <c r="E2148" t="inlineStr">
        <is>
          <t>ARVIKA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34096-2019</t>
        </is>
      </c>
      <c r="B2149" s="1" t="n">
        <v>43654</v>
      </c>
      <c r="C2149" s="1" t="n">
        <v>45353</v>
      </c>
      <c r="D2149" t="inlineStr">
        <is>
          <t>VÄRMLANDS LÄN</t>
        </is>
      </c>
      <c r="E2149" t="inlineStr">
        <is>
          <t>ÅRJÄNG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33916-2019</t>
        </is>
      </c>
      <c r="B2150" s="1" t="n">
        <v>43654</v>
      </c>
      <c r="C2150" s="1" t="n">
        <v>45353</v>
      </c>
      <c r="D2150" t="inlineStr">
        <is>
          <t>VÄRMLANDS LÄN</t>
        </is>
      </c>
      <c r="E2150" t="inlineStr">
        <is>
          <t>ÅRJÄNG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33954-2019</t>
        </is>
      </c>
      <c r="B2151" s="1" t="n">
        <v>43654</v>
      </c>
      <c r="C2151" s="1" t="n">
        <v>45353</v>
      </c>
      <c r="D2151" t="inlineStr">
        <is>
          <t>VÄRMLANDS LÄN</t>
        </is>
      </c>
      <c r="E2151" t="inlineStr">
        <is>
          <t>SÄFFLE</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35505-2019</t>
        </is>
      </c>
      <c r="B2152" s="1" t="n">
        <v>43654</v>
      </c>
      <c r="C2152" s="1" t="n">
        <v>45353</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35559-2019</t>
        </is>
      </c>
      <c r="B2153" s="1" t="n">
        <v>43654</v>
      </c>
      <c r="C2153" s="1" t="n">
        <v>45353</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34184-2019</t>
        </is>
      </c>
      <c r="B2154" s="1" t="n">
        <v>43655</v>
      </c>
      <c r="C2154" s="1" t="n">
        <v>45353</v>
      </c>
      <c r="D2154" t="inlineStr">
        <is>
          <t>VÄRMLANDS LÄN</t>
        </is>
      </c>
      <c r="E2154" t="inlineStr">
        <is>
          <t>ÅRJÄNG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34288-2019</t>
        </is>
      </c>
      <c r="B2155" s="1" t="n">
        <v>43655</v>
      </c>
      <c r="C2155" s="1" t="n">
        <v>45353</v>
      </c>
      <c r="D2155" t="inlineStr">
        <is>
          <t>VÄRMLANDS LÄN</t>
        </is>
      </c>
      <c r="E2155" t="inlineStr">
        <is>
          <t>SUNNE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34289-2019</t>
        </is>
      </c>
      <c r="B2156" s="1" t="n">
        <v>43655</v>
      </c>
      <c r="C2156" s="1" t="n">
        <v>45353</v>
      </c>
      <c r="D2156" t="inlineStr">
        <is>
          <t>VÄRMLANDS LÄN</t>
        </is>
      </c>
      <c r="E2156" t="inlineStr">
        <is>
          <t>SUNNE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34290-2019</t>
        </is>
      </c>
      <c r="B2157" s="1" t="n">
        <v>43655</v>
      </c>
      <c r="C2157" s="1" t="n">
        <v>45353</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35680-2019</t>
        </is>
      </c>
      <c r="B2158" s="1" t="n">
        <v>43655</v>
      </c>
      <c r="C2158" s="1" t="n">
        <v>45353</v>
      </c>
      <c r="D2158" t="inlineStr">
        <is>
          <t>VÄRMLANDS LÄN</t>
        </is>
      </c>
      <c r="E2158" t="inlineStr">
        <is>
          <t>ÅRJÄNG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34250-2019</t>
        </is>
      </c>
      <c r="B2159" s="1" t="n">
        <v>43655</v>
      </c>
      <c r="C2159" s="1" t="n">
        <v>45353</v>
      </c>
      <c r="D2159" t="inlineStr">
        <is>
          <t>VÄRMLANDS LÄN</t>
        </is>
      </c>
      <c r="E2159" t="inlineStr">
        <is>
          <t>GRUMS</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34191-2019</t>
        </is>
      </c>
      <c r="B2160" s="1" t="n">
        <v>43655</v>
      </c>
      <c r="C2160" s="1" t="n">
        <v>45353</v>
      </c>
      <c r="D2160" t="inlineStr">
        <is>
          <t>VÄRMLANDS LÄN</t>
        </is>
      </c>
      <c r="E2160" t="inlineStr">
        <is>
          <t>SUNNE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34344-2019</t>
        </is>
      </c>
      <c r="B2161" s="1" t="n">
        <v>43656</v>
      </c>
      <c r="C2161" s="1" t="n">
        <v>45353</v>
      </c>
      <c r="D2161" t="inlineStr">
        <is>
          <t>VÄRMLANDS LÄN</t>
        </is>
      </c>
      <c r="E2161" t="inlineStr">
        <is>
          <t>MUNKFORS</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35788-2019</t>
        </is>
      </c>
      <c r="B2162" s="1" t="n">
        <v>43656</v>
      </c>
      <c r="C2162" s="1" t="n">
        <v>45353</v>
      </c>
      <c r="D2162" t="inlineStr">
        <is>
          <t>VÄRMLANDS LÄN</t>
        </is>
      </c>
      <c r="E2162" t="inlineStr">
        <is>
          <t>TORSBY</t>
        </is>
      </c>
      <c r="F2162" t="inlineStr">
        <is>
          <t>Kyrkan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35887-2019</t>
        </is>
      </c>
      <c r="B2163" s="1" t="n">
        <v>43656</v>
      </c>
      <c r="C2163" s="1" t="n">
        <v>45353</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34541-2019</t>
        </is>
      </c>
      <c r="B2164" s="1" t="n">
        <v>43657</v>
      </c>
      <c r="C2164" s="1" t="n">
        <v>45353</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34513-2019</t>
        </is>
      </c>
      <c r="B2165" s="1" t="n">
        <v>43657</v>
      </c>
      <c r="C2165" s="1" t="n">
        <v>45353</v>
      </c>
      <c r="D2165" t="inlineStr">
        <is>
          <t>VÄRMLANDS LÄN</t>
        </is>
      </c>
      <c r="E2165" t="inlineStr">
        <is>
          <t>FILIPSTAD</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36041-2019</t>
        </is>
      </c>
      <c r="B2166" s="1" t="n">
        <v>43657</v>
      </c>
      <c r="C2166" s="1" t="n">
        <v>45353</v>
      </c>
      <c r="D2166" t="inlineStr">
        <is>
          <t>VÄRMLANDS LÄN</t>
        </is>
      </c>
      <c r="E2166" t="inlineStr">
        <is>
          <t>ARVIKA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34582-2019</t>
        </is>
      </c>
      <c r="B2167" s="1" t="n">
        <v>43657</v>
      </c>
      <c r="C2167" s="1" t="n">
        <v>45353</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36091-2019</t>
        </is>
      </c>
      <c r="B2168" s="1" t="n">
        <v>43658</v>
      </c>
      <c r="C2168" s="1" t="n">
        <v>45353</v>
      </c>
      <c r="D2168" t="inlineStr">
        <is>
          <t>VÄRMLANDS LÄN</t>
        </is>
      </c>
      <c r="E2168" t="inlineStr">
        <is>
          <t>SÄFFLE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36095-2019</t>
        </is>
      </c>
      <c r="B2169" s="1" t="n">
        <v>43658</v>
      </c>
      <c r="C2169" s="1" t="n">
        <v>45353</v>
      </c>
      <c r="D2169" t="inlineStr">
        <is>
          <t>VÄRMLANDS LÄN</t>
        </is>
      </c>
      <c r="E2169" t="inlineStr">
        <is>
          <t>SÄFFLE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35049-2019</t>
        </is>
      </c>
      <c r="B2170" s="1" t="n">
        <v>43661</v>
      </c>
      <c r="C2170" s="1" t="n">
        <v>45353</v>
      </c>
      <c r="D2170" t="inlineStr">
        <is>
          <t>VÄRMLANDS LÄN</t>
        </is>
      </c>
      <c r="E2170" t="inlineStr">
        <is>
          <t>EDA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35088-2019</t>
        </is>
      </c>
      <c r="B2171" s="1" t="n">
        <v>43661</v>
      </c>
      <c r="C2171" s="1" t="n">
        <v>45353</v>
      </c>
      <c r="D2171" t="inlineStr">
        <is>
          <t>VÄRMLANDS LÄN</t>
        </is>
      </c>
      <c r="E2171" t="inlineStr">
        <is>
          <t>FORSHAGA</t>
        </is>
      </c>
      <c r="F2171" t="inlineStr">
        <is>
          <t>Bergvik skog väst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36309-2019</t>
        </is>
      </c>
      <c r="B2172" s="1" t="n">
        <v>43661</v>
      </c>
      <c r="C2172" s="1" t="n">
        <v>45353</v>
      </c>
      <c r="D2172" t="inlineStr">
        <is>
          <t>VÄRMLANDS LÄN</t>
        </is>
      </c>
      <c r="E2172" t="inlineStr">
        <is>
          <t>ARVIKA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35181-2019</t>
        </is>
      </c>
      <c r="B2173" s="1" t="n">
        <v>43662</v>
      </c>
      <c r="C2173" s="1" t="n">
        <v>45353</v>
      </c>
      <c r="D2173" t="inlineStr">
        <is>
          <t>VÄRMLANDS LÄN</t>
        </is>
      </c>
      <c r="E2173" t="inlineStr">
        <is>
          <t>ARVIKA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35248-2019</t>
        </is>
      </c>
      <c r="B2174" s="1" t="n">
        <v>43662</v>
      </c>
      <c r="C2174" s="1" t="n">
        <v>45353</v>
      </c>
      <c r="D2174" t="inlineStr">
        <is>
          <t>VÄRMLANDS LÄN</t>
        </is>
      </c>
      <c r="E2174" t="inlineStr">
        <is>
          <t>MUNKFORS</t>
        </is>
      </c>
      <c r="F2174" t="inlineStr">
        <is>
          <t>Kyrkan</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35388-2019</t>
        </is>
      </c>
      <c r="B2175" s="1" t="n">
        <v>43663</v>
      </c>
      <c r="C2175" s="1" t="n">
        <v>45353</v>
      </c>
      <c r="D2175" t="inlineStr">
        <is>
          <t>VÄRMLANDS LÄN</t>
        </is>
      </c>
      <c r="E2175" t="inlineStr">
        <is>
          <t>SUNNE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35422-2019</t>
        </is>
      </c>
      <c r="B2176" s="1" t="n">
        <v>43663</v>
      </c>
      <c r="C2176" s="1" t="n">
        <v>45353</v>
      </c>
      <c r="D2176" t="inlineStr">
        <is>
          <t>VÄRMLANDS LÄN</t>
        </is>
      </c>
      <c r="E2176" t="inlineStr">
        <is>
          <t>FILIPSTAD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36452-2019</t>
        </is>
      </c>
      <c r="B2177" s="1" t="n">
        <v>43663</v>
      </c>
      <c r="C2177" s="1" t="n">
        <v>45353</v>
      </c>
      <c r="D2177" t="inlineStr">
        <is>
          <t>VÄRMLANDS LÄN</t>
        </is>
      </c>
      <c r="E2177" t="inlineStr">
        <is>
          <t>KRISTINEHAMN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35706-2019</t>
        </is>
      </c>
      <c r="B2178" s="1" t="n">
        <v>43664</v>
      </c>
      <c r="C2178" s="1" t="n">
        <v>45353</v>
      </c>
      <c r="D2178" t="inlineStr">
        <is>
          <t>VÄRMLANDS LÄN</t>
        </is>
      </c>
      <c r="E2178" t="inlineStr">
        <is>
          <t>HAGFORS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35789-2019</t>
        </is>
      </c>
      <c r="B2179" s="1" t="n">
        <v>43665</v>
      </c>
      <c r="C2179" s="1" t="n">
        <v>45353</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35975-2019</t>
        </is>
      </c>
      <c r="B2180" s="1" t="n">
        <v>43666</v>
      </c>
      <c r="C2180" s="1" t="n">
        <v>45353</v>
      </c>
      <c r="D2180" t="inlineStr">
        <is>
          <t>VÄRMLANDS LÄN</t>
        </is>
      </c>
      <c r="E2180" t="inlineStr">
        <is>
          <t>SUNNE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36111-2019</t>
        </is>
      </c>
      <c r="B2181" s="1" t="n">
        <v>43668</v>
      </c>
      <c r="C2181" s="1" t="n">
        <v>45353</v>
      </c>
      <c r="D2181" t="inlineStr">
        <is>
          <t>VÄRMLANDS LÄN</t>
        </is>
      </c>
      <c r="E2181" t="inlineStr">
        <is>
          <t>EDA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36543-2019</t>
        </is>
      </c>
      <c r="B2182" s="1" t="n">
        <v>43668</v>
      </c>
      <c r="C2182" s="1" t="n">
        <v>45353</v>
      </c>
      <c r="D2182" t="inlineStr">
        <is>
          <t>VÄRMLANDS LÄN</t>
        </is>
      </c>
      <c r="E2182" t="inlineStr">
        <is>
          <t>KRISTINEHAMN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36113-2019</t>
        </is>
      </c>
      <c r="B2183" s="1" t="n">
        <v>43668</v>
      </c>
      <c r="C2183" s="1" t="n">
        <v>45353</v>
      </c>
      <c r="D2183" t="inlineStr">
        <is>
          <t>VÄRMLANDS LÄN</t>
        </is>
      </c>
      <c r="E2183" t="inlineStr">
        <is>
          <t>EDA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36116-2019</t>
        </is>
      </c>
      <c r="B2184" s="1" t="n">
        <v>43668</v>
      </c>
      <c r="C2184" s="1" t="n">
        <v>45353</v>
      </c>
      <c r="D2184" t="inlineStr">
        <is>
          <t>VÄRMLANDS LÄN</t>
        </is>
      </c>
      <c r="E2184" t="inlineStr">
        <is>
          <t>EDA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36106-2019</t>
        </is>
      </c>
      <c r="B2185" s="1" t="n">
        <v>43668</v>
      </c>
      <c r="C2185" s="1" t="n">
        <v>45353</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36480-2019</t>
        </is>
      </c>
      <c r="B2186" s="1" t="n">
        <v>43668</v>
      </c>
      <c r="C2186" s="1" t="n">
        <v>45353</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38010-2019</t>
        </is>
      </c>
      <c r="B2187" s="1" t="n">
        <v>43669</v>
      </c>
      <c r="C2187" s="1" t="n">
        <v>45353</v>
      </c>
      <c r="D2187" t="inlineStr">
        <is>
          <t>VÄRMLANDS LÄN</t>
        </is>
      </c>
      <c r="E2187" t="inlineStr">
        <is>
          <t>TORSBY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38003-2019</t>
        </is>
      </c>
      <c r="B2188" s="1" t="n">
        <v>43669</v>
      </c>
      <c r="C2188" s="1" t="n">
        <v>45353</v>
      </c>
      <c r="D2188" t="inlineStr">
        <is>
          <t>VÄRMLANDS LÄN</t>
        </is>
      </c>
      <c r="E2188" t="inlineStr">
        <is>
          <t>TORSBY</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36712-2019</t>
        </is>
      </c>
      <c r="B2189" s="1" t="n">
        <v>43669</v>
      </c>
      <c r="C2189" s="1" t="n">
        <v>45353</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36682-2019</t>
        </is>
      </c>
      <c r="B2190" s="1" t="n">
        <v>43670</v>
      </c>
      <c r="C2190" s="1" t="n">
        <v>45353</v>
      </c>
      <c r="D2190" t="inlineStr">
        <is>
          <t>VÄRMLANDS LÄN</t>
        </is>
      </c>
      <c r="E2190" t="inlineStr">
        <is>
          <t>TORSBY</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36650-2019</t>
        </is>
      </c>
      <c r="B2191" s="1" t="n">
        <v>43671</v>
      </c>
      <c r="C2191" s="1" t="n">
        <v>45353</v>
      </c>
      <c r="D2191" t="inlineStr">
        <is>
          <t>VÄRMLANDS LÄN</t>
        </is>
      </c>
      <c r="E2191" t="inlineStr">
        <is>
          <t>EDA</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36648-2019</t>
        </is>
      </c>
      <c r="B2192" s="1" t="n">
        <v>43671</v>
      </c>
      <c r="C2192" s="1" t="n">
        <v>45353</v>
      </c>
      <c r="D2192" t="inlineStr">
        <is>
          <t>VÄRMLANDS LÄN</t>
        </is>
      </c>
      <c r="E2192" t="inlineStr">
        <is>
          <t>ARVIKA</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36579-2019</t>
        </is>
      </c>
      <c r="B2193" s="1" t="n">
        <v>43671</v>
      </c>
      <c r="C2193" s="1" t="n">
        <v>45353</v>
      </c>
      <c r="D2193" t="inlineStr">
        <is>
          <t>VÄRMLANDS LÄN</t>
        </is>
      </c>
      <c r="E2193" t="inlineStr">
        <is>
          <t>KARLSTAD</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36657-2019</t>
        </is>
      </c>
      <c r="B2194" s="1" t="n">
        <v>43671</v>
      </c>
      <c r="C2194" s="1" t="n">
        <v>45353</v>
      </c>
      <c r="D2194" t="inlineStr">
        <is>
          <t>VÄRMLANDS LÄN</t>
        </is>
      </c>
      <c r="E2194" t="inlineStr">
        <is>
          <t>EDA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36855-2019</t>
        </is>
      </c>
      <c r="B2195" s="1" t="n">
        <v>43672</v>
      </c>
      <c r="C2195" s="1" t="n">
        <v>45353</v>
      </c>
      <c r="D2195" t="inlineStr">
        <is>
          <t>VÄRMLANDS LÄN</t>
        </is>
      </c>
      <c r="E2195" t="inlineStr">
        <is>
          <t>SÄFFLE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36734-2019</t>
        </is>
      </c>
      <c r="B2196" s="1" t="n">
        <v>43672</v>
      </c>
      <c r="C2196" s="1" t="n">
        <v>45353</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36820-2019</t>
        </is>
      </c>
      <c r="B2197" s="1" t="n">
        <v>43673</v>
      </c>
      <c r="C2197" s="1" t="n">
        <v>45353</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36884-2019</t>
        </is>
      </c>
      <c r="B2198" s="1" t="n">
        <v>43675</v>
      </c>
      <c r="C2198" s="1" t="n">
        <v>45353</v>
      </c>
      <c r="D2198" t="inlineStr">
        <is>
          <t>VÄRMLANDS LÄN</t>
        </is>
      </c>
      <c r="E2198" t="inlineStr">
        <is>
          <t>ÅRJÄNG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36875-2019</t>
        </is>
      </c>
      <c r="B2199" s="1" t="n">
        <v>43675</v>
      </c>
      <c r="C2199" s="1" t="n">
        <v>45353</v>
      </c>
      <c r="D2199" t="inlineStr">
        <is>
          <t>VÄRMLANDS LÄN</t>
        </is>
      </c>
      <c r="E2199" t="inlineStr">
        <is>
          <t>SUNNE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36966-2019</t>
        </is>
      </c>
      <c r="B2200" s="1" t="n">
        <v>43676</v>
      </c>
      <c r="C2200" s="1" t="n">
        <v>45353</v>
      </c>
      <c r="D2200" t="inlineStr">
        <is>
          <t>VÄRMLANDS LÄN</t>
        </is>
      </c>
      <c r="E2200" t="inlineStr">
        <is>
          <t>SÄFFLE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37005-2019</t>
        </is>
      </c>
      <c r="B2201" s="1" t="n">
        <v>43676</v>
      </c>
      <c r="C2201" s="1" t="n">
        <v>45353</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37000-2019</t>
        </is>
      </c>
      <c r="B2202" s="1" t="n">
        <v>43676</v>
      </c>
      <c r="C2202" s="1" t="n">
        <v>45353</v>
      </c>
      <c r="D2202" t="inlineStr">
        <is>
          <t>VÄRMLANDS LÄN</t>
        </is>
      </c>
      <c r="E2202" t="inlineStr">
        <is>
          <t>ARVIKA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37223-2019</t>
        </is>
      </c>
      <c r="B2203" s="1" t="n">
        <v>43676</v>
      </c>
      <c r="C2203" s="1" t="n">
        <v>45353</v>
      </c>
      <c r="D2203" t="inlineStr">
        <is>
          <t>VÄRMLANDS LÄN</t>
        </is>
      </c>
      <c r="E2203" t="inlineStr">
        <is>
          <t>SÄFFLE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37224-2019</t>
        </is>
      </c>
      <c r="B2204" s="1" t="n">
        <v>43676</v>
      </c>
      <c r="C2204" s="1" t="n">
        <v>45353</v>
      </c>
      <c r="D2204" t="inlineStr">
        <is>
          <t>VÄRMLANDS LÄN</t>
        </is>
      </c>
      <c r="E2204" t="inlineStr">
        <is>
          <t>GRUMS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36999-2019</t>
        </is>
      </c>
      <c r="B2205" s="1" t="n">
        <v>43676</v>
      </c>
      <c r="C2205" s="1" t="n">
        <v>45353</v>
      </c>
      <c r="D2205" t="inlineStr">
        <is>
          <t>VÄRMLANDS LÄN</t>
        </is>
      </c>
      <c r="E2205" t="inlineStr">
        <is>
          <t>ARVIKA</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37165-2019</t>
        </is>
      </c>
      <c r="B2206" s="1" t="n">
        <v>43677</v>
      </c>
      <c r="C2206" s="1" t="n">
        <v>45353</v>
      </c>
      <c r="D2206" t="inlineStr">
        <is>
          <t>VÄRMLANDS LÄN</t>
        </is>
      </c>
      <c r="E2206" t="inlineStr">
        <is>
          <t>ARVIKA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37199-2019</t>
        </is>
      </c>
      <c r="B2207" s="1" t="n">
        <v>43677</v>
      </c>
      <c r="C2207" s="1" t="n">
        <v>45353</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37216-2019</t>
        </is>
      </c>
      <c r="B2208" s="1" t="n">
        <v>43677</v>
      </c>
      <c r="C2208" s="1" t="n">
        <v>45353</v>
      </c>
      <c r="D2208" t="inlineStr">
        <is>
          <t>VÄRMLANDS LÄN</t>
        </is>
      </c>
      <c r="E2208" t="inlineStr">
        <is>
          <t>FILIPSTAD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37147-2019</t>
        </is>
      </c>
      <c r="B2209" s="1" t="n">
        <v>43677</v>
      </c>
      <c r="C2209" s="1" t="n">
        <v>45353</v>
      </c>
      <c r="D2209" t="inlineStr">
        <is>
          <t>VÄRMLANDS LÄN</t>
        </is>
      </c>
      <c r="E2209" t="inlineStr">
        <is>
          <t>ARVIKA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37370-2019</t>
        </is>
      </c>
      <c r="B2210" s="1" t="n">
        <v>43678</v>
      </c>
      <c r="C2210" s="1" t="n">
        <v>45353</v>
      </c>
      <c r="D2210" t="inlineStr">
        <is>
          <t>VÄRMLANDS LÄN</t>
        </is>
      </c>
      <c r="E2210" t="inlineStr">
        <is>
          <t>GRUMS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37526-2019</t>
        </is>
      </c>
      <c r="B2211" s="1" t="n">
        <v>43679</v>
      </c>
      <c r="C2211" s="1" t="n">
        <v>45353</v>
      </c>
      <c r="D2211" t="inlineStr">
        <is>
          <t>VÄRMLANDS LÄN</t>
        </is>
      </c>
      <c r="E2211" t="inlineStr">
        <is>
          <t>KRISTINEHAMN</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37833-2019</t>
        </is>
      </c>
      <c r="B2212" s="1" t="n">
        <v>43682</v>
      </c>
      <c r="C2212" s="1" t="n">
        <v>45353</v>
      </c>
      <c r="D2212" t="inlineStr">
        <is>
          <t>VÄRMLANDS LÄN</t>
        </is>
      </c>
      <c r="E2212" t="inlineStr">
        <is>
          <t>FILIPSTAD</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37684-2019</t>
        </is>
      </c>
      <c r="B2213" s="1" t="n">
        <v>43682</v>
      </c>
      <c r="C2213" s="1" t="n">
        <v>45353</v>
      </c>
      <c r="D2213" t="inlineStr">
        <is>
          <t>VÄRMLANDS LÄN</t>
        </is>
      </c>
      <c r="E2213" t="inlineStr">
        <is>
          <t>KRISTINEHAMN</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37867-2019</t>
        </is>
      </c>
      <c r="B2214" s="1" t="n">
        <v>43682</v>
      </c>
      <c r="C2214" s="1" t="n">
        <v>45353</v>
      </c>
      <c r="D2214" t="inlineStr">
        <is>
          <t>VÄRMLANDS LÄN</t>
        </is>
      </c>
      <c r="E2214" t="inlineStr">
        <is>
          <t>FILIPSTAD</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37719-2019</t>
        </is>
      </c>
      <c r="B2215" s="1" t="n">
        <v>43682</v>
      </c>
      <c r="C2215" s="1" t="n">
        <v>45353</v>
      </c>
      <c r="D2215" t="inlineStr">
        <is>
          <t>VÄRMLANDS LÄN</t>
        </is>
      </c>
      <c r="E2215" t="inlineStr">
        <is>
          <t>TORSBY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37832-2019</t>
        </is>
      </c>
      <c r="B2216" s="1" t="n">
        <v>43682</v>
      </c>
      <c r="C2216" s="1" t="n">
        <v>45353</v>
      </c>
      <c r="D2216" t="inlineStr">
        <is>
          <t>VÄRMLANDS LÄN</t>
        </is>
      </c>
      <c r="E2216" t="inlineStr">
        <is>
          <t>MUNKFORS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37720-2019</t>
        </is>
      </c>
      <c r="B2217" s="1" t="n">
        <v>43682</v>
      </c>
      <c r="C2217" s="1" t="n">
        <v>45353</v>
      </c>
      <c r="D2217" t="inlineStr">
        <is>
          <t>VÄRMLANDS LÄN</t>
        </is>
      </c>
      <c r="E2217" t="inlineStr">
        <is>
          <t>KRISTINEHAMN</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37856-2019</t>
        </is>
      </c>
      <c r="B2218" s="1" t="n">
        <v>43682</v>
      </c>
      <c r="C2218" s="1" t="n">
        <v>45353</v>
      </c>
      <c r="D2218" t="inlineStr">
        <is>
          <t>VÄRMLANDS LÄN</t>
        </is>
      </c>
      <c r="E2218" t="inlineStr">
        <is>
          <t>FILIPSTAD</t>
        </is>
      </c>
      <c r="F2218" t="inlineStr">
        <is>
          <t>Bergvik skog väst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38002-2019</t>
        </is>
      </c>
      <c r="B2219" s="1" t="n">
        <v>43683</v>
      </c>
      <c r="C2219" s="1" t="n">
        <v>45353</v>
      </c>
      <c r="D2219" t="inlineStr">
        <is>
          <t>VÄRMLANDS LÄN</t>
        </is>
      </c>
      <c r="E2219" t="inlineStr">
        <is>
          <t>ARVIKA</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37992-2019</t>
        </is>
      </c>
      <c r="B2220" s="1" t="n">
        <v>43683</v>
      </c>
      <c r="C2220" s="1" t="n">
        <v>45353</v>
      </c>
      <c r="D2220" t="inlineStr">
        <is>
          <t>VÄRMLANDS LÄN</t>
        </is>
      </c>
      <c r="E2220" t="inlineStr">
        <is>
          <t>EDA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38068-2019</t>
        </is>
      </c>
      <c r="B2221" s="1" t="n">
        <v>43683</v>
      </c>
      <c r="C2221" s="1" t="n">
        <v>45353</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38280-2019</t>
        </is>
      </c>
      <c r="B2222" s="1" t="n">
        <v>43684</v>
      </c>
      <c r="C2222" s="1" t="n">
        <v>45353</v>
      </c>
      <c r="D2222" t="inlineStr">
        <is>
          <t>VÄRMLANDS LÄN</t>
        </is>
      </c>
      <c r="E2222" t="inlineStr">
        <is>
          <t>SUNNE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38272-2019</t>
        </is>
      </c>
      <c r="B2223" s="1" t="n">
        <v>43684</v>
      </c>
      <c r="C2223" s="1" t="n">
        <v>45353</v>
      </c>
      <c r="D2223" t="inlineStr">
        <is>
          <t>VÄRMLANDS LÄN</t>
        </is>
      </c>
      <c r="E2223" t="inlineStr">
        <is>
          <t>ÅRJÄNG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38224-2019</t>
        </is>
      </c>
      <c r="B2224" s="1" t="n">
        <v>43684</v>
      </c>
      <c r="C2224" s="1" t="n">
        <v>45353</v>
      </c>
      <c r="D2224" t="inlineStr">
        <is>
          <t>VÄRMLANDS LÄN</t>
        </is>
      </c>
      <c r="E2224" t="inlineStr">
        <is>
          <t>SUNNE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38305-2019</t>
        </is>
      </c>
      <c r="B2225" s="1" t="n">
        <v>43684</v>
      </c>
      <c r="C2225" s="1" t="n">
        <v>45353</v>
      </c>
      <c r="D2225" t="inlineStr">
        <is>
          <t>VÄRMLANDS LÄN</t>
        </is>
      </c>
      <c r="E2225" t="inlineStr">
        <is>
          <t>SUNNE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38670-2019</t>
        </is>
      </c>
      <c r="B2226" s="1" t="n">
        <v>43684</v>
      </c>
      <c r="C2226" s="1" t="n">
        <v>45353</v>
      </c>
      <c r="D2226" t="inlineStr">
        <is>
          <t>VÄRMLANDS LÄN</t>
        </is>
      </c>
      <c r="E2226" t="inlineStr">
        <is>
          <t>SÄFFLE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38594-2019</t>
        </is>
      </c>
      <c r="B2227" s="1" t="n">
        <v>43684</v>
      </c>
      <c r="C2227" s="1" t="n">
        <v>45353</v>
      </c>
      <c r="D2227" t="inlineStr">
        <is>
          <t>VÄRMLANDS LÄN</t>
        </is>
      </c>
      <c r="E2227" t="inlineStr">
        <is>
          <t>KARLSTAD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40698-2019</t>
        </is>
      </c>
      <c r="B2228" s="1" t="n">
        <v>43684</v>
      </c>
      <c r="C2228" s="1" t="n">
        <v>45353</v>
      </c>
      <c r="D2228" t="inlineStr">
        <is>
          <t>VÄRMLANDS LÄN</t>
        </is>
      </c>
      <c r="E2228" t="inlineStr">
        <is>
          <t>KARLSTAD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38301-2019</t>
        </is>
      </c>
      <c r="B2229" s="1" t="n">
        <v>43684</v>
      </c>
      <c r="C2229" s="1" t="n">
        <v>45353</v>
      </c>
      <c r="D2229" t="inlineStr">
        <is>
          <t>VÄRMLANDS LÄN</t>
        </is>
      </c>
      <c r="E2229" t="inlineStr">
        <is>
          <t>SUNNE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38265-2019</t>
        </is>
      </c>
      <c r="B2230" s="1" t="n">
        <v>43684</v>
      </c>
      <c r="C2230" s="1" t="n">
        <v>45353</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38668-2019</t>
        </is>
      </c>
      <c r="B2231" s="1" t="n">
        <v>43684</v>
      </c>
      <c r="C2231" s="1" t="n">
        <v>45353</v>
      </c>
      <c r="D2231" t="inlineStr">
        <is>
          <t>VÄRMLANDS LÄN</t>
        </is>
      </c>
      <c r="E2231" t="inlineStr">
        <is>
          <t>ÅRJÄNG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38410-2019</t>
        </is>
      </c>
      <c r="B2232" s="1" t="n">
        <v>43685</v>
      </c>
      <c r="C2232" s="1" t="n">
        <v>45353</v>
      </c>
      <c r="D2232" t="inlineStr">
        <is>
          <t>VÄRMLANDS LÄN</t>
        </is>
      </c>
      <c r="E2232" t="inlineStr">
        <is>
          <t>ARVIKA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38427-2019</t>
        </is>
      </c>
      <c r="B2233" s="1" t="n">
        <v>43685</v>
      </c>
      <c r="C2233" s="1" t="n">
        <v>45353</v>
      </c>
      <c r="D2233" t="inlineStr">
        <is>
          <t>VÄRMLANDS LÄN</t>
        </is>
      </c>
      <c r="E2233" t="inlineStr">
        <is>
          <t>KRISTINEHAMN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38403-2019</t>
        </is>
      </c>
      <c r="B2234" s="1" t="n">
        <v>43685</v>
      </c>
      <c r="C2234" s="1" t="n">
        <v>45353</v>
      </c>
      <c r="D2234" t="inlineStr">
        <is>
          <t>VÄRMLANDS LÄN</t>
        </is>
      </c>
      <c r="E2234" t="inlineStr">
        <is>
          <t>STORFORS</t>
        </is>
      </c>
      <c r="F2234" t="inlineStr">
        <is>
          <t>Bergvik skog väst AB</t>
        </is>
      </c>
      <c r="G2234" t="n">
        <v>42.3</v>
      </c>
      <c r="H2234" t="n">
        <v>0</v>
      </c>
      <c r="I2234" t="n">
        <v>0</v>
      </c>
      <c r="J2234" t="n">
        <v>0</v>
      </c>
      <c r="K2234" t="n">
        <v>0</v>
      </c>
      <c r="L2234" t="n">
        <v>0</v>
      </c>
      <c r="M2234" t="n">
        <v>0</v>
      </c>
      <c r="N2234" t="n">
        <v>0</v>
      </c>
      <c r="O2234" t="n">
        <v>0</v>
      </c>
      <c r="P2234" t="n">
        <v>0</v>
      </c>
      <c r="Q2234" t="n">
        <v>0</v>
      </c>
      <c r="R2234" s="2" t="inlineStr"/>
    </row>
    <row r="2235" ht="15" customHeight="1">
      <c r="A2235" t="inlineStr">
        <is>
          <t>A 38393-2019</t>
        </is>
      </c>
      <c r="B2235" s="1" t="n">
        <v>43685</v>
      </c>
      <c r="C2235" s="1" t="n">
        <v>45353</v>
      </c>
      <c r="D2235" t="inlineStr">
        <is>
          <t>VÄRMLANDS LÄN</t>
        </is>
      </c>
      <c r="E2235" t="inlineStr">
        <is>
          <t>EDA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38423-2019</t>
        </is>
      </c>
      <c r="B2236" s="1" t="n">
        <v>43685</v>
      </c>
      <c r="C2236" s="1" t="n">
        <v>45353</v>
      </c>
      <c r="D2236" t="inlineStr">
        <is>
          <t>VÄRMLANDS LÄN</t>
        </is>
      </c>
      <c r="E2236" t="inlineStr">
        <is>
          <t>EDA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38445-2019</t>
        </is>
      </c>
      <c r="B2237" s="1" t="n">
        <v>43685</v>
      </c>
      <c r="C2237" s="1" t="n">
        <v>45353</v>
      </c>
      <c r="D2237" t="inlineStr">
        <is>
          <t>VÄRMLANDS LÄN</t>
        </is>
      </c>
      <c r="E2237" t="inlineStr">
        <is>
          <t>EDA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38490-2019</t>
        </is>
      </c>
      <c r="B2238" s="1" t="n">
        <v>43685</v>
      </c>
      <c r="C2238" s="1" t="n">
        <v>45353</v>
      </c>
      <c r="D2238" t="inlineStr">
        <is>
          <t>VÄRMLANDS LÄN</t>
        </is>
      </c>
      <c r="E2238" t="inlineStr">
        <is>
          <t>EDA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38644-2019</t>
        </is>
      </c>
      <c r="B2239" s="1" t="n">
        <v>43686</v>
      </c>
      <c r="C2239" s="1" t="n">
        <v>45353</v>
      </c>
      <c r="D2239" t="inlineStr">
        <is>
          <t>VÄRMLANDS LÄN</t>
        </is>
      </c>
      <c r="E2239" t="inlineStr">
        <is>
          <t>SUNNE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38794-2019</t>
        </is>
      </c>
      <c r="B2240" s="1" t="n">
        <v>43688</v>
      </c>
      <c r="C2240" s="1" t="n">
        <v>45353</v>
      </c>
      <c r="D2240" t="inlineStr">
        <is>
          <t>VÄRMLANDS LÄN</t>
        </is>
      </c>
      <c r="E2240" t="inlineStr">
        <is>
          <t>EDA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38793-2019</t>
        </is>
      </c>
      <c r="B2241" s="1" t="n">
        <v>43688</v>
      </c>
      <c r="C2241" s="1" t="n">
        <v>45353</v>
      </c>
      <c r="D2241" t="inlineStr">
        <is>
          <t>VÄRMLANDS LÄN</t>
        </is>
      </c>
      <c r="E2241" t="inlineStr">
        <is>
          <t>EDA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38886-2019</t>
        </is>
      </c>
      <c r="B2242" s="1" t="n">
        <v>43689</v>
      </c>
      <c r="C2242" s="1" t="n">
        <v>45353</v>
      </c>
      <c r="D2242" t="inlineStr">
        <is>
          <t>VÄRMLANDS LÄN</t>
        </is>
      </c>
      <c r="E2242" t="inlineStr">
        <is>
          <t>KRISTINEHAMN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38878-2019</t>
        </is>
      </c>
      <c r="B2243" s="1" t="n">
        <v>43689</v>
      </c>
      <c r="C2243" s="1" t="n">
        <v>45353</v>
      </c>
      <c r="D2243" t="inlineStr">
        <is>
          <t>VÄRMLANDS LÄN</t>
        </is>
      </c>
      <c r="E2243" t="inlineStr">
        <is>
          <t>KRISTINEHAMN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41401-2019</t>
        </is>
      </c>
      <c r="B2244" s="1" t="n">
        <v>43689</v>
      </c>
      <c r="C2244" s="1" t="n">
        <v>45353</v>
      </c>
      <c r="D2244" t="inlineStr">
        <is>
          <t>VÄRMLANDS LÄN</t>
        </is>
      </c>
      <c r="E2244" t="inlineStr">
        <is>
          <t>HAGFORS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39213-2019</t>
        </is>
      </c>
      <c r="B2245" s="1" t="n">
        <v>43690</v>
      </c>
      <c r="C2245" s="1" t="n">
        <v>45353</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39383-2019</t>
        </is>
      </c>
      <c r="B2246" s="1" t="n">
        <v>43690</v>
      </c>
      <c r="C2246" s="1" t="n">
        <v>45353</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39381-2019</t>
        </is>
      </c>
      <c r="B2247" s="1" t="n">
        <v>43690</v>
      </c>
      <c r="C2247" s="1" t="n">
        <v>45353</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39384-2019</t>
        </is>
      </c>
      <c r="B2248" s="1" t="n">
        <v>43690</v>
      </c>
      <c r="C2248" s="1" t="n">
        <v>45353</v>
      </c>
      <c r="D2248" t="inlineStr">
        <is>
          <t>VÄRMLANDS LÄN</t>
        </is>
      </c>
      <c r="E2248" t="inlineStr">
        <is>
          <t>EDA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39948-2019</t>
        </is>
      </c>
      <c r="B2249" s="1" t="n">
        <v>43690</v>
      </c>
      <c r="C2249" s="1" t="n">
        <v>45353</v>
      </c>
      <c r="D2249" t="inlineStr">
        <is>
          <t>VÄRMLANDS LÄN</t>
        </is>
      </c>
      <c r="E2249" t="inlineStr">
        <is>
          <t>KRISTINEHAMN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39297-2019</t>
        </is>
      </c>
      <c r="B2250" s="1" t="n">
        <v>43690</v>
      </c>
      <c r="C2250" s="1" t="n">
        <v>45353</v>
      </c>
      <c r="D2250" t="inlineStr">
        <is>
          <t>VÄRMLANDS LÄN</t>
        </is>
      </c>
      <c r="E2250" t="inlineStr">
        <is>
          <t>SUNNE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39379-2019</t>
        </is>
      </c>
      <c r="B2251" s="1" t="n">
        <v>43690</v>
      </c>
      <c r="C2251" s="1" t="n">
        <v>45353</v>
      </c>
      <c r="D2251" t="inlineStr">
        <is>
          <t>VÄRMLANDS LÄN</t>
        </is>
      </c>
      <c r="E2251" t="inlineStr">
        <is>
          <t>EDA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39428-2019</t>
        </is>
      </c>
      <c r="B2252" s="1" t="n">
        <v>43691</v>
      </c>
      <c r="C2252" s="1" t="n">
        <v>45353</v>
      </c>
      <c r="D2252" t="inlineStr">
        <is>
          <t>VÄRMLANDS LÄN</t>
        </is>
      </c>
      <c r="E2252" t="inlineStr">
        <is>
          <t>SUNNE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39607-2019</t>
        </is>
      </c>
      <c r="B2253" s="1" t="n">
        <v>43691</v>
      </c>
      <c r="C2253" s="1" t="n">
        <v>45353</v>
      </c>
      <c r="D2253" t="inlineStr">
        <is>
          <t>VÄRMLANDS LÄN</t>
        </is>
      </c>
      <c r="E2253" t="inlineStr">
        <is>
          <t>EDA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41105-2019</t>
        </is>
      </c>
      <c r="B2254" s="1" t="n">
        <v>43691</v>
      </c>
      <c r="C2254" s="1" t="n">
        <v>45353</v>
      </c>
      <c r="D2254" t="inlineStr">
        <is>
          <t>VÄRMLANDS LÄN</t>
        </is>
      </c>
      <c r="E2254" t="inlineStr">
        <is>
          <t>KIL</t>
        </is>
      </c>
      <c r="G2254" t="n">
        <v>14.3</v>
      </c>
      <c r="H2254" t="n">
        <v>0</v>
      </c>
      <c r="I2254" t="n">
        <v>0</v>
      </c>
      <c r="J2254" t="n">
        <v>0</v>
      </c>
      <c r="K2254" t="n">
        <v>0</v>
      </c>
      <c r="L2254" t="n">
        <v>0</v>
      </c>
      <c r="M2254" t="n">
        <v>0</v>
      </c>
      <c r="N2254" t="n">
        <v>0</v>
      </c>
      <c r="O2254" t="n">
        <v>0</v>
      </c>
      <c r="P2254" t="n">
        <v>0</v>
      </c>
      <c r="Q2254" t="n">
        <v>0</v>
      </c>
      <c r="R2254" s="2" t="inlineStr"/>
    </row>
    <row r="2255" ht="15" customHeight="1">
      <c r="A2255" t="inlineStr">
        <is>
          <t>A 41110-2019</t>
        </is>
      </c>
      <c r="B2255" s="1" t="n">
        <v>43691</v>
      </c>
      <c r="C2255" s="1" t="n">
        <v>45353</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41133-2019</t>
        </is>
      </c>
      <c r="B2256" s="1" t="n">
        <v>43691</v>
      </c>
      <c r="C2256" s="1" t="n">
        <v>45353</v>
      </c>
      <c r="D2256" t="inlineStr">
        <is>
          <t>VÄRMLANDS LÄN</t>
        </is>
      </c>
      <c r="E2256" t="inlineStr">
        <is>
          <t>KRISTINEHAMN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39740-2019</t>
        </is>
      </c>
      <c r="B2257" s="1" t="n">
        <v>43691</v>
      </c>
      <c r="C2257" s="1" t="n">
        <v>45353</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39959-2019</t>
        </is>
      </c>
      <c r="B2258" s="1" t="n">
        <v>43692</v>
      </c>
      <c r="C2258" s="1" t="n">
        <v>45353</v>
      </c>
      <c r="D2258" t="inlineStr">
        <is>
          <t>VÄRMLANDS LÄN</t>
        </is>
      </c>
      <c r="E2258" t="inlineStr">
        <is>
          <t>KIL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39949-2019</t>
        </is>
      </c>
      <c r="B2259" s="1" t="n">
        <v>43692</v>
      </c>
      <c r="C2259" s="1" t="n">
        <v>45353</v>
      </c>
      <c r="D2259" t="inlineStr">
        <is>
          <t>VÄRMLANDS LÄN</t>
        </is>
      </c>
      <c r="E2259" t="inlineStr">
        <is>
          <t>EDA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40018-2019</t>
        </is>
      </c>
      <c r="B2260" s="1" t="n">
        <v>43692</v>
      </c>
      <c r="C2260" s="1" t="n">
        <v>45353</v>
      </c>
      <c r="D2260" t="inlineStr">
        <is>
          <t>VÄRMLANDS LÄN</t>
        </is>
      </c>
      <c r="E2260" t="inlineStr">
        <is>
          <t>FORSHAGA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40039-2019</t>
        </is>
      </c>
      <c r="B2261" s="1" t="n">
        <v>43692</v>
      </c>
      <c r="C2261" s="1" t="n">
        <v>45353</v>
      </c>
      <c r="D2261" t="inlineStr">
        <is>
          <t>VÄRMLANDS LÄN</t>
        </is>
      </c>
      <c r="E2261" t="inlineStr">
        <is>
          <t>FORSHAGA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40159-2019</t>
        </is>
      </c>
      <c r="B2262" s="1" t="n">
        <v>43693</v>
      </c>
      <c r="C2262" s="1" t="n">
        <v>45353</v>
      </c>
      <c r="D2262" t="inlineStr">
        <is>
          <t>VÄRMLANDS LÄN</t>
        </is>
      </c>
      <c r="E2262" t="inlineStr">
        <is>
          <t>ARVIKA</t>
        </is>
      </c>
      <c r="F2262" t="inlineStr">
        <is>
          <t>Kyrkan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40166-2019</t>
        </is>
      </c>
      <c r="B2263" s="1" t="n">
        <v>43693</v>
      </c>
      <c r="C2263" s="1" t="n">
        <v>45353</v>
      </c>
      <c r="D2263" t="inlineStr">
        <is>
          <t>VÄRMLANDS LÄN</t>
        </is>
      </c>
      <c r="E2263" t="inlineStr">
        <is>
          <t>HAGFORS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40237-2019</t>
        </is>
      </c>
      <c r="B2264" s="1" t="n">
        <v>43694</v>
      </c>
      <c r="C2264" s="1" t="n">
        <v>45353</v>
      </c>
      <c r="D2264" t="inlineStr">
        <is>
          <t>VÄRMLANDS LÄN</t>
        </is>
      </c>
      <c r="E2264" t="inlineStr">
        <is>
          <t>FORSHAGA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40238-2019</t>
        </is>
      </c>
      <c r="B2265" s="1" t="n">
        <v>43694</v>
      </c>
      <c r="C2265" s="1" t="n">
        <v>45353</v>
      </c>
      <c r="D2265" t="inlineStr">
        <is>
          <t>VÄRMLANDS LÄN</t>
        </is>
      </c>
      <c r="E2265" t="inlineStr">
        <is>
          <t>FORSHAGA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40401-2019</t>
        </is>
      </c>
      <c r="B2266" s="1" t="n">
        <v>43696</v>
      </c>
      <c r="C2266" s="1" t="n">
        <v>45353</v>
      </c>
      <c r="D2266" t="inlineStr">
        <is>
          <t>VÄRMLANDS LÄN</t>
        </is>
      </c>
      <c r="E2266" t="inlineStr">
        <is>
          <t>SUNNE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41201-2019</t>
        </is>
      </c>
      <c r="B2267" s="1" t="n">
        <v>43696</v>
      </c>
      <c r="C2267" s="1" t="n">
        <v>45353</v>
      </c>
      <c r="D2267" t="inlineStr">
        <is>
          <t>VÄRMLANDS LÄN</t>
        </is>
      </c>
      <c r="E2267" t="inlineStr">
        <is>
          <t>SUNNE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41484-2019</t>
        </is>
      </c>
      <c r="B2268" s="1" t="n">
        <v>43696</v>
      </c>
      <c r="C2268" s="1" t="n">
        <v>45353</v>
      </c>
      <c r="D2268" t="inlineStr">
        <is>
          <t>VÄRMLANDS LÄN</t>
        </is>
      </c>
      <c r="E2268" t="inlineStr">
        <is>
          <t>KARLSTAD</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41383-2019</t>
        </is>
      </c>
      <c r="B2269" s="1" t="n">
        <v>43696</v>
      </c>
      <c r="C2269" s="1" t="n">
        <v>45353</v>
      </c>
      <c r="D2269" t="inlineStr">
        <is>
          <t>VÄRMLANDS LÄN</t>
        </is>
      </c>
      <c r="E2269" t="inlineStr">
        <is>
          <t>KARLSTAD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40771-2019</t>
        </is>
      </c>
      <c r="B2270" s="1" t="n">
        <v>43696</v>
      </c>
      <c r="C2270" s="1" t="n">
        <v>45353</v>
      </c>
      <c r="D2270" t="inlineStr">
        <is>
          <t>VÄRMLANDS LÄN</t>
        </is>
      </c>
      <c r="E2270" t="inlineStr">
        <is>
          <t>KRISTINEHAMN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40397-2019</t>
        </is>
      </c>
      <c r="B2271" s="1" t="n">
        <v>43696</v>
      </c>
      <c r="C2271" s="1" t="n">
        <v>45353</v>
      </c>
      <c r="D2271" t="inlineStr">
        <is>
          <t>VÄRMLANDS LÄN</t>
        </is>
      </c>
      <c r="E2271" t="inlineStr">
        <is>
          <t>ARVIKA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41694-2019</t>
        </is>
      </c>
      <c r="B2272" s="1" t="n">
        <v>43696</v>
      </c>
      <c r="C2272" s="1" t="n">
        <v>45353</v>
      </c>
      <c r="D2272" t="inlineStr">
        <is>
          <t>VÄRMLANDS LÄN</t>
        </is>
      </c>
      <c r="E2272" t="inlineStr">
        <is>
          <t>FORSHAGA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40632-2019</t>
        </is>
      </c>
      <c r="B2273" s="1" t="n">
        <v>43696</v>
      </c>
      <c r="C2273" s="1" t="n">
        <v>45353</v>
      </c>
      <c r="D2273" t="inlineStr">
        <is>
          <t>VÄRMLANDS LÄN</t>
        </is>
      </c>
      <c r="E2273" t="inlineStr">
        <is>
          <t>TORSBY</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40589-2019</t>
        </is>
      </c>
      <c r="B2274" s="1" t="n">
        <v>43696</v>
      </c>
      <c r="C2274" s="1" t="n">
        <v>45353</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41334-2019</t>
        </is>
      </c>
      <c r="B2275" s="1" t="n">
        <v>43696</v>
      </c>
      <c r="C2275" s="1" t="n">
        <v>45353</v>
      </c>
      <c r="D2275" t="inlineStr">
        <is>
          <t>VÄRMLANDS LÄN</t>
        </is>
      </c>
      <c r="E2275" t="inlineStr">
        <is>
          <t>ÅRJÄNG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40810-2019</t>
        </is>
      </c>
      <c r="B2276" s="1" t="n">
        <v>43697</v>
      </c>
      <c r="C2276" s="1" t="n">
        <v>45353</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40719-2019</t>
        </is>
      </c>
      <c r="B2277" s="1" t="n">
        <v>43697</v>
      </c>
      <c r="C2277" s="1" t="n">
        <v>45353</v>
      </c>
      <c r="D2277" t="inlineStr">
        <is>
          <t>VÄRMLANDS LÄN</t>
        </is>
      </c>
      <c r="E2277" t="inlineStr">
        <is>
          <t>KIL</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40988-2019</t>
        </is>
      </c>
      <c r="B2278" s="1" t="n">
        <v>43697</v>
      </c>
      <c r="C2278" s="1" t="n">
        <v>45353</v>
      </c>
      <c r="D2278" t="inlineStr">
        <is>
          <t>VÄRMLANDS LÄN</t>
        </is>
      </c>
      <c r="E2278" t="inlineStr">
        <is>
          <t>SUNNE</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40936-2019</t>
        </is>
      </c>
      <c r="B2279" s="1" t="n">
        <v>43697</v>
      </c>
      <c r="C2279" s="1" t="n">
        <v>45353</v>
      </c>
      <c r="D2279" t="inlineStr">
        <is>
          <t>VÄRMLANDS LÄN</t>
        </is>
      </c>
      <c r="E2279" t="inlineStr">
        <is>
          <t>SUNNE</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40991-2019</t>
        </is>
      </c>
      <c r="B2280" s="1" t="n">
        <v>43697</v>
      </c>
      <c r="C2280" s="1" t="n">
        <v>45353</v>
      </c>
      <c r="D2280" t="inlineStr">
        <is>
          <t>VÄRMLANDS LÄN</t>
        </is>
      </c>
      <c r="E2280" t="inlineStr">
        <is>
          <t>SUNNE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41616-2019</t>
        </is>
      </c>
      <c r="B2281" s="1" t="n">
        <v>43697</v>
      </c>
      <c r="C2281" s="1" t="n">
        <v>45353</v>
      </c>
      <c r="D2281" t="inlineStr">
        <is>
          <t>VÄRMLANDS LÄN</t>
        </is>
      </c>
      <c r="E2281" t="inlineStr">
        <is>
          <t>ÅRJÄNG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41829-2019</t>
        </is>
      </c>
      <c r="B2282" s="1" t="n">
        <v>43697</v>
      </c>
      <c r="C2282" s="1" t="n">
        <v>45353</v>
      </c>
      <c r="D2282" t="inlineStr">
        <is>
          <t>VÄRMLANDS LÄN</t>
        </is>
      </c>
      <c r="E2282" t="inlineStr">
        <is>
          <t>SUNNE</t>
        </is>
      </c>
      <c r="F2282" t="inlineStr">
        <is>
          <t>Kyrkan</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41698-2019</t>
        </is>
      </c>
      <c r="B2283" s="1" t="n">
        <v>43697</v>
      </c>
      <c r="C2283" s="1" t="n">
        <v>45353</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41855-2019</t>
        </is>
      </c>
      <c r="B2284" s="1" t="n">
        <v>43697</v>
      </c>
      <c r="C2284" s="1" t="n">
        <v>45353</v>
      </c>
      <c r="D2284" t="inlineStr">
        <is>
          <t>VÄRMLANDS LÄN</t>
        </is>
      </c>
      <c r="E2284" t="inlineStr">
        <is>
          <t>SUNNE</t>
        </is>
      </c>
      <c r="F2284" t="inlineStr">
        <is>
          <t>Kyrkan</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42441-2019</t>
        </is>
      </c>
      <c r="B2285" s="1" t="n">
        <v>43697</v>
      </c>
      <c r="C2285" s="1" t="n">
        <v>45353</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41632-2019</t>
        </is>
      </c>
      <c r="B2286" s="1" t="n">
        <v>43697</v>
      </c>
      <c r="C2286" s="1" t="n">
        <v>45353</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41834-2019</t>
        </is>
      </c>
      <c r="B2287" s="1" t="n">
        <v>43697</v>
      </c>
      <c r="C2287" s="1" t="n">
        <v>45353</v>
      </c>
      <c r="D2287" t="inlineStr">
        <is>
          <t>VÄRMLANDS LÄN</t>
        </is>
      </c>
      <c r="E2287" t="inlineStr">
        <is>
          <t>HAGFORS</t>
        </is>
      </c>
      <c r="F2287" t="inlineStr">
        <is>
          <t>Kyrkan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41193-2019</t>
        </is>
      </c>
      <c r="B2288" s="1" t="n">
        <v>43698</v>
      </c>
      <c r="C2288" s="1" t="n">
        <v>45353</v>
      </c>
      <c r="D2288" t="inlineStr">
        <is>
          <t>VÄRMLANDS LÄN</t>
        </is>
      </c>
      <c r="E2288" t="inlineStr">
        <is>
          <t>SUNNE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41436-2019</t>
        </is>
      </c>
      <c r="B2289" s="1" t="n">
        <v>43698</v>
      </c>
      <c r="C2289" s="1" t="n">
        <v>45353</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41435-2019</t>
        </is>
      </c>
      <c r="B2290" s="1" t="n">
        <v>43698</v>
      </c>
      <c r="C2290" s="1" t="n">
        <v>45353</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42468-2019</t>
        </is>
      </c>
      <c r="B2291" s="1" t="n">
        <v>43698</v>
      </c>
      <c r="C2291" s="1" t="n">
        <v>45353</v>
      </c>
      <c r="D2291" t="inlineStr">
        <is>
          <t>VÄRMLANDS LÄN</t>
        </is>
      </c>
      <c r="E2291" t="inlineStr">
        <is>
          <t>FORSHAGA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41438-2019</t>
        </is>
      </c>
      <c r="B2292" s="1" t="n">
        <v>43698</v>
      </c>
      <c r="C2292" s="1" t="n">
        <v>45353</v>
      </c>
      <c r="D2292" t="inlineStr">
        <is>
          <t>VÄRMLANDS LÄN</t>
        </is>
      </c>
      <c r="E2292" t="inlineStr">
        <is>
          <t>TORSBY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42463-2019</t>
        </is>
      </c>
      <c r="B2293" s="1" t="n">
        <v>43698</v>
      </c>
      <c r="C2293" s="1" t="n">
        <v>45353</v>
      </c>
      <c r="D2293" t="inlineStr">
        <is>
          <t>VÄRMLANDS LÄN</t>
        </is>
      </c>
      <c r="E2293" t="inlineStr">
        <is>
          <t>FORSHAGA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42238-2019</t>
        </is>
      </c>
      <c r="B2294" s="1" t="n">
        <v>43698</v>
      </c>
      <c r="C2294" s="1" t="n">
        <v>45353</v>
      </c>
      <c r="D2294" t="inlineStr">
        <is>
          <t>VÄRMLANDS LÄN</t>
        </is>
      </c>
      <c r="E2294" t="inlineStr">
        <is>
          <t>GRUMS</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41134-2019</t>
        </is>
      </c>
      <c r="B2295" s="1" t="n">
        <v>43698</v>
      </c>
      <c r="C2295" s="1" t="n">
        <v>45353</v>
      </c>
      <c r="D2295" t="inlineStr">
        <is>
          <t>VÄRMLANDS LÄN</t>
        </is>
      </c>
      <c r="E2295" t="inlineStr">
        <is>
          <t>SUNNE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42472-2019</t>
        </is>
      </c>
      <c r="B2296" s="1" t="n">
        <v>43698</v>
      </c>
      <c r="C2296" s="1" t="n">
        <v>45353</v>
      </c>
      <c r="D2296" t="inlineStr">
        <is>
          <t>VÄRMLANDS LÄN</t>
        </is>
      </c>
      <c r="E2296" t="inlineStr">
        <is>
          <t>FORSHAGA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41275-2019</t>
        </is>
      </c>
      <c r="B2297" s="1" t="n">
        <v>43698</v>
      </c>
      <c r="C2297" s="1" t="n">
        <v>45353</v>
      </c>
      <c r="D2297" t="inlineStr">
        <is>
          <t>VÄRMLANDS LÄN</t>
        </is>
      </c>
      <c r="E2297" t="inlineStr">
        <is>
          <t>ÅRJÄNG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41192-2019</t>
        </is>
      </c>
      <c r="B2298" s="1" t="n">
        <v>43698</v>
      </c>
      <c r="C2298" s="1" t="n">
        <v>45353</v>
      </c>
      <c r="D2298" t="inlineStr">
        <is>
          <t>VÄRMLANDS LÄN</t>
        </is>
      </c>
      <c r="E2298" t="inlineStr">
        <is>
          <t>ÅRJÄNG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41621-2019</t>
        </is>
      </c>
      <c r="B2299" s="1" t="n">
        <v>43699</v>
      </c>
      <c r="C2299" s="1" t="n">
        <v>45353</v>
      </c>
      <c r="D2299" t="inlineStr">
        <is>
          <t>VÄRMLANDS LÄN</t>
        </is>
      </c>
      <c r="E2299" t="inlineStr">
        <is>
          <t>TORSBY</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41530-2019</t>
        </is>
      </c>
      <c r="B2300" s="1" t="n">
        <v>43699</v>
      </c>
      <c r="C2300" s="1" t="n">
        <v>45353</v>
      </c>
      <c r="D2300" t="inlineStr">
        <is>
          <t>VÄRMLANDS LÄN</t>
        </is>
      </c>
      <c r="E2300" t="inlineStr">
        <is>
          <t>KIL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41681-2019</t>
        </is>
      </c>
      <c r="B2301" s="1" t="n">
        <v>43699</v>
      </c>
      <c r="C2301" s="1" t="n">
        <v>45353</v>
      </c>
      <c r="D2301" t="inlineStr">
        <is>
          <t>VÄRMLANDS LÄN</t>
        </is>
      </c>
      <c r="E2301" t="inlineStr">
        <is>
          <t>SUNNE</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42451-2019</t>
        </is>
      </c>
      <c r="B2302" s="1" t="n">
        <v>43699</v>
      </c>
      <c r="C2302" s="1" t="n">
        <v>45353</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42851-2019</t>
        </is>
      </c>
      <c r="B2303" s="1" t="n">
        <v>43699</v>
      </c>
      <c r="C2303" s="1" t="n">
        <v>45353</v>
      </c>
      <c r="D2303" t="inlineStr">
        <is>
          <t>VÄRMLANDS LÄN</t>
        </is>
      </c>
      <c r="E2303" t="inlineStr">
        <is>
          <t>ÅRJÄNG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41531-2019</t>
        </is>
      </c>
      <c r="B2304" s="1" t="n">
        <v>43699</v>
      </c>
      <c r="C2304" s="1" t="n">
        <v>45353</v>
      </c>
      <c r="D2304" t="inlineStr">
        <is>
          <t>VÄRMLANDS LÄN</t>
        </is>
      </c>
      <c r="E2304" t="inlineStr">
        <is>
          <t>ARVIKA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42443-2019</t>
        </is>
      </c>
      <c r="B2305" s="1" t="n">
        <v>43699</v>
      </c>
      <c r="C2305" s="1" t="n">
        <v>45353</v>
      </c>
      <c r="D2305" t="inlineStr">
        <is>
          <t>VÄRMLANDS LÄN</t>
        </is>
      </c>
      <c r="E2305" t="inlineStr">
        <is>
          <t>ÅRJÄNG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42837-2019</t>
        </is>
      </c>
      <c r="B2306" s="1" t="n">
        <v>43699</v>
      </c>
      <c r="C2306" s="1" t="n">
        <v>45353</v>
      </c>
      <c r="D2306" t="inlineStr">
        <is>
          <t>VÄRMLANDS LÄN</t>
        </is>
      </c>
      <c r="E2306" t="inlineStr">
        <is>
          <t>ÅRJÄNG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41825-2019</t>
        </is>
      </c>
      <c r="B2307" s="1" t="n">
        <v>43700</v>
      </c>
      <c r="C2307" s="1" t="n">
        <v>45353</v>
      </c>
      <c r="D2307" t="inlineStr">
        <is>
          <t>VÄRMLANDS LÄN</t>
        </is>
      </c>
      <c r="E2307" t="inlineStr">
        <is>
          <t>SÄFFLE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41989-2019</t>
        </is>
      </c>
      <c r="B2308" s="1" t="n">
        <v>43700</v>
      </c>
      <c r="C2308" s="1" t="n">
        <v>45353</v>
      </c>
      <c r="D2308" t="inlineStr">
        <is>
          <t>VÄRMLANDS LÄN</t>
        </is>
      </c>
      <c r="E2308" t="inlineStr">
        <is>
          <t>ÅRJÄNG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41815-2019</t>
        </is>
      </c>
      <c r="B2309" s="1" t="n">
        <v>43700</v>
      </c>
      <c r="C2309" s="1" t="n">
        <v>45353</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41821-2019</t>
        </is>
      </c>
      <c r="B2310" s="1" t="n">
        <v>43700</v>
      </c>
      <c r="C2310" s="1" t="n">
        <v>45353</v>
      </c>
      <c r="D2310" t="inlineStr">
        <is>
          <t>VÄRMLANDS LÄN</t>
        </is>
      </c>
      <c r="E2310" t="inlineStr">
        <is>
          <t>FILIPSTAD</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41854-2019</t>
        </is>
      </c>
      <c r="B2311" s="1" t="n">
        <v>43700</v>
      </c>
      <c r="C2311" s="1" t="n">
        <v>45353</v>
      </c>
      <c r="D2311" t="inlineStr">
        <is>
          <t>VÄRMLANDS LÄN</t>
        </is>
      </c>
      <c r="E2311" t="inlineStr">
        <is>
          <t>KIL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41996-2019</t>
        </is>
      </c>
      <c r="B2312" s="1" t="n">
        <v>43700</v>
      </c>
      <c r="C2312" s="1" t="n">
        <v>45353</v>
      </c>
      <c r="D2312" t="inlineStr">
        <is>
          <t>VÄRMLANDS LÄN</t>
        </is>
      </c>
      <c r="E2312" t="inlineStr">
        <is>
          <t>ÅRJÄNG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42033-2019</t>
        </is>
      </c>
      <c r="B2313" s="1" t="n">
        <v>43700</v>
      </c>
      <c r="C2313" s="1" t="n">
        <v>45353</v>
      </c>
      <c r="D2313" t="inlineStr">
        <is>
          <t>VÄRMLANDS LÄN</t>
        </is>
      </c>
      <c r="E2313" t="inlineStr">
        <is>
          <t>FILIPSTAD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42988-2019</t>
        </is>
      </c>
      <c r="B2314" s="1" t="n">
        <v>43700</v>
      </c>
      <c r="C2314" s="1" t="n">
        <v>45353</v>
      </c>
      <c r="D2314" t="inlineStr">
        <is>
          <t>VÄRMLANDS LÄN</t>
        </is>
      </c>
      <c r="E2314" t="inlineStr">
        <is>
          <t>KIL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43015-2019</t>
        </is>
      </c>
      <c r="B2315" s="1" t="n">
        <v>43700</v>
      </c>
      <c r="C2315" s="1" t="n">
        <v>45353</v>
      </c>
      <c r="D2315" t="inlineStr">
        <is>
          <t>VÄRMLANDS LÄN</t>
        </is>
      </c>
      <c r="E2315" t="inlineStr">
        <is>
          <t>KIL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42853-2019</t>
        </is>
      </c>
      <c r="B2316" s="1" t="n">
        <v>43700</v>
      </c>
      <c r="C2316" s="1" t="n">
        <v>45353</v>
      </c>
      <c r="D2316" t="inlineStr">
        <is>
          <t>VÄRMLANDS LÄN</t>
        </is>
      </c>
      <c r="E2316" t="inlineStr">
        <is>
          <t>ÅRJÄNG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42984-2019</t>
        </is>
      </c>
      <c r="B2317" s="1" t="n">
        <v>43700</v>
      </c>
      <c r="C2317" s="1" t="n">
        <v>45353</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42102-2019</t>
        </is>
      </c>
      <c r="B2318" s="1" t="n">
        <v>43702</v>
      </c>
      <c r="C2318" s="1" t="n">
        <v>45353</v>
      </c>
      <c r="D2318" t="inlineStr">
        <is>
          <t>VÄRMLANDS LÄN</t>
        </is>
      </c>
      <c r="E2318" t="inlineStr">
        <is>
          <t>ARVIKA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42131-2019</t>
        </is>
      </c>
      <c r="B2319" s="1" t="n">
        <v>43703</v>
      </c>
      <c r="C2319" s="1" t="n">
        <v>45353</v>
      </c>
      <c r="D2319" t="inlineStr">
        <is>
          <t>VÄRMLANDS LÄN</t>
        </is>
      </c>
      <c r="E2319" t="inlineStr">
        <is>
          <t>FILIPSTAD</t>
        </is>
      </c>
      <c r="F2319" t="inlineStr">
        <is>
          <t>Bergvik skog väst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42230-2019</t>
        </is>
      </c>
      <c r="B2320" s="1" t="n">
        <v>43703</v>
      </c>
      <c r="C2320" s="1" t="n">
        <v>45353</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42284-2019</t>
        </is>
      </c>
      <c r="B2321" s="1" t="n">
        <v>43703</v>
      </c>
      <c r="C2321" s="1" t="n">
        <v>45353</v>
      </c>
      <c r="D2321" t="inlineStr">
        <is>
          <t>VÄRMLANDS LÄN</t>
        </is>
      </c>
      <c r="E2321" t="inlineStr">
        <is>
          <t>ÅRJÄNG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42367-2019</t>
        </is>
      </c>
      <c r="B2322" s="1" t="n">
        <v>43703</v>
      </c>
      <c r="C2322" s="1" t="n">
        <v>45353</v>
      </c>
      <c r="D2322" t="inlineStr">
        <is>
          <t>VÄRMLANDS LÄN</t>
        </is>
      </c>
      <c r="E2322" t="inlineStr">
        <is>
          <t>EDA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43137-2019</t>
        </is>
      </c>
      <c r="B2323" s="1" t="n">
        <v>43703</v>
      </c>
      <c r="C2323" s="1" t="n">
        <v>45353</v>
      </c>
      <c r="D2323" t="inlineStr">
        <is>
          <t>VÄRMLANDS LÄN</t>
        </is>
      </c>
      <c r="E2323" t="inlineStr">
        <is>
          <t>ÅRJÄNG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43451-2019</t>
        </is>
      </c>
      <c r="B2324" s="1" t="n">
        <v>43703</v>
      </c>
      <c r="C2324" s="1" t="n">
        <v>45353</v>
      </c>
      <c r="D2324" t="inlineStr">
        <is>
          <t>VÄRMLANDS LÄN</t>
        </is>
      </c>
      <c r="E2324" t="inlineStr">
        <is>
          <t>EDA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43141-2019</t>
        </is>
      </c>
      <c r="B2325" s="1" t="n">
        <v>43703</v>
      </c>
      <c r="C2325" s="1" t="n">
        <v>45353</v>
      </c>
      <c r="D2325" t="inlineStr">
        <is>
          <t>VÄRMLANDS LÄN</t>
        </is>
      </c>
      <c r="E2325" t="inlineStr">
        <is>
          <t>ÅRJÄNG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42660-2019</t>
        </is>
      </c>
      <c r="B2326" s="1" t="n">
        <v>43704</v>
      </c>
      <c r="C2326" s="1" t="n">
        <v>45353</v>
      </c>
      <c r="D2326" t="inlineStr">
        <is>
          <t>VÄRMLANDS LÄN</t>
        </is>
      </c>
      <c r="E2326" t="inlineStr">
        <is>
          <t>EDA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42692-2019</t>
        </is>
      </c>
      <c r="B2327" s="1" t="n">
        <v>43704</v>
      </c>
      <c r="C2327" s="1" t="n">
        <v>45353</v>
      </c>
      <c r="D2327" t="inlineStr">
        <is>
          <t>VÄRMLANDS LÄN</t>
        </is>
      </c>
      <c r="E2327" t="inlineStr">
        <is>
          <t>ARVIKA</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42485-2019</t>
        </is>
      </c>
      <c r="B2328" s="1" t="n">
        <v>43704</v>
      </c>
      <c r="C2328" s="1" t="n">
        <v>45353</v>
      </c>
      <c r="D2328" t="inlineStr">
        <is>
          <t>VÄRMLANDS LÄN</t>
        </is>
      </c>
      <c r="E2328" t="inlineStr">
        <is>
          <t>ARVIKA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43273-2019</t>
        </is>
      </c>
      <c r="B2329" s="1" t="n">
        <v>43704</v>
      </c>
      <c r="C2329" s="1" t="n">
        <v>45353</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42854-2019</t>
        </is>
      </c>
      <c r="B2330" s="1" t="n">
        <v>43705</v>
      </c>
      <c r="C2330" s="1" t="n">
        <v>45353</v>
      </c>
      <c r="D2330" t="inlineStr">
        <is>
          <t>VÄRMLANDS LÄN</t>
        </is>
      </c>
      <c r="E2330" t="inlineStr">
        <is>
          <t>ARVIKA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42856-2019</t>
        </is>
      </c>
      <c r="B2331" s="1" t="n">
        <v>43705</v>
      </c>
      <c r="C2331" s="1" t="n">
        <v>45353</v>
      </c>
      <c r="D2331" t="inlineStr">
        <is>
          <t>VÄRMLANDS LÄN</t>
        </is>
      </c>
      <c r="E2331" t="inlineStr">
        <is>
          <t>KRISTINEHAMN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42967-2019</t>
        </is>
      </c>
      <c r="B2332" s="1" t="n">
        <v>43705</v>
      </c>
      <c r="C2332" s="1" t="n">
        <v>45353</v>
      </c>
      <c r="D2332" t="inlineStr">
        <is>
          <t>VÄRMLANDS LÄN</t>
        </is>
      </c>
      <c r="E2332" t="inlineStr">
        <is>
          <t>HAGFORS</t>
        </is>
      </c>
      <c r="F2332" t="inlineStr">
        <is>
          <t>Bergvik skog väst AB</t>
        </is>
      </c>
      <c r="G2332" t="n">
        <v>30.3</v>
      </c>
      <c r="H2332" t="n">
        <v>0</v>
      </c>
      <c r="I2332" t="n">
        <v>0</v>
      </c>
      <c r="J2332" t="n">
        <v>0</v>
      </c>
      <c r="K2332" t="n">
        <v>0</v>
      </c>
      <c r="L2332" t="n">
        <v>0</v>
      </c>
      <c r="M2332" t="n">
        <v>0</v>
      </c>
      <c r="N2332" t="n">
        <v>0</v>
      </c>
      <c r="O2332" t="n">
        <v>0</v>
      </c>
      <c r="P2332" t="n">
        <v>0</v>
      </c>
      <c r="Q2332" t="n">
        <v>0</v>
      </c>
      <c r="R2332" s="2" t="inlineStr"/>
    </row>
    <row r="2333" ht="15" customHeight="1">
      <c r="A2333" t="inlineStr">
        <is>
          <t>A 43068-2019</t>
        </is>
      </c>
      <c r="B2333" s="1" t="n">
        <v>43705</v>
      </c>
      <c r="C2333" s="1" t="n">
        <v>45353</v>
      </c>
      <c r="D2333" t="inlineStr">
        <is>
          <t>VÄRMLANDS LÄN</t>
        </is>
      </c>
      <c r="E2333" t="inlineStr">
        <is>
          <t>SUNNE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43075-2019</t>
        </is>
      </c>
      <c r="B2334" s="1" t="n">
        <v>43705</v>
      </c>
      <c r="C2334" s="1" t="n">
        <v>45353</v>
      </c>
      <c r="D2334" t="inlineStr">
        <is>
          <t>VÄRMLANDS LÄN</t>
        </is>
      </c>
      <c r="E2334" t="inlineStr">
        <is>
          <t>SUNNE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42904-2019</t>
        </is>
      </c>
      <c r="B2335" s="1" t="n">
        <v>43705</v>
      </c>
      <c r="C2335" s="1" t="n">
        <v>45353</v>
      </c>
      <c r="D2335" t="inlineStr">
        <is>
          <t>VÄRMLANDS LÄN</t>
        </is>
      </c>
      <c r="E2335" t="inlineStr">
        <is>
          <t>ÅRJÄNG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42980-2019</t>
        </is>
      </c>
      <c r="B2336" s="1" t="n">
        <v>43705</v>
      </c>
      <c r="C2336" s="1" t="n">
        <v>45353</v>
      </c>
      <c r="D2336" t="inlineStr">
        <is>
          <t>VÄRMLANDS LÄN</t>
        </is>
      </c>
      <c r="E2336" t="inlineStr">
        <is>
          <t>FILIPSTAD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44380-2019</t>
        </is>
      </c>
      <c r="B2337" s="1" t="n">
        <v>43705</v>
      </c>
      <c r="C2337" s="1" t="n">
        <v>45353</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43146-2019</t>
        </is>
      </c>
      <c r="B2338" s="1" t="n">
        <v>43705</v>
      </c>
      <c r="C2338" s="1" t="n">
        <v>45353</v>
      </c>
      <c r="D2338" t="inlineStr">
        <is>
          <t>VÄRMLANDS LÄN</t>
        </is>
      </c>
      <c r="E2338" t="inlineStr">
        <is>
          <t>ARVIKA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44375-2019</t>
        </is>
      </c>
      <c r="B2339" s="1" t="n">
        <v>43705</v>
      </c>
      <c r="C2339" s="1" t="n">
        <v>45353</v>
      </c>
      <c r="D2339" t="inlineStr">
        <is>
          <t>VÄRMLANDS LÄN</t>
        </is>
      </c>
      <c r="E2339" t="inlineStr">
        <is>
          <t>ÅRJÄNG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44367-2019</t>
        </is>
      </c>
      <c r="B2340" s="1" t="n">
        <v>43705</v>
      </c>
      <c r="C2340" s="1" t="n">
        <v>45353</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44381-2019</t>
        </is>
      </c>
      <c r="B2341" s="1" t="n">
        <v>43705</v>
      </c>
      <c r="C2341" s="1" t="n">
        <v>45353</v>
      </c>
      <c r="D2341" t="inlineStr">
        <is>
          <t>VÄRMLANDS LÄN</t>
        </is>
      </c>
      <c r="E2341" t="inlineStr">
        <is>
          <t>EDA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43291-2019</t>
        </is>
      </c>
      <c r="B2342" s="1" t="n">
        <v>43706</v>
      </c>
      <c r="C2342" s="1" t="n">
        <v>45353</v>
      </c>
      <c r="D2342" t="inlineStr">
        <is>
          <t>VÄRMLANDS LÄN</t>
        </is>
      </c>
      <c r="E2342" t="inlineStr">
        <is>
          <t>FILIPSTAD</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43471-2019</t>
        </is>
      </c>
      <c r="B2343" s="1" t="n">
        <v>43706</v>
      </c>
      <c r="C2343" s="1" t="n">
        <v>45353</v>
      </c>
      <c r="D2343" t="inlineStr">
        <is>
          <t>VÄRMLANDS LÄN</t>
        </is>
      </c>
      <c r="E2343" t="inlineStr">
        <is>
          <t>SUNNE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43542-2019</t>
        </is>
      </c>
      <c r="B2344" s="1" t="n">
        <v>43706</v>
      </c>
      <c r="C2344" s="1" t="n">
        <v>45353</v>
      </c>
      <c r="D2344" t="inlineStr">
        <is>
          <t>VÄRMLANDS LÄN</t>
        </is>
      </c>
      <c r="E2344" t="inlineStr">
        <is>
          <t>SUNNE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44531-2019</t>
        </is>
      </c>
      <c r="B2345" s="1" t="n">
        <v>43706</v>
      </c>
      <c r="C2345" s="1" t="n">
        <v>45353</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44533-2019</t>
        </is>
      </c>
      <c r="B2346" s="1" t="n">
        <v>43706</v>
      </c>
      <c r="C2346" s="1" t="n">
        <v>45353</v>
      </c>
      <c r="D2346" t="inlineStr">
        <is>
          <t>VÄRMLANDS LÄN</t>
        </is>
      </c>
      <c r="E2346" t="inlineStr">
        <is>
          <t>SÄFFLE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43927-2019</t>
        </is>
      </c>
      <c r="B2347" s="1" t="n">
        <v>43707</v>
      </c>
      <c r="C2347" s="1" t="n">
        <v>45353</v>
      </c>
      <c r="D2347" t="inlineStr">
        <is>
          <t>VÄRMLANDS LÄN</t>
        </is>
      </c>
      <c r="E2347" t="inlineStr">
        <is>
          <t>ÅRJÄNG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43910-2019</t>
        </is>
      </c>
      <c r="B2348" s="1" t="n">
        <v>43707</v>
      </c>
      <c r="C2348" s="1" t="n">
        <v>45353</v>
      </c>
      <c r="D2348" t="inlineStr">
        <is>
          <t>VÄRMLANDS LÄN</t>
        </is>
      </c>
      <c r="E2348" t="inlineStr">
        <is>
          <t>ÅRJÄNG</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43893-2019</t>
        </is>
      </c>
      <c r="B2349" s="1" t="n">
        <v>43707</v>
      </c>
      <c r="C2349" s="1" t="n">
        <v>45353</v>
      </c>
      <c r="D2349" t="inlineStr">
        <is>
          <t>VÄRMLANDS LÄN</t>
        </is>
      </c>
      <c r="E2349" t="inlineStr">
        <is>
          <t>GRUMS</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43897-2019</t>
        </is>
      </c>
      <c r="B2350" s="1" t="n">
        <v>43707</v>
      </c>
      <c r="C2350" s="1" t="n">
        <v>45353</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44832-2019</t>
        </is>
      </c>
      <c r="B2351" s="1" t="n">
        <v>43707</v>
      </c>
      <c r="C2351" s="1" t="n">
        <v>45353</v>
      </c>
      <c r="D2351" t="inlineStr">
        <is>
          <t>VÄRMLANDS LÄN</t>
        </is>
      </c>
      <c r="E2351" t="inlineStr">
        <is>
          <t>TORSBY</t>
        </is>
      </c>
      <c r="G2351" t="n">
        <v>27.1</v>
      </c>
      <c r="H2351" t="n">
        <v>0</v>
      </c>
      <c r="I2351" t="n">
        <v>0</v>
      </c>
      <c r="J2351" t="n">
        <v>0</v>
      </c>
      <c r="K2351" t="n">
        <v>0</v>
      </c>
      <c r="L2351" t="n">
        <v>0</v>
      </c>
      <c r="M2351" t="n">
        <v>0</v>
      </c>
      <c r="N2351" t="n">
        <v>0</v>
      </c>
      <c r="O2351" t="n">
        <v>0</v>
      </c>
      <c r="P2351" t="n">
        <v>0</v>
      </c>
      <c r="Q2351" t="n">
        <v>0</v>
      </c>
      <c r="R2351" s="2" t="inlineStr"/>
    </row>
    <row r="2352" ht="15" customHeight="1">
      <c r="A2352" t="inlineStr">
        <is>
          <t>A 43643-2019</t>
        </is>
      </c>
      <c r="B2352" s="1" t="n">
        <v>43707</v>
      </c>
      <c r="C2352" s="1" t="n">
        <v>45353</v>
      </c>
      <c r="D2352" t="inlineStr">
        <is>
          <t>VÄRMLANDS LÄN</t>
        </is>
      </c>
      <c r="E2352" t="inlineStr">
        <is>
          <t>ÅRJÄNG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44009-2019</t>
        </is>
      </c>
      <c r="B2353" s="1" t="n">
        <v>43709</v>
      </c>
      <c r="C2353" s="1" t="n">
        <v>45353</v>
      </c>
      <c r="D2353" t="inlineStr">
        <is>
          <t>VÄRMLANDS LÄN</t>
        </is>
      </c>
      <c r="E2353" t="inlineStr">
        <is>
          <t>KARLSTAD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44068-2019</t>
        </is>
      </c>
      <c r="B2354" s="1" t="n">
        <v>43710</v>
      </c>
      <c r="C2354" s="1" t="n">
        <v>45353</v>
      </c>
      <c r="D2354" t="inlineStr">
        <is>
          <t>VÄRMLANDS LÄN</t>
        </is>
      </c>
      <c r="E2354" t="inlineStr">
        <is>
          <t>KARLSTAD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44167-2019</t>
        </is>
      </c>
      <c r="B2355" s="1" t="n">
        <v>43710</v>
      </c>
      <c r="C2355" s="1" t="n">
        <v>45353</v>
      </c>
      <c r="D2355" t="inlineStr">
        <is>
          <t>VÄRMLANDS LÄN</t>
        </is>
      </c>
      <c r="E2355" t="inlineStr">
        <is>
          <t>GRUMS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44197-2019</t>
        </is>
      </c>
      <c r="B2356" s="1" t="n">
        <v>43710</v>
      </c>
      <c r="C2356" s="1" t="n">
        <v>45353</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44069-2019</t>
        </is>
      </c>
      <c r="B2357" s="1" t="n">
        <v>43710</v>
      </c>
      <c r="C2357" s="1" t="n">
        <v>45353</v>
      </c>
      <c r="D2357" t="inlineStr">
        <is>
          <t>VÄRMLANDS LÄN</t>
        </is>
      </c>
      <c r="E2357" t="inlineStr">
        <is>
          <t>ÅRJÄNG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44161-2019</t>
        </is>
      </c>
      <c r="B2358" s="1" t="n">
        <v>43710</v>
      </c>
      <c r="C2358" s="1" t="n">
        <v>45353</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44222-2019</t>
        </is>
      </c>
      <c r="B2359" s="1" t="n">
        <v>43710</v>
      </c>
      <c r="C2359" s="1" t="n">
        <v>45353</v>
      </c>
      <c r="D2359" t="inlineStr">
        <is>
          <t>VÄRMLANDS LÄN</t>
        </is>
      </c>
      <c r="E2359" t="inlineStr">
        <is>
          <t>HAGFORS</t>
        </is>
      </c>
      <c r="F2359" t="inlineStr">
        <is>
          <t>Bergvik skog väst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44177-2019</t>
        </is>
      </c>
      <c r="B2360" s="1" t="n">
        <v>43710</v>
      </c>
      <c r="C2360" s="1" t="n">
        <v>45353</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44495-2019</t>
        </is>
      </c>
      <c r="B2361" s="1" t="n">
        <v>43711</v>
      </c>
      <c r="C2361" s="1" t="n">
        <v>45353</v>
      </c>
      <c r="D2361" t="inlineStr">
        <is>
          <t>VÄRMLANDS LÄN</t>
        </is>
      </c>
      <c r="E2361" t="inlineStr">
        <is>
          <t>FORSHAGA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44468-2019</t>
        </is>
      </c>
      <c r="B2362" s="1" t="n">
        <v>43711</v>
      </c>
      <c r="C2362" s="1" t="n">
        <v>45353</v>
      </c>
      <c r="D2362" t="inlineStr">
        <is>
          <t>VÄRMLANDS LÄN</t>
        </is>
      </c>
      <c r="E2362" t="inlineStr">
        <is>
          <t>ARVIKA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44577-2019</t>
        </is>
      </c>
      <c r="B2363" s="1" t="n">
        <v>43711</v>
      </c>
      <c r="C2363" s="1" t="n">
        <v>45353</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44594-2019</t>
        </is>
      </c>
      <c r="B2364" s="1" t="n">
        <v>43711</v>
      </c>
      <c r="C2364" s="1" t="n">
        <v>45353</v>
      </c>
      <c r="D2364" t="inlineStr">
        <is>
          <t>VÄRMLANDS LÄN</t>
        </is>
      </c>
      <c r="E2364" t="inlineStr">
        <is>
          <t>ÅRJÄNG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44576-2019</t>
        </is>
      </c>
      <c r="B2365" s="1" t="n">
        <v>43711</v>
      </c>
      <c r="C2365" s="1" t="n">
        <v>45353</v>
      </c>
      <c r="D2365" t="inlineStr">
        <is>
          <t>VÄRMLANDS LÄN</t>
        </is>
      </c>
      <c r="E2365" t="inlineStr">
        <is>
          <t>KIL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44756-2019</t>
        </is>
      </c>
      <c r="B2366" s="1" t="n">
        <v>43712</v>
      </c>
      <c r="C2366" s="1" t="n">
        <v>45353</v>
      </c>
      <c r="D2366" t="inlineStr">
        <is>
          <t>VÄRMLANDS LÄN</t>
        </is>
      </c>
      <c r="E2366" t="inlineStr">
        <is>
          <t>SUNNE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44763-2019</t>
        </is>
      </c>
      <c r="B2367" s="1" t="n">
        <v>43712</v>
      </c>
      <c r="C2367" s="1" t="n">
        <v>45353</v>
      </c>
      <c r="D2367" t="inlineStr">
        <is>
          <t>VÄRMLANDS LÄN</t>
        </is>
      </c>
      <c r="E2367" t="inlineStr">
        <is>
          <t>SUNNE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44708-2019</t>
        </is>
      </c>
      <c r="B2368" s="1" t="n">
        <v>43712</v>
      </c>
      <c r="C2368" s="1" t="n">
        <v>45353</v>
      </c>
      <c r="D2368" t="inlineStr">
        <is>
          <t>VÄRMLANDS LÄN</t>
        </is>
      </c>
      <c r="E2368" t="inlineStr">
        <is>
          <t>TORSBY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45796-2019</t>
        </is>
      </c>
      <c r="B2369" s="1" t="n">
        <v>43712</v>
      </c>
      <c r="C2369" s="1" t="n">
        <v>45353</v>
      </c>
      <c r="D2369" t="inlineStr">
        <is>
          <t>VÄRMLANDS LÄN</t>
        </is>
      </c>
      <c r="E2369" t="inlineStr">
        <is>
          <t>ARVIKA</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44866-2019</t>
        </is>
      </c>
      <c r="B2370" s="1" t="n">
        <v>43712</v>
      </c>
      <c r="C2370" s="1" t="n">
        <v>45353</v>
      </c>
      <c r="D2370" t="inlineStr">
        <is>
          <t>VÄRMLANDS LÄN</t>
        </is>
      </c>
      <c r="E2370" t="inlineStr">
        <is>
          <t>HAGFORS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44706-2019</t>
        </is>
      </c>
      <c r="B2371" s="1" t="n">
        <v>43712</v>
      </c>
      <c r="C2371" s="1" t="n">
        <v>45353</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44646-2019</t>
        </is>
      </c>
      <c r="B2372" s="1" t="n">
        <v>43712</v>
      </c>
      <c r="C2372" s="1" t="n">
        <v>45353</v>
      </c>
      <c r="D2372" t="inlineStr">
        <is>
          <t>VÄRMLANDS LÄN</t>
        </is>
      </c>
      <c r="E2372" t="inlineStr">
        <is>
          <t>ARVIKA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45053-2019</t>
        </is>
      </c>
      <c r="B2373" s="1" t="n">
        <v>43713</v>
      </c>
      <c r="C2373" s="1" t="n">
        <v>45353</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44951-2019</t>
        </is>
      </c>
      <c r="B2374" s="1" t="n">
        <v>43713</v>
      </c>
      <c r="C2374" s="1" t="n">
        <v>45353</v>
      </c>
      <c r="D2374" t="inlineStr">
        <is>
          <t>VÄRMLANDS LÄN</t>
        </is>
      </c>
      <c r="E2374" t="inlineStr">
        <is>
          <t>KRISTINEHAMN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44987-2019</t>
        </is>
      </c>
      <c r="B2375" s="1" t="n">
        <v>43713</v>
      </c>
      <c r="C2375" s="1" t="n">
        <v>45353</v>
      </c>
      <c r="D2375" t="inlineStr">
        <is>
          <t>VÄRMLANDS LÄN</t>
        </is>
      </c>
      <c r="E2375" t="inlineStr">
        <is>
          <t>SUNNE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44912-2019</t>
        </is>
      </c>
      <c r="B2376" s="1" t="n">
        <v>43713</v>
      </c>
      <c r="C2376" s="1" t="n">
        <v>45353</v>
      </c>
      <c r="D2376" t="inlineStr">
        <is>
          <t>VÄRMLANDS LÄN</t>
        </is>
      </c>
      <c r="E2376" t="inlineStr">
        <is>
          <t>SÄFFLE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45072-2019</t>
        </is>
      </c>
      <c r="B2377" s="1" t="n">
        <v>43713</v>
      </c>
      <c r="C2377" s="1" t="n">
        <v>45353</v>
      </c>
      <c r="D2377" t="inlineStr">
        <is>
          <t>VÄRMLANDS LÄN</t>
        </is>
      </c>
      <c r="E2377" t="inlineStr">
        <is>
          <t>EDA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45062-2019</t>
        </is>
      </c>
      <c r="B2378" s="1" t="n">
        <v>43713</v>
      </c>
      <c r="C2378" s="1" t="n">
        <v>45353</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45083-2019</t>
        </is>
      </c>
      <c r="B2379" s="1" t="n">
        <v>43713</v>
      </c>
      <c r="C2379" s="1" t="n">
        <v>45353</v>
      </c>
      <c r="D2379" t="inlineStr">
        <is>
          <t>VÄRMLANDS LÄN</t>
        </is>
      </c>
      <c r="E2379" t="inlineStr">
        <is>
          <t>TORSBY</t>
        </is>
      </c>
      <c r="F2379" t="inlineStr">
        <is>
          <t>Bergvik skog väst AB</t>
        </is>
      </c>
      <c r="G2379" t="n">
        <v>37.8</v>
      </c>
      <c r="H2379" t="n">
        <v>0</v>
      </c>
      <c r="I2379" t="n">
        <v>0</v>
      </c>
      <c r="J2379" t="n">
        <v>0</v>
      </c>
      <c r="K2379" t="n">
        <v>0</v>
      </c>
      <c r="L2379" t="n">
        <v>0</v>
      </c>
      <c r="M2379" t="n">
        <v>0</v>
      </c>
      <c r="N2379" t="n">
        <v>0</v>
      </c>
      <c r="O2379" t="n">
        <v>0</v>
      </c>
      <c r="P2379" t="n">
        <v>0</v>
      </c>
      <c r="Q2379" t="n">
        <v>0</v>
      </c>
      <c r="R2379" s="2" t="inlineStr"/>
    </row>
    <row r="2380" ht="15" customHeight="1">
      <c r="A2380" t="inlineStr">
        <is>
          <t>A 45189-2019</t>
        </is>
      </c>
      <c r="B2380" s="1" t="n">
        <v>43713</v>
      </c>
      <c r="C2380" s="1" t="n">
        <v>45353</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44955-2019</t>
        </is>
      </c>
      <c r="B2381" s="1" t="n">
        <v>43713</v>
      </c>
      <c r="C2381" s="1" t="n">
        <v>45353</v>
      </c>
      <c r="D2381" t="inlineStr">
        <is>
          <t>VÄRMLANDS LÄN</t>
        </is>
      </c>
      <c r="E2381" t="inlineStr">
        <is>
          <t>KRISTINEHAMN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45002-2019</t>
        </is>
      </c>
      <c r="B2382" s="1" t="n">
        <v>43713</v>
      </c>
      <c r="C2382" s="1" t="n">
        <v>45353</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45068-2019</t>
        </is>
      </c>
      <c r="B2383" s="1" t="n">
        <v>43713</v>
      </c>
      <c r="C2383" s="1" t="n">
        <v>45353</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45352-2019</t>
        </is>
      </c>
      <c r="B2384" s="1" t="n">
        <v>43714</v>
      </c>
      <c r="C2384" s="1" t="n">
        <v>45353</v>
      </c>
      <c r="D2384" t="inlineStr">
        <is>
          <t>VÄRMLANDS LÄN</t>
        </is>
      </c>
      <c r="E2384" t="inlineStr">
        <is>
          <t>KARLSTAD</t>
        </is>
      </c>
      <c r="F2384" t="inlineStr">
        <is>
          <t>Bergvik skog väst AB</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45365-2019</t>
        </is>
      </c>
      <c r="B2385" s="1" t="n">
        <v>43714</v>
      </c>
      <c r="C2385" s="1" t="n">
        <v>45353</v>
      </c>
      <c r="D2385" t="inlineStr">
        <is>
          <t>VÄRMLANDS LÄN</t>
        </is>
      </c>
      <c r="E2385" t="inlineStr">
        <is>
          <t>KARLSTAD</t>
        </is>
      </c>
      <c r="F2385" t="inlineStr">
        <is>
          <t>Naturvårdsverket</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45370-2019</t>
        </is>
      </c>
      <c r="B2386" s="1" t="n">
        <v>43714</v>
      </c>
      <c r="C2386" s="1" t="n">
        <v>45353</v>
      </c>
      <c r="D2386" t="inlineStr">
        <is>
          <t>VÄRMLANDS LÄN</t>
        </is>
      </c>
      <c r="E2386" t="inlineStr">
        <is>
          <t>KARLSTAD</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45353-2019</t>
        </is>
      </c>
      <c r="B2387" s="1" t="n">
        <v>43714</v>
      </c>
      <c r="C2387" s="1" t="n">
        <v>45353</v>
      </c>
      <c r="D2387" t="inlineStr">
        <is>
          <t>VÄRMLANDS LÄN</t>
        </is>
      </c>
      <c r="E2387" t="inlineStr">
        <is>
          <t>KARLSTAD</t>
        </is>
      </c>
      <c r="F2387" t="inlineStr">
        <is>
          <t>Bergvik skog väst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46389-2019</t>
        </is>
      </c>
      <c r="B2388" s="1" t="n">
        <v>43714</v>
      </c>
      <c r="C2388" s="1" t="n">
        <v>45353</v>
      </c>
      <c r="D2388" t="inlineStr">
        <is>
          <t>VÄRMLANDS LÄN</t>
        </is>
      </c>
      <c r="E2388" t="inlineStr">
        <is>
          <t>KARLSTAD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45356-2019</t>
        </is>
      </c>
      <c r="B2389" s="1" t="n">
        <v>43714</v>
      </c>
      <c r="C2389" s="1" t="n">
        <v>45353</v>
      </c>
      <c r="D2389" t="inlineStr">
        <is>
          <t>VÄRMLANDS LÄN</t>
        </is>
      </c>
      <c r="E2389" t="inlineStr">
        <is>
          <t>HAGFORS</t>
        </is>
      </c>
      <c r="F2389" t="inlineStr">
        <is>
          <t>Bergvik skog väst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45704-2019</t>
        </is>
      </c>
      <c r="B2390" s="1" t="n">
        <v>43717</v>
      </c>
      <c r="C2390" s="1" t="n">
        <v>45353</v>
      </c>
      <c r="D2390" t="inlineStr">
        <is>
          <t>VÄRMLANDS LÄN</t>
        </is>
      </c>
      <c r="E2390" t="inlineStr">
        <is>
          <t>FILIPSTAD</t>
        </is>
      </c>
      <c r="F2390" t="inlineStr">
        <is>
          <t>Bergvik skog väst AB</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45634-2019</t>
        </is>
      </c>
      <c r="B2391" s="1" t="n">
        <v>43717</v>
      </c>
      <c r="C2391" s="1" t="n">
        <v>45353</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45657-2019</t>
        </is>
      </c>
      <c r="B2392" s="1" t="n">
        <v>43717</v>
      </c>
      <c r="C2392" s="1" t="n">
        <v>45353</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45803-2019</t>
        </is>
      </c>
      <c r="B2393" s="1" t="n">
        <v>43717</v>
      </c>
      <c r="C2393" s="1" t="n">
        <v>45353</v>
      </c>
      <c r="D2393" t="inlineStr">
        <is>
          <t>VÄRMLANDS LÄN</t>
        </is>
      </c>
      <c r="E2393" t="inlineStr">
        <is>
          <t>GRUMS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46500-2019</t>
        </is>
      </c>
      <c r="B2394" s="1" t="n">
        <v>43717</v>
      </c>
      <c r="C2394" s="1" t="n">
        <v>45353</v>
      </c>
      <c r="D2394" t="inlineStr">
        <is>
          <t>VÄRMLANDS LÄN</t>
        </is>
      </c>
      <c r="E2394" t="inlineStr">
        <is>
          <t>SUNNE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46498-2019</t>
        </is>
      </c>
      <c r="B2395" s="1" t="n">
        <v>43717</v>
      </c>
      <c r="C2395" s="1" t="n">
        <v>45353</v>
      </c>
      <c r="D2395" t="inlineStr">
        <is>
          <t>VÄRMLANDS LÄN</t>
        </is>
      </c>
      <c r="E2395" t="inlineStr">
        <is>
          <t>SUNNE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45891-2019</t>
        </is>
      </c>
      <c r="B2396" s="1" t="n">
        <v>43717</v>
      </c>
      <c r="C2396" s="1" t="n">
        <v>45353</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45599-2019</t>
        </is>
      </c>
      <c r="B2397" s="1" t="n">
        <v>43717</v>
      </c>
      <c r="C2397" s="1" t="n">
        <v>45353</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46215-2019</t>
        </is>
      </c>
      <c r="B2398" s="1" t="n">
        <v>43718</v>
      </c>
      <c r="C2398" s="1" t="n">
        <v>45353</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46270-2019</t>
        </is>
      </c>
      <c r="B2399" s="1" t="n">
        <v>43718</v>
      </c>
      <c r="C2399" s="1" t="n">
        <v>45353</v>
      </c>
      <c r="D2399" t="inlineStr">
        <is>
          <t>VÄRMLANDS LÄN</t>
        </is>
      </c>
      <c r="E2399" t="inlineStr">
        <is>
          <t>ARVIKA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46016-2019</t>
        </is>
      </c>
      <c r="B2400" s="1" t="n">
        <v>43718</v>
      </c>
      <c r="C2400" s="1" t="n">
        <v>45353</v>
      </c>
      <c r="D2400" t="inlineStr">
        <is>
          <t>VÄRMLANDS LÄN</t>
        </is>
      </c>
      <c r="E2400" t="inlineStr">
        <is>
          <t>KARLSTAD</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46799-2019</t>
        </is>
      </c>
      <c r="B2401" s="1" t="n">
        <v>43718</v>
      </c>
      <c r="C2401" s="1" t="n">
        <v>45353</v>
      </c>
      <c r="D2401" t="inlineStr">
        <is>
          <t>VÄRMLANDS LÄN</t>
        </is>
      </c>
      <c r="E2401" t="inlineStr">
        <is>
          <t>ÅRJÄNG</t>
        </is>
      </c>
      <c r="F2401" t="inlineStr">
        <is>
          <t>Övriga Aktiebolag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46003-2019</t>
        </is>
      </c>
      <c r="B2402" s="1" t="n">
        <v>43718</v>
      </c>
      <c r="C2402" s="1" t="n">
        <v>45353</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46129-2019</t>
        </is>
      </c>
      <c r="B2403" s="1" t="n">
        <v>43718</v>
      </c>
      <c r="C2403" s="1" t="n">
        <v>45353</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46541-2019</t>
        </is>
      </c>
      <c r="B2404" s="1" t="n">
        <v>43719</v>
      </c>
      <c r="C2404" s="1" t="n">
        <v>45353</v>
      </c>
      <c r="D2404" t="inlineStr">
        <is>
          <t>VÄRMLANDS LÄN</t>
        </is>
      </c>
      <c r="E2404" t="inlineStr">
        <is>
          <t>SUNNE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46536-2019</t>
        </is>
      </c>
      <c r="B2405" s="1" t="n">
        <v>43719</v>
      </c>
      <c r="C2405" s="1" t="n">
        <v>45353</v>
      </c>
      <c r="D2405" t="inlineStr">
        <is>
          <t>VÄRMLANDS LÄN</t>
        </is>
      </c>
      <c r="E2405" t="inlineStr">
        <is>
          <t>KARLSTAD</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46678-2019</t>
        </is>
      </c>
      <c r="B2406" s="1" t="n">
        <v>43719</v>
      </c>
      <c r="C2406" s="1" t="n">
        <v>45353</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46707-2019</t>
        </is>
      </c>
      <c r="B2407" s="1" t="n">
        <v>43719</v>
      </c>
      <c r="C2407" s="1" t="n">
        <v>45353</v>
      </c>
      <c r="D2407" t="inlineStr">
        <is>
          <t>VÄRMLANDS LÄN</t>
        </is>
      </c>
      <c r="E2407" t="inlineStr">
        <is>
          <t>SUNNE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46738-2019</t>
        </is>
      </c>
      <c r="B2408" s="1" t="n">
        <v>43719</v>
      </c>
      <c r="C2408" s="1" t="n">
        <v>45353</v>
      </c>
      <c r="D2408" t="inlineStr">
        <is>
          <t>VÄRMLANDS LÄN</t>
        </is>
      </c>
      <c r="E2408" t="inlineStr">
        <is>
          <t>TORSBY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46743-2019</t>
        </is>
      </c>
      <c r="B2409" s="1" t="n">
        <v>43719</v>
      </c>
      <c r="C2409" s="1" t="n">
        <v>45353</v>
      </c>
      <c r="D2409" t="inlineStr">
        <is>
          <t>VÄRMLANDS LÄN</t>
        </is>
      </c>
      <c r="E2409" t="inlineStr">
        <is>
          <t>TORSBY</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46669-2019</t>
        </is>
      </c>
      <c r="B2410" s="1" t="n">
        <v>43719</v>
      </c>
      <c r="C2410" s="1" t="n">
        <v>45353</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46703-2019</t>
        </is>
      </c>
      <c r="B2411" s="1" t="n">
        <v>43719</v>
      </c>
      <c r="C2411" s="1" t="n">
        <v>45353</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46705-2019</t>
        </is>
      </c>
      <c r="B2412" s="1" t="n">
        <v>43719</v>
      </c>
      <c r="C2412" s="1" t="n">
        <v>45353</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46822-2019</t>
        </is>
      </c>
      <c r="B2413" s="1" t="n">
        <v>43720</v>
      </c>
      <c r="C2413" s="1" t="n">
        <v>45353</v>
      </c>
      <c r="D2413" t="inlineStr">
        <is>
          <t>VÄRMLANDS LÄN</t>
        </is>
      </c>
      <c r="E2413" t="inlineStr">
        <is>
          <t>FILIPSTAD</t>
        </is>
      </c>
      <c r="F2413" t="inlineStr">
        <is>
          <t>Bergvik skog väst AB</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46832-2019</t>
        </is>
      </c>
      <c r="B2414" s="1" t="n">
        <v>43720</v>
      </c>
      <c r="C2414" s="1" t="n">
        <v>45353</v>
      </c>
      <c r="D2414" t="inlineStr">
        <is>
          <t>VÄRMLANDS LÄN</t>
        </is>
      </c>
      <c r="E2414" t="inlineStr">
        <is>
          <t>SÄFFLE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46904-2019</t>
        </is>
      </c>
      <c r="B2415" s="1" t="n">
        <v>43720</v>
      </c>
      <c r="C2415" s="1" t="n">
        <v>45353</v>
      </c>
      <c r="D2415" t="inlineStr">
        <is>
          <t>VÄRMLANDS LÄN</t>
        </is>
      </c>
      <c r="E2415" t="inlineStr">
        <is>
          <t>FILIPSTAD</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47114-2019</t>
        </is>
      </c>
      <c r="B2416" s="1" t="n">
        <v>43720</v>
      </c>
      <c r="C2416" s="1" t="n">
        <v>45353</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47188-2019</t>
        </is>
      </c>
      <c r="B2417" s="1" t="n">
        <v>43721</v>
      </c>
      <c r="C2417" s="1" t="n">
        <v>45353</v>
      </c>
      <c r="D2417" t="inlineStr">
        <is>
          <t>VÄRMLANDS LÄN</t>
        </is>
      </c>
      <c r="E2417" t="inlineStr">
        <is>
          <t>KARLSTAD</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47214-2019</t>
        </is>
      </c>
      <c r="B2418" s="1" t="n">
        <v>43721</v>
      </c>
      <c r="C2418" s="1" t="n">
        <v>45353</v>
      </c>
      <c r="D2418" t="inlineStr">
        <is>
          <t>VÄRMLANDS LÄN</t>
        </is>
      </c>
      <c r="E2418" t="inlineStr">
        <is>
          <t>TORSBY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47317-2019</t>
        </is>
      </c>
      <c r="B2419" s="1" t="n">
        <v>43721</v>
      </c>
      <c r="C2419" s="1" t="n">
        <v>45353</v>
      </c>
      <c r="D2419" t="inlineStr">
        <is>
          <t>VÄRMLANDS LÄN</t>
        </is>
      </c>
      <c r="E2419" t="inlineStr">
        <is>
          <t>SUNNE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47137-2019</t>
        </is>
      </c>
      <c r="B2420" s="1" t="n">
        <v>43721</v>
      </c>
      <c r="C2420" s="1" t="n">
        <v>45353</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47201-2019</t>
        </is>
      </c>
      <c r="B2421" s="1" t="n">
        <v>43721</v>
      </c>
      <c r="C2421" s="1" t="n">
        <v>45353</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47272-2019</t>
        </is>
      </c>
      <c r="B2422" s="1" t="n">
        <v>43721</v>
      </c>
      <c r="C2422" s="1" t="n">
        <v>45353</v>
      </c>
      <c r="D2422" t="inlineStr">
        <is>
          <t>VÄRMLANDS LÄN</t>
        </is>
      </c>
      <c r="E2422" t="inlineStr">
        <is>
          <t>ÅRJÄNG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47316-2019</t>
        </is>
      </c>
      <c r="B2423" s="1" t="n">
        <v>43721</v>
      </c>
      <c r="C2423" s="1" t="n">
        <v>45353</v>
      </c>
      <c r="D2423" t="inlineStr">
        <is>
          <t>VÄRMLANDS LÄN</t>
        </is>
      </c>
      <c r="E2423" t="inlineStr">
        <is>
          <t>TORSBY</t>
        </is>
      </c>
      <c r="F2423" t="inlineStr">
        <is>
          <t>Bergvik skog väst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47147-2019</t>
        </is>
      </c>
      <c r="B2424" s="1" t="n">
        <v>43721</v>
      </c>
      <c r="C2424" s="1" t="n">
        <v>45353</v>
      </c>
      <c r="D2424" t="inlineStr">
        <is>
          <t>VÄRMLANDS LÄN</t>
        </is>
      </c>
      <c r="E2424" t="inlineStr">
        <is>
          <t>ÅRJÄNG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47481-2019</t>
        </is>
      </c>
      <c r="B2425" s="1" t="n">
        <v>43724</v>
      </c>
      <c r="C2425" s="1" t="n">
        <v>45353</v>
      </c>
      <c r="D2425" t="inlineStr">
        <is>
          <t>VÄRMLANDS LÄN</t>
        </is>
      </c>
      <c r="E2425" t="inlineStr">
        <is>
          <t>GRUMS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47608-2019</t>
        </is>
      </c>
      <c r="B2426" s="1" t="n">
        <v>43724</v>
      </c>
      <c r="C2426" s="1" t="n">
        <v>45353</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47620-2019</t>
        </is>
      </c>
      <c r="B2427" s="1" t="n">
        <v>43724</v>
      </c>
      <c r="C2427" s="1" t="n">
        <v>45353</v>
      </c>
      <c r="D2427" t="inlineStr">
        <is>
          <t>VÄRMLANDS LÄN</t>
        </is>
      </c>
      <c r="E2427" t="inlineStr">
        <is>
          <t>ÅRJÄNG</t>
        </is>
      </c>
      <c r="F2427" t="inlineStr">
        <is>
          <t>Kyrkan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47457-2019</t>
        </is>
      </c>
      <c r="B2428" s="1" t="n">
        <v>43724</v>
      </c>
      <c r="C2428" s="1" t="n">
        <v>45353</v>
      </c>
      <c r="D2428" t="inlineStr">
        <is>
          <t>VÄRMLANDS LÄN</t>
        </is>
      </c>
      <c r="E2428" t="inlineStr">
        <is>
          <t>FORSHAGA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47700-2019</t>
        </is>
      </c>
      <c r="B2429" s="1" t="n">
        <v>43724</v>
      </c>
      <c r="C2429" s="1" t="n">
        <v>45353</v>
      </c>
      <c r="D2429" t="inlineStr">
        <is>
          <t>VÄRMLANDS LÄN</t>
        </is>
      </c>
      <c r="E2429" t="inlineStr">
        <is>
          <t>KARLSTAD</t>
        </is>
      </c>
      <c r="F2429" t="inlineStr">
        <is>
          <t>Bergvik skog väst AB</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47772-2019</t>
        </is>
      </c>
      <c r="B2430" s="1" t="n">
        <v>43724</v>
      </c>
      <c r="C2430" s="1" t="n">
        <v>45353</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47759-2019</t>
        </is>
      </c>
      <c r="B2431" s="1" t="n">
        <v>43724</v>
      </c>
      <c r="C2431" s="1" t="n">
        <v>45353</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47648-2019</t>
        </is>
      </c>
      <c r="B2432" s="1" t="n">
        <v>43724</v>
      </c>
      <c r="C2432" s="1" t="n">
        <v>45353</v>
      </c>
      <c r="D2432" t="inlineStr">
        <is>
          <t>VÄRMLANDS LÄN</t>
        </is>
      </c>
      <c r="E2432" t="inlineStr">
        <is>
          <t>TORSBY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47598-2019</t>
        </is>
      </c>
      <c r="B2433" s="1" t="n">
        <v>43724</v>
      </c>
      <c r="C2433" s="1" t="n">
        <v>45353</v>
      </c>
      <c r="D2433" t="inlineStr">
        <is>
          <t>VÄRMLANDS LÄN</t>
        </is>
      </c>
      <c r="E2433" t="inlineStr">
        <is>
          <t>KRISTINEHAMN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47581-2019</t>
        </is>
      </c>
      <c r="B2434" s="1" t="n">
        <v>43724</v>
      </c>
      <c r="C2434" s="1" t="n">
        <v>45353</v>
      </c>
      <c r="D2434" t="inlineStr">
        <is>
          <t>VÄRMLANDS LÄN</t>
        </is>
      </c>
      <c r="E2434" t="inlineStr">
        <is>
          <t>EDA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47502-2019</t>
        </is>
      </c>
      <c r="B2435" s="1" t="n">
        <v>43724</v>
      </c>
      <c r="C2435" s="1" t="n">
        <v>45353</v>
      </c>
      <c r="D2435" t="inlineStr">
        <is>
          <t>VÄRMLANDS LÄN</t>
        </is>
      </c>
      <c r="E2435" t="inlineStr">
        <is>
          <t>TORSBY</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47828-2019</t>
        </is>
      </c>
      <c r="B2436" s="1" t="n">
        <v>43725</v>
      </c>
      <c r="C2436" s="1" t="n">
        <v>45353</v>
      </c>
      <c r="D2436" t="inlineStr">
        <is>
          <t>VÄRMLANDS LÄN</t>
        </is>
      </c>
      <c r="E2436" t="inlineStr">
        <is>
          <t>EDA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47904-2019</t>
        </is>
      </c>
      <c r="B2437" s="1" t="n">
        <v>43725</v>
      </c>
      <c r="C2437" s="1" t="n">
        <v>45353</v>
      </c>
      <c r="D2437" t="inlineStr">
        <is>
          <t>VÄRMLANDS LÄN</t>
        </is>
      </c>
      <c r="E2437" t="inlineStr">
        <is>
          <t>HAGFORS</t>
        </is>
      </c>
      <c r="F2437" t="inlineStr">
        <is>
          <t>Bergvik skog väst AB</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47869-2019</t>
        </is>
      </c>
      <c r="B2438" s="1" t="n">
        <v>43725</v>
      </c>
      <c r="C2438" s="1" t="n">
        <v>45353</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47979-2019</t>
        </is>
      </c>
      <c r="B2439" s="1" t="n">
        <v>43725</v>
      </c>
      <c r="C2439" s="1" t="n">
        <v>45353</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47840-2019</t>
        </is>
      </c>
      <c r="B2440" s="1" t="n">
        <v>43725</v>
      </c>
      <c r="C2440" s="1" t="n">
        <v>45353</v>
      </c>
      <c r="D2440" t="inlineStr">
        <is>
          <t>VÄRMLANDS LÄN</t>
        </is>
      </c>
      <c r="E2440" t="inlineStr">
        <is>
          <t>EDA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47951-2019</t>
        </is>
      </c>
      <c r="B2441" s="1" t="n">
        <v>43725</v>
      </c>
      <c r="C2441" s="1" t="n">
        <v>45353</v>
      </c>
      <c r="D2441" t="inlineStr">
        <is>
          <t>VÄRMLANDS LÄN</t>
        </is>
      </c>
      <c r="E2441" t="inlineStr">
        <is>
          <t>EDA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48040-2019</t>
        </is>
      </c>
      <c r="B2442" s="1" t="n">
        <v>43725</v>
      </c>
      <c r="C2442" s="1" t="n">
        <v>45353</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48090-2019</t>
        </is>
      </c>
      <c r="B2443" s="1" t="n">
        <v>43725</v>
      </c>
      <c r="C2443" s="1" t="n">
        <v>45353</v>
      </c>
      <c r="D2443" t="inlineStr">
        <is>
          <t>VÄRMLANDS LÄN</t>
        </is>
      </c>
      <c r="E2443" t="inlineStr">
        <is>
          <t>SUNNE</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48077-2019</t>
        </is>
      </c>
      <c r="B2444" s="1" t="n">
        <v>43725</v>
      </c>
      <c r="C2444" s="1" t="n">
        <v>45353</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48008-2019</t>
        </is>
      </c>
      <c r="B2445" s="1" t="n">
        <v>43725</v>
      </c>
      <c r="C2445" s="1" t="n">
        <v>45353</v>
      </c>
      <c r="D2445" t="inlineStr">
        <is>
          <t>VÄRMLANDS LÄN</t>
        </is>
      </c>
      <c r="E2445" t="inlineStr">
        <is>
          <t>SÄFFLE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47938-2019</t>
        </is>
      </c>
      <c r="B2446" s="1" t="n">
        <v>43725</v>
      </c>
      <c r="C2446" s="1" t="n">
        <v>45353</v>
      </c>
      <c r="D2446" t="inlineStr">
        <is>
          <t>VÄRMLANDS LÄN</t>
        </is>
      </c>
      <c r="E2446" t="inlineStr">
        <is>
          <t>HAGFORS</t>
        </is>
      </c>
      <c r="F2446" t="inlineStr">
        <is>
          <t>Bergvik skog väst AB</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48026-2019</t>
        </is>
      </c>
      <c r="B2447" s="1" t="n">
        <v>43725</v>
      </c>
      <c r="C2447" s="1" t="n">
        <v>45353</v>
      </c>
      <c r="D2447" t="inlineStr">
        <is>
          <t>VÄRMLANDS LÄN</t>
        </is>
      </c>
      <c r="E2447" t="inlineStr">
        <is>
          <t>ARVIKA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48346-2019</t>
        </is>
      </c>
      <c r="B2448" s="1" t="n">
        <v>43726</v>
      </c>
      <c r="C2448" s="1" t="n">
        <v>45353</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48366-2019</t>
        </is>
      </c>
      <c r="B2449" s="1" t="n">
        <v>43726</v>
      </c>
      <c r="C2449" s="1" t="n">
        <v>45353</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48145-2019</t>
        </is>
      </c>
      <c r="B2450" s="1" t="n">
        <v>43726</v>
      </c>
      <c r="C2450" s="1" t="n">
        <v>45353</v>
      </c>
      <c r="D2450" t="inlineStr">
        <is>
          <t>VÄRMLANDS LÄN</t>
        </is>
      </c>
      <c r="E2450" t="inlineStr">
        <is>
          <t>SUNNE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48226-2019</t>
        </is>
      </c>
      <c r="B2451" s="1" t="n">
        <v>43726</v>
      </c>
      <c r="C2451" s="1" t="n">
        <v>45353</v>
      </c>
      <c r="D2451" t="inlineStr">
        <is>
          <t>VÄRMLANDS LÄN</t>
        </is>
      </c>
      <c r="E2451" t="inlineStr">
        <is>
          <t>MUNKFORS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48524-2019</t>
        </is>
      </c>
      <c r="B2452" s="1" t="n">
        <v>43727</v>
      </c>
      <c r="C2452" s="1" t="n">
        <v>45353</v>
      </c>
      <c r="D2452" t="inlineStr">
        <is>
          <t>VÄRMLANDS LÄN</t>
        </is>
      </c>
      <c r="E2452" t="inlineStr">
        <is>
          <t>HAGFORS</t>
        </is>
      </c>
      <c r="F2452" t="inlineStr">
        <is>
          <t>Bergvik skog väst AB</t>
        </is>
      </c>
      <c r="G2452" t="n">
        <v>15.8</v>
      </c>
      <c r="H2452" t="n">
        <v>0</v>
      </c>
      <c r="I2452" t="n">
        <v>0</v>
      </c>
      <c r="J2452" t="n">
        <v>0</v>
      </c>
      <c r="K2452" t="n">
        <v>0</v>
      </c>
      <c r="L2452" t="n">
        <v>0</v>
      </c>
      <c r="M2452" t="n">
        <v>0</v>
      </c>
      <c r="N2452" t="n">
        <v>0</v>
      </c>
      <c r="O2452" t="n">
        <v>0</v>
      </c>
      <c r="P2452" t="n">
        <v>0</v>
      </c>
      <c r="Q2452" t="n">
        <v>0</v>
      </c>
      <c r="R2452" s="2" t="inlineStr"/>
    </row>
    <row r="2453" ht="15" customHeight="1">
      <c r="A2453" t="inlineStr">
        <is>
          <t>A 48528-2019</t>
        </is>
      </c>
      <c r="B2453" s="1" t="n">
        <v>43727</v>
      </c>
      <c r="C2453" s="1" t="n">
        <v>45353</v>
      </c>
      <c r="D2453" t="inlineStr">
        <is>
          <t>VÄRMLANDS LÄN</t>
        </is>
      </c>
      <c r="E2453" t="inlineStr">
        <is>
          <t>SÄFFLE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49041-2019</t>
        </is>
      </c>
      <c r="B2454" s="1" t="n">
        <v>43727</v>
      </c>
      <c r="C2454" s="1" t="n">
        <v>45353</v>
      </c>
      <c r="D2454" t="inlineStr">
        <is>
          <t>VÄRMLANDS LÄN</t>
        </is>
      </c>
      <c r="E2454" t="inlineStr">
        <is>
          <t>ÅRJÄNG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48844-2019</t>
        </is>
      </c>
      <c r="B2455" s="1" t="n">
        <v>43727</v>
      </c>
      <c r="C2455" s="1" t="n">
        <v>45353</v>
      </c>
      <c r="D2455" t="inlineStr">
        <is>
          <t>VÄRMLANDS LÄN</t>
        </is>
      </c>
      <c r="E2455" t="inlineStr">
        <is>
          <t>ÅRJÄNG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48857-2019</t>
        </is>
      </c>
      <c r="B2456" s="1" t="n">
        <v>43727</v>
      </c>
      <c r="C2456" s="1" t="n">
        <v>45353</v>
      </c>
      <c r="D2456" t="inlineStr">
        <is>
          <t>VÄRMLANDS LÄN</t>
        </is>
      </c>
      <c r="E2456" t="inlineStr">
        <is>
          <t>ÅRJÄNG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49550-2019</t>
        </is>
      </c>
      <c r="B2457" s="1" t="n">
        <v>43727</v>
      </c>
      <c r="C2457" s="1" t="n">
        <v>45353</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48549-2019</t>
        </is>
      </c>
      <c r="B2458" s="1" t="n">
        <v>43727</v>
      </c>
      <c r="C2458" s="1" t="n">
        <v>45353</v>
      </c>
      <c r="D2458" t="inlineStr">
        <is>
          <t>VÄRMLANDS LÄN</t>
        </is>
      </c>
      <c r="E2458" t="inlineStr">
        <is>
          <t>ARVIKA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48428-2019</t>
        </is>
      </c>
      <c r="B2459" s="1" t="n">
        <v>43727</v>
      </c>
      <c r="C2459" s="1" t="n">
        <v>45353</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48925-2019</t>
        </is>
      </c>
      <c r="B2460" s="1" t="n">
        <v>43728</v>
      </c>
      <c r="C2460" s="1" t="n">
        <v>45353</v>
      </c>
      <c r="D2460" t="inlineStr">
        <is>
          <t>VÄRMLANDS LÄN</t>
        </is>
      </c>
      <c r="E2460" t="inlineStr">
        <is>
          <t>ÅRJÄNG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48892-2019</t>
        </is>
      </c>
      <c r="B2461" s="1" t="n">
        <v>43728</v>
      </c>
      <c r="C2461" s="1" t="n">
        <v>45353</v>
      </c>
      <c r="D2461" t="inlineStr">
        <is>
          <t>VÄRMLANDS LÄN</t>
        </is>
      </c>
      <c r="E2461" t="inlineStr">
        <is>
          <t>ARVIKA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48936-2019</t>
        </is>
      </c>
      <c r="B2462" s="1" t="n">
        <v>43728</v>
      </c>
      <c r="C2462" s="1" t="n">
        <v>45353</v>
      </c>
      <c r="D2462" t="inlineStr">
        <is>
          <t>VÄRMLANDS LÄN</t>
        </is>
      </c>
      <c r="E2462" t="inlineStr">
        <is>
          <t>FILIPSTAD</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49577-2019</t>
        </is>
      </c>
      <c r="B2463" s="1" t="n">
        <v>43730</v>
      </c>
      <c r="C2463" s="1" t="n">
        <v>45353</v>
      </c>
      <c r="D2463" t="inlineStr">
        <is>
          <t>VÄRMLANDS LÄN</t>
        </is>
      </c>
      <c r="E2463" t="inlineStr">
        <is>
          <t>ÅRJÄNG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49333-2019</t>
        </is>
      </c>
      <c r="B2464" s="1" t="n">
        <v>43731</v>
      </c>
      <c r="C2464" s="1" t="n">
        <v>45353</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50482-2019</t>
        </is>
      </c>
      <c r="B2465" s="1" t="n">
        <v>43731</v>
      </c>
      <c r="C2465" s="1" t="n">
        <v>45353</v>
      </c>
      <c r="D2465" t="inlineStr">
        <is>
          <t>VÄRMLANDS LÄN</t>
        </is>
      </c>
      <c r="E2465" t="inlineStr">
        <is>
          <t>ÅRJÄNG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49509-2019</t>
        </is>
      </c>
      <c r="B2466" s="1" t="n">
        <v>43732</v>
      </c>
      <c r="C2466" s="1" t="n">
        <v>45353</v>
      </c>
      <c r="D2466" t="inlineStr">
        <is>
          <t>VÄRMLANDS LÄN</t>
        </is>
      </c>
      <c r="E2466" t="inlineStr">
        <is>
          <t>SUNNE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50045-2019</t>
        </is>
      </c>
      <c r="B2467" s="1" t="n">
        <v>43732</v>
      </c>
      <c r="C2467" s="1" t="n">
        <v>45353</v>
      </c>
      <c r="D2467" t="inlineStr">
        <is>
          <t>VÄRMLANDS LÄN</t>
        </is>
      </c>
      <c r="E2467" t="inlineStr">
        <is>
          <t>HAGFORS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49650-2019</t>
        </is>
      </c>
      <c r="B2468" s="1" t="n">
        <v>43732</v>
      </c>
      <c r="C2468" s="1" t="n">
        <v>45353</v>
      </c>
      <c r="D2468" t="inlineStr">
        <is>
          <t>VÄRMLANDS LÄN</t>
        </is>
      </c>
      <c r="E2468" t="inlineStr">
        <is>
          <t>ÅRJÄNG</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49657-2019</t>
        </is>
      </c>
      <c r="B2469" s="1" t="n">
        <v>43732</v>
      </c>
      <c r="C2469" s="1" t="n">
        <v>45353</v>
      </c>
      <c r="D2469" t="inlineStr">
        <is>
          <t>VÄRMLANDS LÄN</t>
        </is>
      </c>
      <c r="E2469" t="inlineStr">
        <is>
          <t>SÄFFLE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49766-2019</t>
        </is>
      </c>
      <c r="B2470" s="1" t="n">
        <v>43733</v>
      </c>
      <c r="C2470" s="1" t="n">
        <v>45353</v>
      </c>
      <c r="D2470" t="inlineStr">
        <is>
          <t>VÄRMLANDS LÄN</t>
        </is>
      </c>
      <c r="E2470" t="inlineStr">
        <is>
          <t>SUNNE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49779-2019</t>
        </is>
      </c>
      <c r="B2471" s="1" t="n">
        <v>43733</v>
      </c>
      <c r="C2471" s="1" t="n">
        <v>45353</v>
      </c>
      <c r="D2471" t="inlineStr">
        <is>
          <t>VÄRMLANDS LÄN</t>
        </is>
      </c>
      <c r="E2471" t="inlineStr">
        <is>
          <t>SUNNE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49781-2019</t>
        </is>
      </c>
      <c r="B2472" s="1" t="n">
        <v>43733</v>
      </c>
      <c r="C2472" s="1" t="n">
        <v>45353</v>
      </c>
      <c r="D2472" t="inlineStr">
        <is>
          <t>VÄRMLANDS LÄN</t>
        </is>
      </c>
      <c r="E2472" t="inlineStr">
        <is>
          <t>SUNNE</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49860-2019</t>
        </is>
      </c>
      <c r="B2473" s="1" t="n">
        <v>43733</v>
      </c>
      <c r="C2473" s="1" t="n">
        <v>45353</v>
      </c>
      <c r="D2473" t="inlineStr">
        <is>
          <t>VÄRMLANDS LÄN</t>
        </is>
      </c>
      <c r="E2473" t="inlineStr">
        <is>
          <t>KRISTINEHAMN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49774-2019</t>
        </is>
      </c>
      <c r="B2474" s="1" t="n">
        <v>43733</v>
      </c>
      <c r="C2474" s="1" t="n">
        <v>45353</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49965-2019</t>
        </is>
      </c>
      <c r="B2475" s="1" t="n">
        <v>43733</v>
      </c>
      <c r="C2475" s="1" t="n">
        <v>45353</v>
      </c>
      <c r="D2475" t="inlineStr">
        <is>
          <t>VÄRMLANDS LÄN</t>
        </is>
      </c>
      <c r="E2475" t="inlineStr">
        <is>
          <t>ARVIKA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49976-2019</t>
        </is>
      </c>
      <c r="B2476" s="1" t="n">
        <v>43733</v>
      </c>
      <c r="C2476" s="1" t="n">
        <v>45353</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51551-2019</t>
        </is>
      </c>
      <c r="B2477" s="1" t="n">
        <v>43733</v>
      </c>
      <c r="C2477" s="1" t="n">
        <v>45353</v>
      </c>
      <c r="D2477" t="inlineStr">
        <is>
          <t>VÄRMLANDS LÄN</t>
        </is>
      </c>
      <c r="E2477" t="inlineStr">
        <is>
          <t>KARLSTAD</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50057-2019</t>
        </is>
      </c>
      <c r="B2478" s="1" t="n">
        <v>43734</v>
      </c>
      <c r="C2478" s="1" t="n">
        <v>45353</v>
      </c>
      <c r="D2478" t="inlineStr">
        <is>
          <t>VÄRMLANDS LÄN</t>
        </is>
      </c>
      <c r="E2478" t="inlineStr">
        <is>
          <t>ÅRJÄNG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51725-2019</t>
        </is>
      </c>
      <c r="B2479" s="1" t="n">
        <v>43734</v>
      </c>
      <c r="C2479" s="1" t="n">
        <v>45353</v>
      </c>
      <c r="D2479" t="inlineStr">
        <is>
          <t>VÄRMLANDS LÄN</t>
        </is>
      </c>
      <c r="E2479" t="inlineStr">
        <is>
          <t>ÅRJÄNG</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51497-2019</t>
        </is>
      </c>
      <c r="B2480" s="1" t="n">
        <v>43734</v>
      </c>
      <c r="C2480" s="1" t="n">
        <v>45353</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51771-2019</t>
        </is>
      </c>
      <c r="B2481" s="1" t="n">
        <v>43734</v>
      </c>
      <c r="C2481" s="1" t="n">
        <v>45353</v>
      </c>
      <c r="D2481" t="inlineStr">
        <is>
          <t>VÄRMLANDS LÄN</t>
        </is>
      </c>
      <c r="E2481" t="inlineStr">
        <is>
          <t>SUNNE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50021-2019</t>
        </is>
      </c>
      <c r="B2482" s="1" t="n">
        <v>43734</v>
      </c>
      <c r="C2482" s="1" t="n">
        <v>45353</v>
      </c>
      <c r="D2482" t="inlineStr">
        <is>
          <t>VÄRMLANDS LÄN</t>
        </is>
      </c>
      <c r="E2482" t="inlineStr">
        <is>
          <t>SUNNE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50351-2019</t>
        </is>
      </c>
      <c r="B2483" s="1" t="n">
        <v>43735</v>
      </c>
      <c r="C2483" s="1" t="n">
        <v>45353</v>
      </c>
      <c r="D2483" t="inlineStr">
        <is>
          <t>VÄRMLANDS LÄN</t>
        </is>
      </c>
      <c r="E2483" t="inlineStr">
        <is>
          <t>STORFORS</t>
        </is>
      </c>
      <c r="F2483" t="inlineStr">
        <is>
          <t>Bergvik skog väst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50428-2019</t>
        </is>
      </c>
      <c r="B2484" s="1" t="n">
        <v>43735</v>
      </c>
      <c r="C2484" s="1" t="n">
        <v>45353</v>
      </c>
      <c r="D2484" t="inlineStr">
        <is>
          <t>VÄRMLANDS LÄN</t>
        </is>
      </c>
      <c r="E2484" t="inlineStr">
        <is>
          <t>TORSBY</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50540-2019</t>
        </is>
      </c>
      <c r="B2485" s="1" t="n">
        <v>43735</v>
      </c>
      <c r="C2485" s="1" t="n">
        <v>45353</v>
      </c>
      <c r="D2485" t="inlineStr">
        <is>
          <t>VÄRMLANDS LÄN</t>
        </is>
      </c>
      <c r="E2485" t="inlineStr">
        <is>
          <t>ARVIKA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52319-2019</t>
        </is>
      </c>
      <c r="B2486" s="1" t="n">
        <v>43735</v>
      </c>
      <c r="C2486" s="1" t="n">
        <v>45353</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52326-2019</t>
        </is>
      </c>
      <c r="B2487" s="1" t="n">
        <v>43735</v>
      </c>
      <c r="C2487" s="1" t="n">
        <v>45353</v>
      </c>
      <c r="D2487" t="inlineStr">
        <is>
          <t>VÄRMLANDS LÄN</t>
        </is>
      </c>
      <c r="E2487" t="inlineStr">
        <is>
          <t>TORSBY</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52317-2019</t>
        </is>
      </c>
      <c r="B2488" s="1" t="n">
        <v>43735</v>
      </c>
      <c r="C2488" s="1" t="n">
        <v>45353</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50309-2019</t>
        </is>
      </c>
      <c r="B2489" s="1" t="n">
        <v>43735</v>
      </c>
      <c r="C2489" s="1" t="n">
        <v>45353</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50892-2019</t>
        </is>
      </c>
      <c r="B2490" s="1" t="n">
        <v>43738</v>
      </c>
      <c r="C2490" s="1" t="n">
        <v>45353</v>
      </c>
      <c r="D2490" t="inlineStr">
        <is>
          <t>VÄRMLANDS LÄN</t>
        </is>
      </c>
      <c r="E2490" t="inlineStr">
        <is>
          <t>HAGFORS</t>
        </is>
      </c>
      <c r="F2490" t="inlineStr">
        <is>
          <t>Bergvik skog väst AB</t>
        </is>
      </c>
      <c r="G2490" t="n">
        <v>26.4</v>
      </c>
      <c r="H2490" t="n">
        <v>0</v>
      </c>
      <c r="I2490" t="n">
        <v>0</v>
      </c>
      <c r="J2490" t="n">
        <v>0</v>
      </c>
      <c r="K2490" t="n">
        <v>0</v>
      </c>
      <c r="L2490" t="n">
        <v>0</v>
      </c>
      <c r="M2490" t="n">
        <v>0</v>
      </c>
      <c r="N2490" t="n">
        <v>0</v>
      </c>
      <c r="O2490" t="n">
        <v>0</v>
      </c>
      <c r="P2490" t="n">
        <v>0</v>
      </c>
      <c r="Q2490" t="n">
        <v>0</v>
      </c>
      <c r="R2490" s="2" t="inlineStr"/>
    </row>
    <row r="2491" ht="15" customHeight="1">
      <c r="A2491" t="inlineStr">
        <is>
          <t>A 50766-2019</t>
        </is>
      </c>
      <c r="B2491" s="1" t="n">
        <v>43738</v>
      </c>
      <c r="C2491" s="1" t="n">
        <v>45353</v>
      </c>
      <c r="D2491" t="inlineStr">
        <is>
          <t>VÄRMLANDS LÄN</t>
        </is>
      </c>
      <c r="E2491" t="inlineStr">
        <is>
          <t>SÄFFLE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50933-2019</t>
        </is>
      </c>
      <c r="B2492" s="1" t="n">
        <v>43738</v>
      </c>
      <c r="C2492" s="1" t="n">
        <v>45353</v>
      </c>
      <c r="D2492" t="inlineStr">
        <is>
          <t>VÄRMLANDS LÄN</t>
        </is>
      </c>
      <c r="E2492" t="inlineStr">
        <is>
          <t>FILIPSTAD</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50905-2019</t>
        </is>
      </c>
      <c r="B2493" s="1" t="n">
        <v>43738</v>
      </c>
      <c r="C2493" s="1" t="n">
        <v>45353</v>
      </c>
      <c r="D2493" t="inlineStr">
        <is>
          <t>VÄRMLANDS LÄN</t>
        </is>
      </c>
      <c r="E2493" t="inlineStr">
        <is>
          <t>SUNNE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50939-2019</t>
        </is>
      </c>
      <c r="B2494" s="1" t="n">
        <v>43738</v>
      </c>
      <c r="C2494" s="1" t="n">
        <v>45353</v>
      </c>
      <c r="D2494" t="inlineStr">
        <is>
          <t>VÄRMLANDS LÄN</t>
        </is>
      </c>
      <c r="E2494" t="inlineStr">
        <is>
          <t>FILIPSTAD</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52388-2019</t>
        </is>
      </c>
      <c r="B2495" s="1" t="n">
        <v>43738</v>
      </c>
      <c r="C2495" s="1" t="n">
        <v>45353</v>
      </c>
      <c r="D2495" t="inlineStr">
        <is>
          <t>VÄRMLANDS LÄN</t>
        </is>
      </c>
      <c r="E2495" t="inlineStr">
        <is>
          <t>SÄFFLE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50924-2019</t>
        </is>
      </c>
      <c r="B2496" s="1" t="n">
        <v>43738</v>
      </c>
      <c r="C2496" s="1" t="n">
        <v>45353</v>
      </c>
      <c r="D2496" t="inlineStr">
        <is>
          <t>VÄRMLANDS LÄN</t>
        </is>
      </c>
      <c r="E2496" t="inlineStr">
        <is>
          <t>HAGFORS</t>
        </is>
      </c>
      <c r="F2496" t="inlineStr">
        <is>
          <t>Bergvik skog väst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50953-2019</t>
        </is>
      </c>
      <c r="B2497" s="1" t="n">
        <v>43738</v>
      </c>
      <c r="C2497" s="1" t="n">
        <v>45353</v>
      </c>
      <c r="D2497" t="inlineStr">
        <is>
          <t>VÄRMLANDS LÄN</t>
        </is>
      </c>
      <c r="E2497" t="inlineStr">
        <is>
          <t>ARVIKA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50840-2019</t>
        </is>
      </c>
      <c r="B2498" s="1" t="n">
        <v>43738</v>
      </c>
      <c r="C2498" s="1" t="n">
        <v>45353</v>
      </c>
      <c r="D2498" t="inlineStr">
        <is>
          <t>VÄRMLANDS LÄN</t>
        </is>
      </c>
      <c r="E2498" t="inlineStr">
        <is>
          <t>FILIPSTAD</t>
        </is>
      </c>
      <c r="F2498" t="inlineStr">
        <is>
          <t>Bergvik skog väst AB</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51260-2019</t>
        </is>
      </c>
      <c r="B2499" s="1" t="n">
        <v>43739</v>
      </c>
      <c r="C2499" s="1" t="n">
        <v>45353</v>
      </c>
      <c r="D2499" t="inlineStr">
        <is>
          <t>VÄRMLANDS LÄN</t>
        </is>
      </c>
      <c r="E2499" t="inlineStr">
        <is>
          <t>FILIPSTAD</t>
        </is>
      </c>
      <c r="F2499" t="inlineStr">
        <is>
          <t>Bergvik skog väst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51254-2019</t>
        </is>
      </c>
      <c r="B2500" s="1" t="n">
        <v>43739</v>
      </c>
      <c r="C2500" s="1" t="n">
        <v>45353</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51301-2019</t>
        </is>
      </c>
      <c r="B2501" s="1" t="n">
        <v>43739</v>
      </c>
      <c r="C2501" s="1" t="n">
        <v>45353</v>
      </c>
      <c r="D2501" t="inlineStr">
        <is>
          <t>VÄRMLANDS LÄN</t>
        </is>
      </c>
      <c r="E2501" t="inlineStr">
        <is>
          <t>ARVIKA</t>
        </is>
      </c>
      <c r="F2501" t="inlineStr">
        <is>
          <t>Kommuner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51082-2019</t>
        </is>
      </c>
      <c r="B2502" s="1" t="n">
        <v>43739</v>
      </c>
      <c r="C2502" s="1" t="n">
        <v>45353</v>
      </c>
      <c r="D2502" t="inlineStr">
        <is>
          <t>VÄRMLANDS LÄN</t>
        </is>
      </c>
      <c r="E2502" t="inlineStr">
        <is>
          <t>EDA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51056-2019</t>
        </is>
      </c>
      <c r="B2503" s="1" t="n">
        <v>43739</v>
      </c>
      <c r="C2503" s="1" t="n">
        <v>45353</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51404-2019</t>
        </is>
      </c>
      <c r="B2504" s="1" t="n">
        <v>43740</v>
      </c>
      <c r="C2504" s="1" t="n">
        <v>45353</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51373-2019</t>
        </is>
      </c>
      <c r="B2505" s="1" t="n">
        <v>43740</v>
      </c>
      <c r="C2505" s="1" t="n">
        <v>45353</v>
      </c>
      <c r="D2505" t="inlineStr">
        <is>
          <t>VÄRMLANDS LÄN</t>
        </is>
      </c>
      <c r="E2505" t="inlineStr">
        <is>
          <t>SUNNE</t>
        </is>
      </c>
      <c r="G2505" t="n">
        <v>33.1</v>
      </c>
      <c r="H2505" t="n">
        <v>0</v>
      </c>
      <c r="I2505" t="n">
        <v>0</v>
      </c>
      <c r="J2505" t="n">
        <v>0</v>
      </c>
      <c r="K2505" t="n">
        <v>0</v>
      </c>
      <c r="L2505" t="n">
        <v>0</v>
      </c>
      <c r="M2505" t="n">
        <v>0</v>
      </c>
      <c r="N2505" t="n">
        <v>0</v>
      </c>
      <c r="O2505" t="n">
        <v>0</v>
      </c>
      <c r="P2505" t="n">
        <v>0</v>
      </c>
      <c r="Q2505" t="n">
        <v>0</v>
      </c>
      <c r="R2505" s="2" t="inlineStr"/>
    </row>
    <row r="2506" ht="15" customHeight="1">
      <c r="A2506" t="inlineStr">
        <is>
          <t>A 51613-2019</t>
        </is>
      </c>
      <c r="B2506" s="1" t="n">
        <v>43740</v>
      </c>
      <c r="C2506" s="1" t="n">
        <v>45353</v>
      </c>
      <c r="D2506" t="inlineStr">
        <is>
          <t>VÄRMLANDS LÄN</t>
        </is>
      </c>
      <c r="E2506" t="inlineStr">
        <is>
          <t>ÅRJÄNG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51609-2019</t>
        </is>
      </c>
      <c r="B2507" s="1" t="n">
        <v>43740</v>
      </c>
      <c r="C2507" s="1" t="n">
        <v>45353</v>
      </c>
      <c r="D2507" t="inlineStr">
        <is>
          <t>VÄRMLANDS LÄN</t>
        </is>
      </c>
      <c r="E2507" t="inlineStr">
        <is>
          <t>ÅRJÄNG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53370-2019</t>
        </is>
      </c>
      <c r="B2508" s="1" t="n">
        <v>43740</v>
      </c>
      <c r="C2508" s="1" t="n">
        <v>45353</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52853-2019</t>
        </is>
      </c>
      <c r="B2509" s="1" t="n">
        <v>43740</v>
      </c>
      <c r="C2509" s="1" t="n">
        <v>45353</v>
      </c>
      <c r="D2509" t="inlineStr">
        <is>
          <t>VÄRMLANDS LÄN</t>
        </is>
      </c>
      <c r="E2509" t="inlineStr">
        <is>
          <t>HAGFORS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51633-2019</t>
        </is>
      </c>
      <c r="B2510" s="1" t="n">
        <v>43740</v>
      </c>
      <c r="C2510" s="1" t="n">
        <v>45353</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51741-2019</t>
        </is>
      </c>
      <c r="B2511" s="1" t="n">
        <v>43741</v>
      </c>
      <c r="C2511" s="1" t="n">
        <v>45353</v>
      </c>
      <c r="D2511" t="inlineStr">
        <is>
          <t>VÄRMLANDS LÄN</t>
        </is>
      </c>
      <c r="E2511" t="inlineStr">
        <is>
          <t>SUNNE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51778-2019</t>
        </is>
      </c>
      <c r="B2512" s="1" t="n">
        <v>43741</v>
      </c>
      <c r="C2512" s="1" t="n">
        <v>45353</v>
      </c>
      <c r="D2512" t="inlineStr">
        <is>
          <t>VÄRMLANDS LÄN</t>
        </is>
      </c>
      <c r="E2512" t="inlineStr">
        <is>
          <t>SUNNE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51866-2019</t>
        </is>
      </c>
      <c r="B2513" s="1" t="n">
        <v>43741</v>
      </c>
      <c r="C2513" s="1" t="n">
        <v>45353</v>
      </c>
      <c r="D2513" t="inlineStr">
        <is>
          <t>VÄRMLANDS LÄN</t>
        </is>
      </c>
      <c r="E2513" t="inlineStr">
        <is>
          <t>SÄFFLE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53618-2019</t>
        </is>
      </c>
      <c r="B2514" s="1" t="n">
        <v>43741</v>
      </c>
      <c r="C2514" s="1" t="n">
        <v>45353</v>
      </c>
      <c r="D2514" t="inlineStr">
        <is>
          <t>VÄRMLANDS LÄN</t>
        </is>
      </c>
      <c r="E2514" t="inlineStr">
        <is>
          <t>SUNNE</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53599-2019</t>
        </is>
      </c>
      <c r="B2515" s="1" t="n">
        <v>43741</v>
      </c>
      <c r="C2515" s="1" t="n">
        <v>45353</v>
      </c>
      <c r="D2515" t="inlineStr">
        <is>
          <t>VÄRMLANDS LÄN</t>
        </is>
      </c>
      <c r="E2515" t="inlineStr">
        <is>
          <t>ÅRJÄNG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51800-2019</t>
        </is>
      </c>
      <c r="B2516" s="1" t="n">
        <v>43741</v>
      </c>
      <c r="C2516" s="1" t="n">
        <v>45353</v>
      </c>
      <c r="D2516" t="inlineStr">
        <is>
          <t>VÄRMLANDS LÄN</t>
        </is>
      </c>
      <c r="E2516" t="inlineStr">
        <is>
          <t>SÄFFLE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51748-2019</t>
        </is>
      </c>
      <c r="B2517" s="1" t="n">
        <v>43741</v>
      </c>
      <c r="C2517" s="1" t="n">
        <v>45353</v>
      </c>
      <c r="D2517" t="inlineStr">
        <is>
          <t>VÄRMLANDS LÄN</t>
        </is>
      </c>
      <c r="E2517" t="inlineStr">
        <is>
          <t>SUNNE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51761-2019</t>
        </is>
      </c>
      <c r="B2518" s="1" t="n">
        <v>43741</v>
      </c>
      <c r="C2518" s="1" t="n">
        <v>45353</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53843-2019</t>
        </is>
      </c>
      <c r="B2519" s="1" t="n">
        <v>43742</v>
      </c>
      <c r="C2519" s="1" t="n">
        <v>45353</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52186-2019</t>
        </is>
      </c>
      <c r="B2520" s="1" t="n">
        <v>43742</v>
      </c>
      <c r="C2520" s="1" t="n">
        <v>45353</v>
      </c>
      <c r="D2520" t="inlineStr">
        <is>
          <t>VÄRMLANDS LÄN</t>
        </is>
      </c>
      <c r="E2520" t="inlineStr">
        <is>
          <t>TORSBY</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52126-2019</t>
        </is>
      </c>
      <c r="B2521" s="1" t="n">
        <v>43742</v>
      </c>
      <c r="C2521" s="1" t="n">
        <v>45353</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53932-2019</t>
        </is>
      </c>
      <c r="B2522" s="1" t="n">
        <v>43742</v>
      </c>
      <c r="C2522" s="1" t="n">
        <v>45353</v>
      </c>
      <c r="D2522" t="inlineStr">
        <is>
          <t>VÄRMLANDS LÄN</t>
        </is>
      </c>
      <c r="E2522" t="inlineStr">
        <is>
          <t>FILIPSTAD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54015-2019</t>
        </is>
      </c>
      <c r="B2523" s="1" t="n">
        <v>43742</v>
      </c>
      <c r="C2523" s="1" t="n">
        <v>45353</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53829-2019</t>
        </is>
      </c>
      <c r="B2524" s="1" t="n">
        <v>43742</v>
      </c>
      <c r="C2524" s="1" t="n">
        <v>45353</v>
      </c>
      <c r="D2524" t="inlineStr">
        <is>
          <t>VÄRMLANDS LÄN</t>
        </is>
      </c>
      <c r="E2524" t="inlineStr">
        <is>
          <t>SÄFFLE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52283-2019</t>
        </is>
      </c>
      <c r="B2525" s="1" t="n">
        <v>43744</v>
      </c>
      <c r="C2525" s="1" t="n">
        <v>45353</v>
      </c>
      <c r="D2525" t="inlineStr">
        <is>
          <t>VÄRMLANDS LÄN</t>
        </is>
      </c>
      <c r="E2525" t="inlineStr">
        <is>
          <t>SUNNE</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52285-2019</t>
        </is>
      </c>
      <c r="B2526" s="1" t="n">
        <v>43744</v>
      </c>
      <c r="C2526" s="1" t="n">
        <v>45353</v>
      </c>
      <c r="D2526" t="inlineStr">
        <is>
          <t>VÄRMLANDS LÄN</t>
        </is>
      </c>
      <c r="E2526" t="inlineStr">
        <is>
          <t>SUNNE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52311-2019</t>
        </is>
      </c>
      <c r="B2527" s="1" t="n">
        <v>43745</v>
      </c>
      <c r="C2527" s="1" t="n">
        <v>45353</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52395-2019</t>
        </is>
      </c>
      <c r="B2528" s="1" t="n">
        <v>43745</v>
      </c>
      <c r="C2528" s="1" t="n">
        <v>45353</v>
      </c>
      <c r="D2528" t="inlineStr">
        <is>
          <t>VÄRMLANDS LÄN</t>
        </is>
      </c>
      <c r="E2528" t="inlineStr">
        <is>
          <t>SUNNE</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52490-2019</t>
        </is>
      </c>
      <c r="B2529" s="1" t="n">
        <v>43745</v>
      </c>
      <c r="C2529" s="1" t="n">
        <v>45353</v>
      </c>
      <c r="D2529" t="inlineStr">
        <is>
          <t>VÄRMLANDS LÄN</t>
        </is>
      </c>
      <c r="E2529" t="inlineStr">
        <is>
          <t>MUNKFORS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52392-2019</t>
        </is>
      </c>
      <c r="B2530" s="1" t="n">
        <v>43745</v>
      </c>
      <c r="C2530" s="1" t="n">
        <v>45353</v>
      </c>
      <c r="D2530" t="inlineStr">
        <is>
          <t>VÄRMLANDS LÄN</t>
        </is>
      </c>
      <c r="E2530" t="inlineStr">
        <is>
          <t>KARLSTAD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52559-2019</t>
        </is>
      </c>
      <c r="B2531" s="1" t="n">
        <v>43745</v>
      </c>
      <c r="C2531" s="1" t="n">
        <v>45353</v>
      </c>
      <c r="D2531" t="inlineStr">
        <is>
          <t>VÄRMLANDS LÄN</t>
        </is>
      </c>
      <c r="E2531" t="inlineStr">
        <is>
          <t>SUNNE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52674-2019</t>
        </is>
      </c>
      <c r="B2532" s="1" t="n">
        <v>43746</v>
      </c>
      <c r="C2532" s="1" t="n">
        <v>45353</v>
      </c>
      <c r="D2532" t="inlineStr">
        <is>
          <t>VÄRMLANDS LÄN</t>
        </is>
      </c>
      <c r="E2532" t="inlineStr">
        <is>
          <t>TORSBY</t>
        </is>
      </c>
      <c r="F2532" t="inlineStr">
        <is>
          <t>Bergvik skog väst AB</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52885-2019</t>
        </is>
      </c>
      <c r="B2533" s="1" t="n">
        <v>43746</v>
      </c>
      <c r="C2533" s="1" t="n">
        <v>45353</v>
      </c>
      <c r="D2533" t="inlineStr">
        <is>
          <t>VÄRMLANDS LÄN</t>
        </is>
      </c>
      <c r="E2533" t="inlineStr">
        <is>
          <t>TORSBY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54074-2019</t>
        </is>
      </c>
      <c r="B2534" s="1" t="n">
        <v>43746</v>
      </c>
      <c r="C2534" s="1" t="n">
        <v>45353</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54347-2019</t>
        </is>
      </c>
      <c r="B2535" s="1" t="n">
        <v>43746</v>
      </c>
      <c r="C2535" s="1" t="n">
        <v>45353</v>
      </c>
      <c r="D2535" t="inlineStr">
        <is>
          <t>VÄRMLANDS LÄN</t>
        </is>
      </c>
      <c r="E2535" t="inlineStr">
        <is>
          <t>SÄFFLE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54691-2019</t>
        </is>
      </c>
      <c r="B2536" s="1" t="n">
        <v>43746</v>
      </c>
      <c r="C2536" s="1" t="n">
        <v>45353</v>
      </c>
      <c r="D2536" t="inlineStr">
        <is>
          <t>VÄRMLANDS LÄN</t>
        </is>
      </c>
      <c r="E2536" t="inlineStr">
        <is>
          <t>SUNNE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53041-2019</t>
        </is>
      </c>
      <c r="B2537" s="1" t="n">
        <v>43747</v>
      </c>
      <c r="C2537" s="1" t="n">
        <v>45353</v>
      </c>
      <c r="D2537" t="inlineStr">
        <is>
          <t>VÄRMLANDS LÄN</t>
        </is>
      </c>
      <c r="E2537" t="inlineStr">
        <is>
          <t>KARLSTAD</t>
        </is>
      </c>
      <c r="F2537" t="inlineStr">
        <is>
          <t>Kyrkan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54442-2019</t>
        </is>
      </c>
      <c r="B2538" s="1" t="n">
        <v>43747</v>
      </c>
      <c r="C2538" s="1" t="n">
        <v>45353</v>
      </c>
      <c r="D2538" t="inlineStr">
        <is>
          <t>VÄRMLANDS LÄN</t>
        </is>
      </c>
      <c r="E2538" t="inlineStr">
        <is>
          <t>KARLSTAD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53147-2019</t>
        </is>
      </c>
      <c r="B2539" s="1" t="n">
        <v>43747</v>
      </c>
      <c r="C2539" s="1" t="n">
        <v>45353</v>
      </c>
      <c r="D2539" t="inlineStr">
        <is>
          <t>VÄRMLANDS LÄN</t>
        </is>
      </c>
      <c r="E2539" t="inlineStr">
        <is>
          <t>EDA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54438-2019</t>
        </is>
      </c>
      <c r="B2540" s="1" t="n">
        <v>43747</v>
      </c>
      <c r="C2540" s="1" t="n">
        <v>45353</v>
      </c>
      <c r="D2540" t="inlineStr">
        <is>
          <t>VÄRMLANDS LÄN</t>
        </is>
      </c>
      <c r="E2540" t="inlineStr">
        <is>
          <t>KARLSTAD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53236-2019</t>
        </is>
      </c>
      <c r="B2541" s="1" t="n">
        <v>43748</v>
      </c>
      <c r="C2541" s="1" t="n">
        <v>45353</v>
      </c>
      <c r="D2541" t="inlineStr">
        <is>
          <t>VÄRMLANDS LÄN</t>
        </is>
      </c>
      <c r="E2541" t="inlineStr">
        <is>
          <t>KRISTINEHAMN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53271-2019</t>
        </is>
      </c>
      <c r="B2542" s="1" t="n">
        <v>43748</v>
      </c>
      <c r="C2542" s="1" t="n">
        <v>45353</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53451-2019</t>
        </is>
      </c>
      <c r="B2543" s="1" t="n">
        <v>43748</v>
      </c>
      <c r="C2543" s="1" t="n">
        <v>45353</v>
      </c>
      <c r="D2543" t="inlineStr">
        <is>
          <t>VÄRMLANDS LÄN</t>
        </is>
      </c>
      <c r="E2543" t="inlineStr">
        <is>
          <t>KARLSTAD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54616-2019</t>
        </is>
      </c>
      <c r="B2544" s="1" t="n">
        <v>43748</v>
      </c>
      <c r="C2544" s="1" t="n">
        <v>45353</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54764-2019</t>
        </is>
      </c>
      <c r="B2545" s="1" t="n">
        <v>43748</v>
      </c>
      <c r="C2545" s="1" t="n">
        <v>45353</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54599-2019</t>
        </is>
      </c>
      <c r="B2546" s="1" t="n">
        <v>43748</v>
      </c>
      <c r="C2546" s="1" t="n">
        <v>45353</v>
      </c>
      <c r="D2546" t="inlineStr">
        <is>
          <t>VÄRMLANDS LÄN</t>
        </is>
      </c>
      <c r="E2546" t="inlineStr">
        <is>
          <t>ÅRJÄNG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54709-2019</t>
        </is>
      </c>
      <c r="B2547" s="1" t="n">
        <v>43748</v>
      </c>
      <c r="C2547" s="1" t="n">
        <v>45353</v>
      </c>
      <c r="D2547" t="inlineStr">
        <is>
          <t>VÄRMLANDS LÄN</t>
        </is>
      </c>
      <c r="E2547" t="inlineStr">
        <is>
          <t>ARVIKA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53635-2019</t>
        </is>
      </c>
      <c r="B2548" s="1" t="n">
        <v>43749</v>
      </c>
      <c r="C2548" s="1" t="n">
        <v>45353</v>
      </c>
      <c r="D2548" t="inlineStr">
        <is>
          <t>VÄRMLANDS LÄN</t>
        </is>
      </c>
      <c r="E2548" t="inlineStr">
        <is>
          <t>TORSBY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53665-2019</t>
        </is>
      </c>
      <c r="B2549" s="1" t="n">
        <v>43749</v>
      </c>
      <c r="C2549" s="1" t="n">
        <v>45353</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53491-2019</t>
        </is>
      </c>
      <c r="B2550" s="1" t="n">
        <v>43749</v>
      </c>
      <c r="C2550" s="1" t="n">
        <v>45353</v>
      </c>
      <c r="D2550" t="inlineStr">
        <is>
          <t>VÄRMLANDS LÄN</t>
        </is>
      </c>
      <c r="E2550" t="inlineStr">
        <is>
          <t>ARVIKA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53588-2019</t>
        </is>
      </c>
      <c r="B2551" s="1" t="n">
        <v>43749</v>
      </c>
      <c r="C2551" s="1" t="n">
        <v>45353</v>
      </c>
      <c r="D2551" t="inlineStr">
        <is>
          <t>VÄRMLANDS LÄN</t>
        </is>
      </c>
      <c r="E2551" t="inlineStr">
        <is>
          <t>SUNNE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54890-2019</t>
        </is>
      </c>
      <c r="B2552" s="1" t="n">
        <v>43749</v>
      </c>
      <c r="C2552" s="1" t="n">
        <v>45353</v>
      </c>
      <c r="D2552" t="inlineStr">
        <is>
          <t>VÄRMLANDS LÄN</t>
        </is>
      </c>
      <c r="E2552" t="inlineStr">
        <is>
          <t>KARLSTAD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53746-2019</t>
        </is>
      </c>
      <c r="B2553" s="1" t="n">
        <v>43749</v>
      </c>
      <c r="C2553" s="1" t="n">
        <v>45353</v>
      </c>
      <c r="D2553" t="inlineStr">
        <is>
          <t>VÄRMLANDS LÄN</t>
        </is>
      </c>
      <c r="E2553" t="inlineStr">
        <is>
          <t>TORSBY</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54861-2019</t>
        </is>
      </c>
      <c r="B2554" s="1" t="n">
        <v>43749</v>
      </c>
      <c r="C2554" s="1" t="n">
        <v>45353</v>
      </c>
      <c r="D2554" t="inlineStr">
        <is>
          <t>VÄRMLANDS LÄN</t>
        </is>
      </c>
      <c r="E2554" t="inlineStr">
        <is>
          <t>SÄFFLE</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53744-2019</t>
        </is>
      </c>
      <c r="B2555" s="1" t="n">
        <v>43749</v>
      </c>
      <c r="C2555" s="1" t="n">
        <v>45353</v>
      </c>
      <c r="D2555" t="inlineStr">
        <is>
          <t>VÄRMLANDS LÄN</t>
        </is>
      </c>
      <c r="E2555" t="inlineStr">
        <is>
          <t>TORSBY</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53651-2019</t>
        </is>
      </c>
      <c r="B2556" s="1" t="n">
        <v>43749</v>
      </c>
      <c r="C2556" s="1" t="n">
        <v>45353</v>
      </c>
      <c r="D2556" t="inlineStr">
        <is>
          <t>VÄRMLANDS LÄN</t>
        </is>
      </c>
      <c r="E2556" t="inlineStr">
        <is>
          <t>ÅRJÄNG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53830-2019</t>
        </is>
      </c>
      <c r="B2557" s="1" t="n">
        <v>43752</v>
      </c>
      <c r="C2557" s="1" t="n">
        <v>45353</v>
      </c>
      <c r="D2557" t="inlineStr">
        <is>
          <t>VÄRMLANDS LÄN</t>
        </is>
      </c>
      <c r="E2557" t="inlineStr">
        <is>
          <t>HAGFORS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53855-2019</t>
        </is>
      </c>
      <c r="B2558" s="1" t="n">
        <v>43752</v>
      </c>
      <c r="C2558" s="1" t="n">
        <v>45353</v>
      </c>
      <c r="D2558" t="inlineStr">
        <is>
          <t>VÄRMLANDS LÄN</t>
        </is>
      </c>
      <c r="E2558" t="inlineStr">
        <is>
          <t>HAGFORS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54972-2019</t>
        </is>
      </c>
      <c r="B2559" s="1" t="n">
        <v>43752</v>
      </c>
      <c r="C2559" s="1" t="n">
        <v>45353</v>
      </c>
      <c r="D2559" t="inlineStr">
        <is>
          <t>VÄRMLANDS LÄN</t>
        </is>
      </c>
      <c r="E2559" t="inlineStr">
        <is>
          <t>HAGFORS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54950-2019</t>
        </is>
      </c>
      <c r="B2560" s="1" t="n">
        <v>43752</v>
      </c>
      <c r="C2560" s="1" t="n">
        <v>45353</v>
      </c>
      <c r="D2560" t="inlineStr">
        <is>
          <t>VÄRMLANDS LÄN</t>
        </is>
      </c>
      <c r="E2560" t="inlineStr">
        <is>
          <t>HAGFORS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54200-2019</t>
        </is>
      </c>
      <c r="B2561" s="1" t="n">
        <v>43753</v>
      </c>
      <c r="C2561" s="1" t="n">
        <v>45353</v>
      </c>
      <c r="D2561" t="inlineStr">
        <is>
          <t>VÄRMLANDS LÄN</t>
        </is>
      </c>
      <c r="E2561" t="inlineStr">
        <is>
          <t>HAGFORS</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54214-2019</t>
        </is>
      </c>
      <c r="B2562" s="1" t="n">
        <v>43753</v>
      </c>
      <c r="C2562" s="1" t="n">
        <v>45353</v>
      </c>
      <c r="D2562" t="inlineStr">
        <is>
          <t>VÄRMLANDS LÄN</t>
        </is>
      </c>
      <c r="E2562" t="inlineStr">
        <is>
          <t>HAGFORS</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54204-2019</t>
        </is>
      </c>
      <c r="B2563" s="1" t="n">
        <v>43753</v>
      </c>
      <c r="C2563" s="1" t="n">
        <v>45353</v>
      </c>
      <c r="D2563" t="inlineStr">
        <is>
          <t>VÄRMLANDS LÄN</t>
        </is>
      </c>
      <c r="E2563" t="inlineStr">
        <is>
          <t>HAGFORS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54293-2019</t>
        </is>
      </c>
      <c r="B2564" s="1" t="n">
        <v>43753</v>
      </c>
      <c r="C2564" s="1" t="n">
        <v>45353</v>
      </c>
      <c r="D2564" t="inlineStr">
        <is>
          <t>VÄRMLANDS LÄN</t>
        </is>
      </c>
      <c r="E2564" t="inlineStr">
        <is>
          <t>SUNNE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54297-2019</t>
        </is>
      </c>
      <c r="B2565" s="1" t="n">
        <v>43753</v>
      </c>
      <c r="C2565" s="1" t="n">
        <v>45353</v>
      </c>
      <c r="D2565" t="inlineStr">
        <is>
          <t>VÄRMLANDS LÄN</t>
        </is>
      </c>
      <c r="E2565" t="inlineStr">
        <is>
          <t>SÄFFLE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54437-2019</t>
        </is>
      </c>
      <c r="B2566" s="1" t="n">
        <v>43754</v>
      </c>
      <c r="C2566" s="1" t="n">
        <v>45353</v>
      </c>
      <c r="D2566" t="inlineStr">
        <is>
          <t>VÄRMLANDS LÄN</t>
        </is>
      </c>
      <c r="E2566" t="inlineStr">
        <is>
          <t>TORSBY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54640-2019</t>
        </is>
      </c>
      <c r="B2567" s="1" t="n">
        <v>43754</v>
      </c>
      <c r="C2567" s="1" t="n">
        <v>45353</v>
      </c>
      <c r="D2567" t="inlineStr">
        <is>
          <t>VÄRMLANDS LÄN</t>
        </is>
      </c>
      <c r="E2567" t="inlineStr">
        <is>
          <t>FORSHAGA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54665-2019</t>
        </is>
      </c>
      <c r="B2568" s="1" t="n">
        <v>43754</v>
      </c>
      <c r="C2568" s="1" t="n">
        <v>45353</v>
      </c>
      <c r="D2568" t="inlineStr">
        <is>
          <t>VÄRMLANDS LÄN</t>
        </is>
      </c>
      <c r="E2568" t="inlineStr">
        <is>
          <t>SUNNE</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55371-2019</t>
        </is>
      </c>
      <c r="B2569" s="1" t="n">
        <v>43754</v>
      </c>
      <c r="C2569" s="1" t="n">
        <v>45353</v>
      </c>
      <c r="D2569" t="inlineStr">
        <is>
          <t>VÄRMLANDS LÄN</t>
        </is>
      </c>
      <c r="E2569" t="inlineStr">
        <is>
          <t>KARLSTAD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55377-2019</t>
        </is>
      </c>
      <c r="B2570" s="1" t="n">
        <v>43754</v>
      </c>
      <c r="C2570" s="1" t="n">
        <v>45353</v>
      </c>
      <c r="D2570" t="inlineStr">
        <is>
          <t>VÄRMLANDS LÄN</t>
        </is>
      </c>
      <c r="E2570" t="inlineStr">
        <is>
          <t>SÄFFLE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54853-2019</t>
        </is>
      </c>
      <c r="B2571" s="1" t="n">
        <v>43755</v>
      </c>
      <c r="C2571" s="1" t="n">
        <v>45353</v>
      </c>
      <c r="D2571" t="inlineStr">
        <is>
          <t>VÄRMLANDS LÄN</t>
        </is>
      </c>
      <c r="E2571" t="inlineStr">
        <is>
          <t>KRISTINEHAMN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54839-2019</t>
        </is>
      </c>
      <c r="B2572" s="1" t="n">
        <v>43755</v>
      </c>
      <c r="C2572" s="1" t="n">
        <v>45353</v>
      </c>
      <c r="D2572" t="inlineStr">
        <is>
          <t>VÄRMLANDS LÄN</t>
        </is>
      </c>
      <c r="E2572" t="inlineStr">
        <is>
          <t>FILIPSTAD</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54904-2019</t>
        </is>
      </c>
      <c r="B2573" s="1" t="n">
        <v>43755</v>
      </c>
      <c r="C2573" s="1" t="n">
        <v>45353</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54913-2019</t>
        </is>
      </c>
      <c r="B2574" s="1" t="n">
        <v>43755</v>
      </c>
      <c r="C2574" s="1" t="n">
        <v>45353</v>
      </c>
      <c r="D2574" t="inlineStr">
        <is>
          <t>VÄRMLANDS LÄN</t>
        </is>
      </c>
      <c r="E2574" t="inlineStr">
        <is>
          <t>EDA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54722-2019</t>
        </is>
      </c>
      <c r="B2575" s="1" t="n">
        <v>43755</v>
      </c>
      <c r="C2575" s="1" t="n">
        <v>45353</v>
      </c>
      <c r="D2575" t="inlineStr">
        <is>
          <t>VÄRMLANDS LÄN</t>
        </is>
      </c>
      <c r="E2575" t="inlineStr">
        <is>
          <t>SUNNE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54778-2019</t>
        </is>
      </c>
      <c r="B2576" s="1" t="n">
        <v>43755</v>
      </c>
      <c r="C2576" s="1" t="n">
        <v>45353</v>
      </c>
      <c r="D2576" t="inlineStr">
        <is>
          <t>VÄRMLANDS LÄN</t>
        </is>
      </c>
      <c r="E2576" t="inlineStr">
        <is>
          <t>FILIPSTAD</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54915-2019</t>
        </is>
      </c>
      <c r="B2577" s="1" t="n">
        <v>43755</v>
      </c>
      <c r="C2577" s="1" t="n">
        <v>45353</v>
      </c>
      <c r="D2577" t="inlineStr">
        <is>
          <t>VÄRMLANDS LÄN</t>
        </is>
      </c>
      <c r="E2577" t="inlineStr">
        <is>
          <t>EDA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54918-2019</t>
        </is>
      </c>
      <c r="B2578" s="1" t="n">
        <v>43755</v>
      </c>
      <c r="C2578" s="1" t="n">
        <v>45353</v>
      </c>
      <c r="D2578" t="inlineStr">
        <is>
          <t>VÄRMLANDS LÄN</t>
        </is>
      </c>
      <c r="E2578" t="inlineStr">
        <is>
          <t>EDA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54706-2019</t>
        </is>
      </c>
      <c r="B2579" s="1" t="n">
        <v>43755</v>
      </c>
      <c r="C2579" s="1" t="n">
        <v>45353</v>
      </c>
      <c r="D2579" t="inlineStr">
        <is>
          <t>VÄRMLANDS LÄN</t>
        </is>
      </c>
      <c r="E2579" t="inlineStr">
        <is>
          <t>FILIPSTAD</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55296-2019</t>
        </is>
      </c>
      <c r="B2580" s="1" t="n">
        <v>43756</v>
      </c>
      <c r="C2580" s="1" t="n">
        <v>45353</v>
      </c>
      <c r="D2580" t="inlineStr">
        <is>
          <t>VÄRMLANDS LÄN</t>
        </is>
      </c>
      <c r="E2580" t="inlineStr">
        <is>
          <t>KIL</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55367-2019</t>
        </is>
      </c>
      <c r="B2581" s="1" t="n">
        <v>43756</v>
      </c>
      <c r="C2581" s="1" t="n">
        <v>45353</v>
      </c>
      <c r="D2581" t="inlineStr">
        <is>
          <t>VÄRMLANDS LÄN</t>
        </is>
      </c>
      <c r="E2581" t="inlineStr">
        <is>
          <t>KARLSTAD</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56256-2019</t>
        </is>
      </c>
      <c r="B2582" s="1" t="n">
        <v>43756</v>
      </c>
      <c r="C2582" s="1" t="n">
        <v>45353</v>
      </c>
      <c r="D2582" t="inlineStr">
        <is>
          <t>VÄRMLANDS LÄN</t>
        </is>
      </c>
      <c r="E2582" t="inlineStr">
        <is>
          <t>TORSBY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56263-2019</t>
        </is>
      </c>
      <c r="B2583" s="1" t="n">
        <v>43756</v>
      </c>
      <c r="C2583" s="1" t="n">
        <v>45353</v>
      </c>
      <c r="D2583" t="inlineStr">
        <is>
          <t>VÄRMLANDS LÄN</t>
        </is>
      </c>
      <c r="E2583" t="inlineStr">
        <is>
          <t>SUNNE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56268-2019</t>
        </is>
      </c>
      <c r="B2584" s="1" t="n">
        <v>43756</v>
      </c>
      <c r="C2584" s="1" t="n">
        <v>45353</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55988-2019</t>
        </is>
      </c>
      <c r="B2585" s="1" t="n">
        <v>43759</v>
      </c>
      <c r="C2585" s="1" t="n">
        <v>45353</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55561-2019</t>
        </is>
      </c>
      <c r="B2586" s="1" t="n">
        <v>43759</v>
      </c>
      <c r="C2586" s="1" t="n">
        <v>45353</v>
      </c>
      <c r="D2586" t="inlineStr">
        <is>
          <t>VÄRMLANDS LÄN</t>
        </is>
      </c>
      <c r="E2586" t="inlineStr">
        <is>
          <t>KARLSTAD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55810-2019</t>
        </is>
      </c>
      <c r="B2587" s="1" t="n">
        <v>43759</v>
      </c>
      <c r="C2587" s="1" t="n">
        <v>45353</v>
      </c>
      <c r="D2587" t="inlineStr">
        <is>
          <t>VÄRMLANDS LÄN</t>
        </is>
      </c>
      <c r="E2587" t="inlineStr">
        <is>
          <t>ARVIKA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56060-2019</t>
        </is>
      </c>
      <c r="B2588" s="1" t="n">
        <v>43759</v>
      </c>
      <c r="C2588" s="1" t="n">
        <v>45353</v>
      </c>
      <c r="D2588" t="inlineStr">
        <is>
          <t>VÄRMLANDS LÄN</t>
        </is>
      </c>
      <c r="E2588" t="inlineStr">
        <is>
          <t>ÅRJÄNG</t>
        </is>
      </c>
      <c r="F2588" t="inlineStr">
        <is>
          <t>Bergvik skog väst AB</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56704-2019</t>
        </is>
      </c>
      <c r="B2589" s="1" t="n">
        <v>43759</v>
      </c>
      <c r="C2589" s="1" t="n">
        <v>45353</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56863-2019</t>
        </is>
      </c>
      <c r="B2590" s="1" t="n">
        <v>43759</v>
      </c>
      <c r="C2590" s="1" t="n">
        <v>45353</v>
      </c>
      <c r="D2590" t="inlineStr">
        <is>
          <t>VÄRMLANDS LÄN</t>
        </is>
      </c>
      <c r="E2590" t="inlineStr">
        <is>
          <t>KARLSTAD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57029-2019</t>
        </is>
      </c>
      <c r="B2591" s="1" t="n">
        <v>43759</v>
      </c>
      <c r="C2591" s="1" t="n">
        <v>45353</v>
      </c>
      <c r="D2591" t="inlineStr">
        <is>
          <t>VÄRMLANDS LÄN</t>
        </is>
      </c>
      <c r="E2591" t="inlineStr">
        <is>
          <t>KRISTINEHAMN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57024-2019</t>
        </is>
      </c>
      <c r="B2592" s="1" t="n">
        <v>43759</v>
      </c>
      <c r="C2592" s="1" t="n">
        <v>45353</v>
      </c>
      <c r="D2592" t="inlineStr">
        <is>
          <t>VÄRMLANDS LÄN</t>
        </is>
      </c>
      <c r="E2592" t="inlineStr">
        <is>
          <t>KRISTINEHAMN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55846-2019</t>
        </is>
      </c>
      <c r="B2593" s="1" t="n">
        <v>43759</v>
      </c>
      <c r="C2593" s="1" t="n">
        <v>45353</v>
      </c>
      <c r="D2593" t="inlineStr">
        <is>
          <t>VÄRMLANDS LÄN</t>
        </is>
      </c>
      <c r="E2593" t="inlineStr">
        <is>
          <t>KARLSTAD</t>
        </is>
      </c>
      <c r="F2593" t="inlineStr">
        <is>
          <t>Bergvik skog väst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55608-2019</t>
        </is>
      </c>
      <c r="B2594" s="1" t="n">
        <v>43760</v>
      </c>
      <c r="C2594" s="1" t="n">
        <v>45353</v>
      </c>
      <c r="D2594" t="inlineStr">
        <is>
          <t>VÄRMLANDS LÄN</t>
        </is>
      </c>
      <c r="E2594" t="inlineStr">
        <is>
          <t>ARVIKA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55431-2019</t>
        </is>
      </c>
      <c r="B2595" s="1" t="n">
        <v>43760</v>
      </c>
      <c r="C2595" s="1" t="n">
        <v>45353</v>
      </c>
      <c r="D2595" t="inlineStr">
        <is>
          <t>VÄRMLANDS LÄN</t>
        </is>
      </c>
      <c r="E2595" t="inlineStr">
        <is>
          <t>SUNNE</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55574-2019</t>
        </is>
      </c>
      <c r="B2596" s="1" t="n">
        <v>43760</v>
      </c>
      <c r="C2596" s="1" t="n">
        <v>45353</v>
      </c>
      <c r="D2596" t="inlineStr">
        <is>
          <t>VÄRMLANDS LÄN</t>
        </is>
      </c>
      <c r="E2596" t="inlineStr">
        <is>
          <t>KARLSTAD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55575-2019</t>
        </is>
      </c>
      <c r="B2597" s="1" t="n">
        <v>43760</v>
      </c>
      <c r="C2597" s="1" t="n">
        <v>45353</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57452-2019</t>
        </is>
      </c>
      <c r="B2598" s="1" t="n">
        <v>43760</v>
      </c>
      <c r="C2598" s="1" t="n">
        <v>45353</v>
      </c>
      <c r="D2598" t="inlineStr">
        <is>
          <t>VÄRMLANDS LÄN</t>
        </is>
      </c>
      <c r="E2598" t="inlineStr">
        <is>
          <t>SUNNE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57456-2019</t>
        </is>
      </c>
      <c r="B2599" s="1" t="n">
        <v>43760</v>
      </c>
      <c r="C2599" s="1" t="n">
        <v>45353</v>
      </c>
      <c r="D2599" t="inlineStr">
        <is>
          <t>VÄRMLANDS LÄN</t>
        </is>
      </c>
      <c r="E2599" t="inlineStr">
        <is>
          <t>SUNNE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55838-2019</t>
        </is>
      </c>
      <c r="B2600" s="1" t="n">
        <v>43761</v>
      </c>
      <c r="C2600" s="1" t="n">
        <v>45353</v>
      </c>
      <c r="D2600" t="inlineStr">
        <is>
          <t>VÄRMLANDS LÄN</t>
        </is>
      </c>
      <c r="E2600" t="inlineStr">
        <is>
          <t>FORSHAGA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55919-2019</t>
        </is>
      </c>
      <c r="B2601" s="1" t="n">
        <v>43761</v>
      </c>
      <c r="C2601" s="1" t="n">
        <v>45353</v>
      </c>
      <c r="D2601" t="inlineStr">
        <is>
          <t>VÄRMLANDS LÄN</t>
        </is>
      </c>
      <c r="E2601" t="inlineStr">
        <is>
          <t>HAGFORS</t>
        </is>
      </c>
      <c r="F2601" t="inlineStr">
        <is>
          <t>Bergvik skog väst AB</t>
        </is>
      </c>
      <c r="G2601" t="n">
        <v>64.3</v>
      </c>
      <c r="H2601" t="n">
        <v>0</v>
      </c>
      <c r="I2601" t="n">
        <v>0</v>
      </c>
      <c r="J2601" t="n">
        <v>0</v>
      </c>
      <c r="K2601" t="n">
        <v>0</v>
      </c>
      <c r="L2601" t="n">
        <v>0</v>
      </c>
      <c r="M2601" t="n">
        <v>0</v>
      </c>
      <c r="N2601" t="n">
        <v>0</v>
      </c>
      <c r="O2601" t="n">
        <v>0</v>
      </c>
      <c r="P2601" t="n">
        <v>0</v>
      </c>
      <c r="Q2601" t="n">
        <v>0</v>
      </c>
      <c r="R2601" s="2" t="inlineStr"/>
    </row>
    <row r="2602" ht="15" customHeight="1">
      <c r="A2602" t="inlineStr">
        <is>
          <t>A 56131-2019</t>
        </is>
      </c>
      <c r="B2602" s="1" t="n">
        <v>43761</v>
      </c>
      <c r="C2602" s="1" t="n">
        <v>45353</v>
      </c>
      <c r="D2602" t="inlineStr">
        <is>
          <t>VÄRMLANDS LÄN</t>
        </is>
      </c>
      <c r="E2602" t="inlineStr">
        <is>
          <t>HAGFORS</t>
        </is>
      </c>
      <c r="F2602" t="inlineStr">
        <is>
          <t>Bergvik skog väst AB</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55773-2019</t>
        </is>
      </c>
      <c r="B2603" s="1" t="n">
        <v>43761</v>
      </c>
      <c r="C2603" s="1" t="n">
        <v>45353</v>
      </c>
      <c r="D2603" t="inlineStr">
        <is>
          <t>VÄRMLANDS LÄN</t>
        </is>
      </c>
      <c r="E2603" t="inlineStr">
        <is>
          <t>HAGFORS</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55927-2019</t>
        </is>
      </c>
      <c r="B2604" s="1" t="n">
        <v>43761</v>
      </c>
      <c r="C2604" s="1" t="n">
        <v>45353</v>
      </c>
      <c r="D2604" t="inlineStr">
        <is>
          <t>VÄRMLANDS LÄN</t>
        </is>
      </c>
      <c r="E2604" t="inlineStr">
        <is>
          <t>TORSBY</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56021-2019</t>
        </is>
      </c>
      <c r="B2605" s="1" t="n">
        <v>43761</v>
      </c>
      <c r="C2605" s="1" t="n">
        <v>45353</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57771-2019</t>
        </is>
      </c>
      <c r="B2606" s="1" t="n">
        <v>43761</v>
      </c>
      <c r="C2606" s="1" t="n">
        <v>45353</v>
      </c>
      <c r="D2606" t="inlineStr">
        <is>
          <t>VÄRMLANDS LÄN</t>
        </is>
      </c>
      <c r="E2606" t="inlineStr">
        <is>
          <t>EDA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55884-2019</t>
        </is>
      </c>
      <c r="B2607" s="1" t="n">
        <v>43761</v>
      </c>
      <c r="C2607" s="1" t="n">
        <v>45353</v>
      </c>
      <c r="D2607" t="inlineStr">
        <is>
          <t>VÄRMLANDS LÄN</t>
        </is>
      </c>
      <c r="E2607" t="inlineStr">
        <is>
          <t>HAGFORS</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55834-2019</t>
        </is>
      </c>
      <c r="B2608" s="1" t="n">
        <v>43761</v>
      </c>
      <c r="C2608" s="1" t="n">
        <v>45353</v>
      </c>
      <c r="D2608" t="inlineStr">
        <is>
          <t>VÄRMLANDS LÄN</t>
        </is>
      </c>
      <c r="E2608" t="inlineStr">
        <is>
          <t>FORSHAGA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56206-2019</t>
        </is>
      </c>
      <c r="B2609" s="1" t="n">
        <v>43762</v>
      </c>
      <c r="C2609" s="1" t="n">
        <v>45353</v>
      </c>
      <c r="D2609" t="inlineStr">
        <is>
          <t>VÄRMLANDS LÄN</t>
        </is>
      </c>
      <c r="E2609" t="inlineStr">
        <is>
          <t>EDA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56331-2019</t>
        </is>
      </c>
      <c r="B2610" s="1" t="n">
        <v>43762</v>
      </c>
      <c r="C2610" s="1" t="n">
        <v>45353</v>
      </c>
      <c r="D2610" t="inlineStr">
        <is>
          <t>VÄRMLANDS LÄN</t>
        </is>
      </c>
      <c r="E2610" t="inlineStr">
        <is>
          <t>ÅRJÄNG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56323-2019</t>
        </is>
      </c>
      <c r="B2611" s="1" t="n">
        <v>43762</v>
      </c>
      <c r="C2611" s="1" t="n">
        <v>45353</v>
      </c>
      <c r="D2611" t="inlineStr">
        <is>
          <t>VÄRMLANDS LÄN</t>
        </is>
      </c>
      <c r="E2611" t="inlineStr">
        <is>
          <t>HAGFORS</t>
        </is>
      </c>
      <c r="F2611" t="inlineStr">
        <is>
          <t>Bergvik skog väst AB</t>
        </is>
      </c>
      <c r="G2611" t="n">
        <v>51.3</v>
      </c>
      <c r="H2611" t="n">
        <v>0</v>
      </c>
      <c r="I2611" t="n">
        <v>0</v>
      </c>
      <c r="J2611" t="n">
        <v>0</v>
      </c>
      <c r="K2611" t="n">
        <v>0</v>
      </c>
      <c r="L2611" t="n">
        <v>0</v>
      </c>
      <c r="M2611" t="n">
        <v>0</v>
      </c>
      <c r="N2611" t="n">
        <v>0</v>
      </c>
      <c r="O2611" t="n">
        <v>0</v>
      </c>
      <c r="P2611" t="n">
        <v>0</v>
      </c>
      <c r="Q2611" t="n">
        <v>0</v>
      </c>
      <c r="R2611" s="2" t="inlineStr"/>
    </row>
    <row r="2612" ht="15" customHeight="1">
      <c r="A2612" t="inlineStr">
        <is>
          <t>A 56391-2019</t>
        </is>
      </c>
      <c r="B2612" s="1" t="n">
        <v>43762</v>
      </c>
      <c r="C2612" s="1" t="n">
        <v>45353</v>
      </c>
      <c r="D2612" t="inlineStr">
        <is>
          <t>VÄRMLANDS LÄN</t>
        </is>
      </c>
      <c r="E2612" t="inlineStr">
        <is>
          <t>ARVIKA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56265-2019</t>
        </is>
      </c>
      <c r="B2613" s="1" t="n">
        <v>43762</v>
      </c>
      <c r="C2613" s="1" t="n">
        <v>45353</v>
      </c>
      <c r="D2613" t="inlineStr">
        <is>
          <t>VÄRMLANDS LÄN</t>
        </is>
      </c>
      <c r="E2613" t="inlineStr">
        <is>
          <t>HAGFORS</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56298-2019</t>
        </is>
      </c>
      <c r="B2614" s="1" t="n">
        <v>43762</v>
      </c>
      <c r="C2614" s="1" t="n">
        <v>45353</v>
      </c>
      <c r="D2614" t="inlineStr">
        <is>
          <t>VÄRMLANDS LÄN</t>
        </is>
      </c>
      <c r="E2614" t="inlineStr">
        <is>
          <t>ÅRJÄNG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56329-2019</t>
        </is>
      </c>
      <c r="B2615" s="1" t="n">
        <v>43762</v>
      </c>
      <c r="C2615" s="1" t="n">
        <v>45353</v>
      </c>
      <c r="D2615" t="inlineStr">
        <is>
          <t>VÄRMLANDS LÄN</t>
        </is>
      </c>
      <c r="E2615" t="inlineStr">
        <is>
          <t>ÅRJÄNG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56305-2019</t>
        </is>
      </c>
      <c r="B2616" s="1" t="n">
        <v>43762</v>
      </c>
      <c r="C2616" s="1" t="n">
        <v>45353</v>
      </c>
      <c r="D2616" t="inlineStr">
        <is>
          <t>VÄRMLANDS LÄN</t>
        </is>
      </c>
      <c r="E2616" t="inlineStr">
        <is>
          <t>TORSBY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56709-2019</t>
        </is>
      </c>
      <c r="B2617" s="1" t="n">
        <v>43763</v>
      </c>
      <c r="C2617" s="1" t="n">
        <v>45353</v>
      </c>
      <c r="D2617" t="inlineStr">
        <is>
          <t>VÄRMLANDS LÄN</t>
        </is>
      </c>
      <c r="E2617" t="inlineStr">
        <is>
          <t>EDA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56723-2019</t>
        </is>
      </c>
      <c r="B2618" s="1" t="n">
        <v>43763</v>
      </c>
      <c r="C2618" s="1" t="n">
        <v>45353</v>
      </c>
      <c r="D2618" t="inlineStr">
        <is>
          <t>VÄRMLANDS LÄN</t>
        </is>
      </c>
      <c r="E2618" t="inlineStr">
        <is>
          <t>SUNNE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56594-2019</t>
        </is>
      </c>
      <c r="B2619" s="1" t="n">
        <v>43763</v>
      </c>
      <c r="C2619" s="1" t="n">
        <v>45353</v>
      </c>
      <c r="D2619" t="inlineStr">
        <is>
          <t>VÄRMLANDS LÄN</t>
        </is>
      </c>
      <c r="E2619" t="inlineStr">
        <is>
          <t>TORSBY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57788-2019</t>
        </is>
      </c>
      <c r="B2620" s="1" t="n">
        <v>43763</v>
      </c>
      <c r="C2620" s="1" t="n">
        <v>45353</v>
      </c>
      <c r="D2620" t="inlineStr">
        <is>
          <t>VÄRMLANDS LÄN</t>
        </is>
      </c>
      <c r="E2620" t="inlineStr">
        <is>
          <t>EDA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57720-2019</t>
        </is>
      </c>
      <c r="B2621" s="1" t="n">
        <v>43763</v>
      </c>
      <c r="C2621" s="1" t="n">
        <v>45353</v>
      </c>
      <c r="D2621" t="inlineStr">
        <is>
          <t>VÄRMLANDS LÄN</t>
        </is>
      </c>
      <c r="E2621" t="inlineStr">
        <is>
          <t>KRISTINEHAMN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57790-2019</t>
        </is>
      </c>
      <c r="B2622" s="1" t="n">
        <v>43763</v>
      </c>
      <c r="C2622" s="1" t="n">
        <v>45353</v>
      </c>
      <c r="D2622" t="inlineStr">
        <is>
          <t>VÄRMLANDS LÄN</t>
        </is>
      </c>
      <c r="E2622" t="inlineStr">
        <is>
          <t>EDA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56760-2019</t>
        </is>
      </c>
      <c r="B2623" s="1" t="n">
        <v>43763</v>
      </c>
      <c r="C2623" s="1" t="n">
        <v>45353</v>
      </c>
      <c r="D2623" t="inlineStr">
        <is>
          <t>VÄRMLANDS LÄN</t>
        </is>
      </c>
      <c r="E2623" t="inlineStr">
        <is>
          <t>KRISTINEHAMN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56570-2019</t>
        </is>
      </c>
      <c r="B2624" s="1" t="n">
        <v>43763</v>
      </c>
      <c r="C2624" s="1" t="n">
        <v>45353</v>
      </c>
      <c r="D2624" t="inlineStr">
        <is>
          <t>VÄRMLANDS LÄN</t>
        </is>
      </c>
      <c r="E2624" t="inlineStr">
        <is>
          <t>KRISTINEHAMN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56633-2019</t>
        </is>
      </c>
      <c r="B2625" s="1" t="n">
        <v>43763</v>
      </c>
      <c r="C2625" s="1" t="n">
        <v>45353</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56824-2019</t>
        </is>
      </c>
      <c r="B2626" s="1" t="n">
        <v>43764</v>
      </c>
      <c r="C2626" s="1" t="n">
        <v>45353</v>
      </c>
      <c r="D2626" t="inlineStr">
        <is>
          <t>VÄRMLANDS LÄN</t>
        </is>
      </c>
      <c r="E2626" t="inlineStr">
        <is>
          <t>TORSBY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56825-2019</t>
        </is>
      </c>
      <c r="B2627" s="1" t="n">
        <v>43764</v>
      </c>
      <c r="C2627" s="1" t="n">
        <v>45353</v>
      </c>
      <c r="D2627" t="inlineStr">
        <is>
          <t>VÄRMLANDS LÄN</t>
        </is>
      </c>
      <c r="E2627" t="inlineStr">
        <is>
          <t>FORSHAGA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56851-2019</t>
        </is>
      </c>
      <c r="B2628" s="1" t="n">
        <v>43766</v>
      </c>
      <c r="C2628" s="1" t="n">
        <v>45353</v>
      </c>
      <c r="D2628" t="inlineStr">
        <is>
          <t>VÄRMLANDS LÄN</t>
        </is>
      </c>
      <c r="E2628" t="inlineStr">
        <is>
          <t>EDA</t>
        </is>
      </c>
      <c r="G2628" t="n">
        <v>15.4</v>
      </c>
      <c r="H2628" t="n">
        <v>0</v>
      </c>
      <c r="I2628" t="n">
        <v>0</v>
      </c>
      <c r="J2628" t="n">
        <v>0</v>
      </c>
      <c r="K2628" t="n">
        <v>0</v>
      </c>
      <c r="L2628" t="n">
        <v>0</v>
      </c>
      <c r="M2628" t="n">
        <v>0</v>
      </c>
      <c r="N2628" t="n">
        <v>0</v>
      </c>
      <c r="O2628" t="n">
        <v>0</v>
      </c>
      <c r="P2628" t="n">
        <v>0</v>
      </c>
      <c r="Q2628" t="n">
        <v>0</v>
      </c>
      <c r="R2628" s="2" t="inlineStr"/>
    </row>
    <row r="2629" ht="15" customHeight="1">
      <c r="A2629" t="inlineStr">
        <is>
          <t>A 57003-2019</t>
        </is>
      </c>
      <c r="B2629" s="1" t="n">
        <v>43766</v>
      </c>
      <c r="C2629" s="1" t="n">
        <v>45353</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56914-2019</t>
        </is>
      </c>
      <c r="B2630" s="1" t="n">
        <v>43766</v>
      </c>
      <c r="C2630" s="1" t="n">
        <v>45353</v>
      </c>
      <c r="D2630" t="inlineStr">
        <is>
          <t>VÄRMLANDS LÄN</t>
        </is>
      </c>
      <c r="E2630" t="inlineStr">
        <is>
          <t>EDA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56935-2019</t>
        </is>
      </c>
      <c r="B2631" s="1" t="n">
        <v>43766</v>
      </c>
      <c r="C2631" s="1" t="n">
        <v>45353</v>
      </c>
      <c r="D2631" t="inlineStr">
        <is>
          <t>VÄRMLANDS LÄN</t>
        </is>
      </c>
      <c r="E2631" t="inlineStr">
        <is>
          <t>TORSBY</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58104-2019</t>
        </is>
      </c>
      <c r="B2632" s="1" t="n">
        <v>43766</v>
      </c>
      <c r="C2632" s="1" t="n">
        <v>45353</v>
      </c>
      <c r="D2632" t="inlineStr">
        <is>
          <t>VÄRMLANDS LÄN</t>
        </is>
      </c>
      <c r="E2632" t="inlineStr">
        <is>
          <t>SÄFFLE</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57399-2019</t>
        </is>
      </c>
      <c r="B2633" s="1" t="n">
        <v>43767</v>
      </c>
      <c r="C2633" s="1" t="n">
        <v>45353</v>
      </c>
      <c r="D2633" t="inlineStr">
        <is>
          <t>VÄRMLANDS LÄN</t>
        </is>
      </c>
      <c r="E2633" t="inlineStr">
        <is>
          <t>TORSBY</t>
        </is>
      </c>
      <c r="F2633" t="inlineStr">
        <is>
          <t>Bergvik skog väst AB</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57251-2019</t>
        </is>
      </c>
      <c r="B2634" s="1" t="n">
        <v>43767</v>
      </c>
      <c r="C2634" s="1" t="n">
        <v>45353</v>
      </c>
      <c r="D2634" t="inlineStr">
        <is>
          <t>VÄRMLANDS LÄN</t>
        </is>
      </c>
      <c r="E2634" t="inlineStr">
        <is>
          <t>TORSBY</t>
        </is>
      </c>
      <c r="F2634" t="inlineStr">
        <is>
          <t>Bergvik skog väst AB</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57301-2019</t>
        </is>
      </c>
      <c r="B2635" s="1" t="n">
        <v>43767</v>
      </c>
      <c r="C2635" s="1" t="n">
        <v>45353</v>
      </c>
      <c r="D2635" t="inlineStr">
        <is>
          <t>VÄRMLANDS LÄN</t>
        </is>
      </c>
      <c r="E2635" t="inlineStr">
        <is>
          <t>TORSBY</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57268-2019</t>
        </is>
      </c>
      <c r="B2636" s="1" t="n">
        <v>43767</v>
      </c>
      <c r="C2636" s="1" t="n">
        <v>45353</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57331-2019</t>
        </is>
      </c>
      <c r="B2637" s="1" t="n">
        <v>43767</v>
      </c>
      <c r="C2637" s="1" t="n">
        <v>45353</v>
      </c>
      <c r="D2637" t="inlineStr">
        <is>
          <t>VÄRMLANDS LÄN</t>
        </is>
      </c>
      <c r="E2637" t="inlineStr">
        <is>
          <t>KARLSTAD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57350-2019</t>
        </is>
      </c>
      <c r="B2638" s="1" t="n">
        <v>43767</v>
      </c>
      <c r="C2638" s="1" t="n">
        <v>45353</v>
      </c>
      <c r="D2638" t="inlineStr">
        <is>
          <t>VÄRMLANDS LÄN</t>
        </is>
      </c>
      <c r="E2638" t="inlineStr">
        <is>
          <t>ARVIKA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57380-2019</t>
        </is>
      </c>
      <c r="B2639" s="1" t="n">
        <v>43767</v>
      </c>
      <c r="C2639" s="1" t="n">
        <v>45353</v>
      </c>
      <c r="D2639" t="inlineStr">
        <is>
          <t>VÄRMLANDS LÄN</t>
        </is>
      </c>
      <c r="E2639" t="inlineStr">
        <is>
          <t>KRISTINEHAMN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58530-2019</t>
        </is>
      </c>
      <c r="B2640" s="1" t="n">
        <v>43767</v>
      </c>
      <c r="C2640" s="1" t="n">
        <v>45353</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57223-2019</t>
        </is>
      </c>
      <c r="B2641" s="1" t="n">
        <v>43767</v>
      </c>
      <c r="C2641" s="1" t="n">
        <v>45353</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58898-2019</t>
        </is>
      </c>
      <c r="B2642" s="1" t="n">
        <v>43768</v>
      </c>
      <c r="C2642" s="1" t="n">
        <v>45353</v>
      </c>
      <c r="D2642" t="inlineStr">
        <is>
          <t>VÄRMLANDS LÄN</t>
        </is>
      </c>
      <c r="E2642" t="inlineStr">
        <is>
          <t>GRUMS</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57566-2019</t>
        </is>
      </c>
      <c r="B2643" s="1" t="n">
        <v>43768</v>
      </c>
      <c r="C2643" s="1" t="n">
        <v>45353</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58705-2019</t>
        </is>
      </c>
      <c r="B2644" s="1" t="n">
        <v>43768</v>
      </c>
      <c r="C2644" s="1" t="n">
        <v>45353</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58858-2019</t>
        </is>
      </c>
      <c r="B2645" s="1" t="n">
        <v>43768</v>
      </c>
      <c r="C2645" s="1" t="n">
        <v>45353</v>
      </c>
      <c r="D2645" t="inlineStr">
        <is>
          <t>VÄRMLANDS LÄN</t>
        </is>
      </c>
      <c r="E2645" t="inlineStr">
        <is>
          <t>GRUMS</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58709-2019</t>
        </is>
      </c>
      <c r="B2646" s="1" t="n">
        <v>43768</v>
      </c>
      <c r="C2646" s="1" t="n">
        <v>45353</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58946-2019</t>
        </is>
      </c>
      <c r="B2647" s="1" t="n">
        <v>43768</v>
      </c>
      <c r="C2647" s="1" t="n">
        <v>45353</v>
      </c>
      <c r="D2647" t="inlineStr">
        <is>
          <t>VÄRMLANDS LÄN</t>
        </is>
      </c>
      <c r="E2647" t="inlineStr">
        <is>
          <t>SÄFFLE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59037-2019</t>
        </is>
      </c>
      <c r="B2648" s="1" t="n">
        <v>43768</v>
      </c>
      <c r="C2648" s="1" t="n">
        <v>45353</v>
      </c>
      <c r="D2648" t="inlineStr">
        <is>
          <t>VÄRMLANDS LÄN</t>
        </is>
      </c>
      <c r="E2648" t="inlineStr">
        <is>
          <t>ÅRJÄNG</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57704-2019</t>
        </is>
      </c>
      <c r="B2649" s="1" t="n">
        <v>43768</v>
      </c>
      <c r="C2649" s="1" t="n">
        <v>45353</v>
      </c>
      <c r="D2649" t="inlineStr">
        <is>
          <t>VÄRMLANDS LÄN</t>
        </is>
      </c>
      <c r="E2649" t="inlineStr">
        <is>
          <t>TORSBY</t>
        </is>
      </c>
      <c r="F2649" t="inlineStr">
        <is>
          <t>Kommuner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57565-2019</t>
        </is>
      </c>
      <c r="B2650" s="1" t="n">
        <v>43768</v>
      </c>
      <c r="C2650" s="1" t="n">
        <v>45353</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58880-2019</t>
        </is>
      </c>
      <c r="B2651" s="1" t="n">
        <v>43768</v>
      </c>
      <c r="C2651" s="1" t="n">
        <v>45353</v>
      </c>
      <c r="D2651" t="inlineStr">
        <is>
          <t>VÄRMLANDS LÄN</t>
        </is>
      </c>
      <c r="E2651" t="inlineStr">
        <is>
          <t>GRUMS</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57632-2019</t>
        </is>
      </c>
      <c r="B2652" s="1" t="n">
        <v>43768</v>
      </c>
      <c r="C2652" s="1" t="n">
        <v>45353</v>
      </c>
      <c r="D2652" t="inlineStr">
        <is>
          <t>VÄRMLANDS LÄN</t>
        </is>
      </c>
      <c r="E2652" t="inlineStr">
        <is>
          <t>EDA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57888-2019</t>
        </is>
      </c>
      <c r="B2653" s="1" t="n">
        <v>43769</v>
      </c>
      <c r="C2653" s="1" t="n">
        <v>45353</v>
      </c>
      <c r="D2653" t="inlineStr">
        <is>
          <t>VÄRMLANDS LÄN</t>
        </is>
      </c>
      <c r="E2653" t="inlineStr">
        <is>
          <t>ÅRJÄNG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58055-2019</t>
        </is>
      </c>
      <c r="B2654" s="1" t="n">
        <v>43769</v>
      </c>
      <c r="C2654" s="1" t="n">
        <v>45353</v>
      </c>
      <c r="D2654" t="inlineStr">
        <is>
          <t>VÄRMLANDS LÄN</t>
        </is>
      </c>
      <c r="E2654" t="inlineStr">
        <is>
          <t>EDA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58130-2019</t>
        </is>
      </c>
      <c r="B2655" s="1" t="n">
        <v>43769</v>
      </c>
      <c r="C2655" s="1" t="n">
        <v>45353</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58004-2019</t>
        </is>
      </c>
      <c r="B2656" s="1" t="n">
        <v>43769</v>
      </c>
      <c r="C2656" s="1" t="n">
        <v>45353</v>
      </c>
      <c r="D2656" t="inlineStr">
        <is>
          <t>VÄRMLANDS LÄN</t>
        </is>
      </c>
      <c r="E2656" t="inlineStr">
        <is>
          <t>TORSBY</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58944-2019</t>
        </is>
      </c>
      <c r="B2657" s="1" t="n">
        <v>43769</v>
      </c>
      <c r="C2657" s="1" t="n">
        <v>45353</v>
      </c>
      <c r="D2657" t="inlineStr">
        <is>
          <t>VÄRMLANDS LÄN</t>
        </is>
      </c>
      <c r="E2657" t="inlineStr">
        <is>
          <t>SUNNE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58221-2019</t>
        </is>
      </c>
      <c r="B2658" s="1" t="n">
        <v>43770</v>
      </c>
      <c r="C2658" s="1" t="n">
        <v>45353</v>
      </c>
      <c r="D2658" t="inlineStr">
        <is>
          <t>VÄRMLANDS LÄN</t>
        </is>
      </c>
      <c r="E2658" t="inlineStr">
        <is>
          <t>ÅRJÄNG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58306-2019</t>
        </is>
      </c>
      <c r="B2659" s="1" t="n">
        <v>43770</v>
      </c>
      <c r="C2659" s="1" t="n">
        <v>45353</v>
      </c>
      <c r="D2659" t="inlineStr">
        <is>
          <t>VÄRMLANDS LÄN</t>
        </is>
      </c>
      <c r="E2659" t="inlineStr">
        <is>
          <t>EDA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58299-2019</t>
        </is>
      </c>
      <c r="B2660" s="1" t="n">
        <v>43770</v>
      </c>
      <c r="C2660" s="1" t="n">
        <v>45353</v>
      </c>
      <c r="D2660" t="inlineStr">
        <is>
          <t>VÄRMLANDS LÄN</t>
        </is>
      </c>
      <c r="E2660" t="inlineStr">
        <is>
          <t>EDA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58309-2019</t>
        </is>
      </c>
      <c r="B2661" s="1" t="n">
        <v>43770</v>
      </c>
      <c r="C2661" s="1" t="n">
        <v>45353</v>
      </c>
      <c r="D2661" t="inlineStr">
        <is>
          <t>VÄRMLANDS LÄN</t>
        </is>
      </c>
      <c r="E2661" t="inlineStr">
        <is>
          <t>EDA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59141-2019</t>
        </is>
      </c>
      <c r="B2662" s="1" t="n">
        <v>43770</v>
      </c>
      <c r="C2662" s="1" t="n">
        <v>45353</v>
      </c>
      <c r="D2662" t="inlineStr">
        <is>
          <t>VÄRMLANDS LÄN</t>
        </is>
      </c>
      <c r="E2662" t="inlineStr">
        <is>
          <t>HAGFORS</t>
        </is>
      </c>
      <c r="F2662" t="inlineStr">
        <is>
          <t>Kyrkan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59213-2019</t>
        </is>
      </c>
      <c r="B2663" s="1" t="n">
        <v>43770</v>
      </c>
      <c r="C2663" s="1" t="n">
        <v>45353</v>
      </c>
      <c r="D2663" t="inlineStr">
        <is>
          <t>VÄRMLANDS LÄN</t>
        </is>
      </c>
      <c r="E2663" t="inlineStr">
        <is>
          <t>SÄFFLE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58302-2019</t>
        </is>
      </c>
      <c r="B2664" s="1" t="n">
        <v>43770</v>
      </c>
      <c r="C2664" s="1" t="n">
        <v>45353</v>
      </c>
      <c r="D2664" t="inlineStr">
        <is>
          <t>VÄRMLANDS LÄN</t>
        </is>
      </c>
      <c r="E2664" t="inlineStr">
        <is>
          <t>EDA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58392-2019</t>
        </is>
      </c>
      <c r="B2665" s="1" t="n">
        <v>43772</v>
      </c>
      <c r="C2665" s="1" t="n">
        <v>45353</v>
      </c>
      <c r="D2665" t="inlineStr">
        <is>
          <t>VÄRMLANDS LÄN</t>
        </is>
      </c>
      <c r="E2665" t="inlineStr">
        <is>
          <t>EDA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58678-2019</t>
        </is>
      </c>
      <c r="B2666" s="1" t="n">
        <v>43773</v>
      </c>
      <c r="C2666" s="1" t="n">
        <v>45353</v>
      </c>
      <c r="D2666" t="inlineStr">
        <is>
          <t>VÄRMLANDS LÄN</t>
        </is>
      </c>
      <c r="E2666" t="inlineStr">
        <is>
          <t>TORSBY</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58733-2019</t>
        </is>
      </c>
      <c r="B2667" s="1" t="n">
        <v>43773</v>
      </c>
      <c r="C2667" s="1" t="n">
        <v>45353</v>
      </c>
      <c r="D2667" t="inlineStr">
        <is>
          <t>VÄRMLANDS LÄN</t>
        </is>
      </c>
      <c r="E2667" t="inlineStr">
        <is>
          <t>ARVIKA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58540-2019</t>
        </is>
      </c>
      <c r="B2668" s="1" t="n">
        <v>43773</v>
      </c>
      <c r="C2668" s="1" t="n">
        <v>45353</v>
      </c>
      <c r="D2668" t="inlineStr">
        <is>
          <t>VÄRMLANDS LÄN</t>
        </is>
      </c>
      <c r="E2668" t="inlineStr">
        <is>
          <t>ARVIKA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59377-2019</t>
        </is>
      </c>
      <c r="B2669" s="1" t="n">
        <v>43773</v>
      </c>
      <c r="C2669" s="1" t="n">
        <v>45353</v>
      </c>
      <c r="D2669" t="inlineStr">
        <is>
          <t>VÄRMLANDS LÄN</t>
        </is>
      </c>
      <c r="E2669" t="inlineStr">
        <is>
          <t>SÄFFLE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59048-2019</t>
        </is>
      </c>
      <c r="B2670" s="1" t="n">
        <v>43774</v>
      </c>
      <c r="C2670" s="1" t="n">
        <v>45353</v>
      </c>
      <c r="D2670" t="inlineStr">
        <is>
          <t>VÄRMLANDS LÄN</t>
        </is>
      </c>
      <c r="E2670" t="inlineStr">
        <is>
          <t>EDA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59044-2019</t>
        </is>
      </c>
      <c r="B2671" s="1" t="n">
        <v>43774</v>
      </c>
      <c r="C2671" s="1" t="n">
        <v>45353</v>
      </c>
      <c r="D2671" t="inlineStr">
        <is>
          <t>VÄRMLANDS LÄN</t>
        </is>
      </c>
      <c r="E2671" t="inlineStr">
        <is>
          <t>SÄFFLE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59389-2019</t>
        </is>
      </c>
      <c r="B2672" s="1" t="n">
        <v>43775</v>
      </c>
      <c r="C2672" s="1" t="n">
        <v>45353</v>
      </c>
      <c r="D2672" t="inlineStr">
        <is>
          <t>VÄRMLANDS LÄN</t>
        </is>
      </c>
      <c r="E2672" t="inlineStr">
        <is>
          <t>ARVIKA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59968-2019</t>
        </is>
      </c>
      <c r="B2673" s="1" t="n">
        <v>43775</v>
      </c>
      <c r="C2673" s="1" t="n">
        <v>45353</v>
      </c>
      <c r="D2673" t="inlineStr">
        <is>
          <t>VÄRMLANDS LÄN</t>
        </is>
      </c>
      <c r="E2673" t="inlineStr">
        <is>
          <t>GRUMS</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59813-2019</t>
        </is>
      </c>
      <c r="B2674" s="1" t="n">
        <v>43775</v>
      </c>
      <c r="C2674" s="1" t="n">
        <v>45353</v>
      </c>
      <c r="D2674" t="inlineStr">
        <is>
          <t>VÄRMLANDS LÄN</t>
        </is>
      </c>
      <c r="E2674" t="inlineStr">
        <is>
          <t>HAGFORS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59127-2019</t>
        </is>
      </c>
      <c r="B2675" s="1" t="n">
        <v>43775</v>
      </c>
      <c r="C2675" s="1" t="n">
        <v>45353</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59593-2019</t>
        </is>
      </c>
      <c r="B2676" s="1" t="n">
        <v>43776</v>
      </c>
      <c r="C2676" s="1" t="n">
        <v>45353</v>
      </c>
      <c r="D2676" t="inlineStr">
        <is>
          <t>VÄRMLANDS LÄN</t>
        </is>
      </c>
      <c r="E2676" t="inlineStr">
        <is>
          <t>TORSBY</t>
        </is>
      </c>
      <c r="F2676" t="inlineStr">
        <is>
          <t>Bergvik skog väst AB</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59607-2019</t>
        </is>
      </c>
      <c r="B2677" s="1" t="n">
        <v>43776</v>
      </c>
      <c r="C2677" s="1" t="n">
        <v>45353</v>
      </c>
      <c r="D2677" t="inlineStr">
        <is>
          <t>VÄRMLANDS LÄN</t>
        </is>
      </c>
      <c r="E2677" t="inlineStr">
        <is>
          <t>ARVIKA</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59748-2019</t>
        </is>
      </c>
      <c r="B2678" s="1" t="n">
        <v>43776</v>
      </c>
      <c r="C2678" s="1" t="n">
        <v>45353</v>
      </c>
      <c r="D2678" t="inlineStr">
        <is>
          <t>VÄRMLANDS LÄN</t>
        </is>
      </c>
      <c r="E2678" t="inlineStr">
        <is>
          <t>SUNNE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60029-2019</t>
        </is>
      </c>
      <c r="B2679" s="1" t="n">
        <v>43776</v>
      </c>
      <c r="C2679" s="1" t="n">
        <v>45353</v>
      </c>
      <c r="D2679" t="inlineStr">
        <is>
          <t>VÄRMLANDS LÄN</t>
        </is>
      </c>
      <c r="E2679" t="inlineStr">
        <is>
          <t>ÅRJÄNG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59883-2019</t>
        </is>
      </c>
      <c r="B2680" s="1" t="n">
        <v>43777</v>
      </c>
      <c r="C2680" s="1" t="n">
        <v>45353</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59809-2019</t>
        </is>
      </c>
      <c r="B2681" s="1" t="n">
        <v>43777</v>
      </c>
      <c r="C2681" s="1" t="n">
        <v>45353</v>
      </c>
      <c r="D2681" t="inlineStr">
        <is>
          <t>VÄRMLANDS LÄN</t>
        </is>
      </c>
      <c r="E2681" t="inlineStr">
        <is>
          <t>SUNNE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60047-2019</t>
        </is>
      </c>
      <c r="B2682" s="1" t="n">
        <v>43777</v>
      </c>
      <c r="C2682" s="1" t="n">
        <v>45353</v>
      </c>
      <c r="D2682" t="inlineStr">
        <is>
          <t>VÄRMLANDS LÄN</t>
        </is>
      </c>
      <c r="E2682" t="inlineStr">
        <is>
          <t>EDA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60623-2019</t>
        </is>
      </c>
      <c r="B2683" s="1" t="n">
        <v>43777</v>
      </c>
      <c r="C2683" s="1" t="n">
        <v>45353</v>
      </c>
      <c r="D2683" t="inlineStr">
        <is>
          <t>VÄRMLANDS LÄN</t>
        </is>
      </c>
      <c r="E2683" t="inlineStr">
        <is>
          <t>EDA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59805-2019</t>
        </is>
      </c>
      <c r="B2684" s="1" t="n">
        <v>43777</v>
      </c>
      <c r="C2684" s="1" t="n">
        <v>45353</v>
      </c>
      <c r="D2684" t="inlineStr">
        <is>
          <t>VÄRMLANDS LÄN</t>
        </is>
      </c>
      <c r="E2684" t="inlineStr">
        <is>
          <t>KRISTINEHAMN</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60145-2019</t>
        </is>
      </c>
      <c r="B2685" s="1" t="n">
        <v>43779</v>
      </c>
      <c r="C2685" s="1" t="n">
        <v>45353</v>
      </c>
      <c r="D2685" t="inlineStr">
        <is>
          <t>VÄRMLANDS LÄN</t>
        </is>
      </c>
      <c r="E2685" t="inlineStr">
        <is>
          <t>KARLSTAD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60209-2019</t>
        </is>
      </c>
      <c r="B2686" s="1" t="n">
        <v>43780</v>
      </c>
      <c r="C2686" s="1" t="n">
        <v>45353</v>
      </c>
      <c r="D2686" t="inlineStr">
        <is>
          <t>VÄRMLANDS LÄN</t>
        </is>
      </c>
      <c r="E2686" t="inlineStr">
        <is>
          <t>SUNNE</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60353-2019</t>
        </is>
      </c>
      <c r="B2687" s="1" t="n">
        <v>43780</v>
      </c>
      <c r="C2687" s="1" t="n">
        <v>45353</v>
      </c>
      <c r="D2687" t="inlineStr">
        <is>
          <t>VÄRMLANDS LÄN</t>
        </is>
      </c>
      <c r="E2687" t="inlineStr">
        <is>
          <t>SUNNE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60453-2019</t>
        </is>
      </c>
      <c r="B2688" s="1" t="n">
        <v>43780</v>
      </c>
      <c r="C2688" s="1" t="n">
        <v>45353</v>
      </c>
      <c r="D2688" t="inlineStr">
        <is>
          <t>VÄRMLANDS LÄN</t>
        </is>
      </c>
      <c r="E2688" t="inlineStr">
        <is>
          <t>MUNKFORS</t>
        </is>
      </c>
      <c r="F2688" t="inlineStr">
        <is>
          <t>Kommuner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60443-2019</t>
        </is>
      </c>
      <c r="B2689" s="1" t="n">
        <v>43780</v>
      </c>
      <c r="C2689" s="1" t="n">
        <v>45353</v>
      </c>
      <c r="D2689" t="inlineStr">
        <is>
          <t>VÄRMLANDS LÄN</t>
        </is>
      </c>
      <c r="E2689" t="inlineStr">
        <is>
          <t>MUNKFORS</t>
        </is>
      </c>
      <c r="F2689" t="inlineStr">
        <is>
          <t>Kommuner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61449-2019</t>
        </is>
      </c>
      <c r="B2690" s="1" t="n">
        <v>43780</v>
      </c>
      <c r="C2690" s="1" t="n">
        <v>45353</v>
      </c>
      <c r="D2690" t="inlineStr">
        <is>
          <t>VÄRMLANDS LÄN</t>
        </is>
      </c>
      <c r="E2690" t="inlineStr">
        <is>
          <t>GRUMS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60639-2019</t>
        </is>
      </c>
      <c r="B2691" s="1" t="n">
        <v>43781</v>
      </c>
      <c r="C2691" s="1" t="n">
        <v>45353</v>
      </c>
      <c r="D2691" t="inlineStr">
        <is>
          <t>VÄRMLANDS LÄN</t>
        </is>
      </c>
      <c r="E2691" t="inlineStr">
        <is>
          <t>SUNNE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60658-2019</t>
        </is>
      </c>
      <c r="B2692" s="1" t="n">
        <v>43781</v>
      </c>
      <c r="C2692" s="1" t="n">
        <v>45353</v>
      </c>
      <c r="D2692" t="inlineStr">
        <is>
          <t>VÄRMLANDS LÄN</t>
        </is>
      </c>
      <c r="E2692" t="inlineStr">
        <is>
          <t>KRISTINEHAMN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60663-2019</t>
        </is>
      </c>
      <c r="B2693" s="1" t="n">
        <v>43781</v>
      </c>
      <c r="C2693" s="1" t="n">
        <v>45353</v>
      </c>
      <c r="D2693" t="inlineStr">
        <is>
          <t>VÄRMLANDS LÄN</t>
        </is>
      </c>
      <c r="E2693" t="inlineStr">
        <is>
          <t>HAGFORS</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60632-2019</t>
        </is>
      </c>
      <c r="B2694" s="1" t="n">
        <v>43781</v>
      </c>
      <c r="C2694" s="1" t="n">
        <v>45353</v>
      </c>
      <c r="D2694" t="inlineStr">
        <is>
          <t>VÄRMLANDS LÄN</t>
        </is>
      </c>
      <c r="E2694" t="inlineStr">
        <is>
          <t>SUNNE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60545-2019</t>
        </is>
      </c>
      <c r="B2695" s="1" t="n">
        <v>43781</v>
      </c>
      <c r="C2695" s="1" t="n">
        <v>45353</v>
      </c>
      <c r="D2695" t="inlineStr">
        <is>
          <t>VÄRMLANDS LÄN</t>
        </is>
      </c>
      <c r="E2695" t="inlineStr">
        <is>
          <t>TORSBY</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60659-2019</t>
        </is>
      </c>
      <c r="B2696" s="1" t="n">
        <v>43781</v>
      </c>
      <c r="C2696" s="1" t="n">
        <v>45353</v>
      </c>
      <c r="D2696" t="inlineStr">
        <is>
          <t>VÄRMLANDS LÄN</t>
        </is>
      </c>
      <c r="E2696" t="inlineStr">
        <is>
          <t>SUNNE</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60637-2019</t>
        </is>
      </c>
      <c r="B2697" s="1" t="n">
        <v>43781</v>
      </c>
      <c r="C2697" s="1" t="n">
        <v>45353</v>
      </c>
      <c r="D2697" t="inlineStr">
        <is>
          <t>VÄRMLANDS LÄN</t>
        </is>
      </c>
      <c r="E2697" t="inlineStr">
        <is>
          <t>SUNNE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61098-2019</t>
        </is>
      </c>
      <c r="B2698" s="1" t="n">
        <v>43782</v>
      </c>
      <c r="C2698" s="1" t="n">
        <v>45353</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61074-2019</t>
        </is>
      </c>
      <c r="B2699" s="1" t="n">
        <v>43782</v>
      </c>
      <c r="C2699" s="1" t="n">
        <v>45353</v>
      </c>
      <c r="D2699" t="inlineStr">
        <is>
          <t>VÄRMLANDS LÄN</t>
        </is>
      </c>
      <c r="E2699" t="inlineStr">
        <is>
          <t>TORSBY</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61104-2019</t>
        </is>
      </c>
      <c r="B2700" s="1" t="n">
        <v>43782</v>
      </c>
      <c r="C2700" s="1" t="n">
        <v>45353</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61167-2019</t>
        </is>
      </c>
      <c r="B2701" s="1" t="n">
        <v>43782</v>
      </c>
      <c r="C2701" s="1" t="n">
        <v>45353</v>
      </c>
      <c r="D2701" t="inlineStr">
        <is>
          <t>VÄRMLANDS LÄN</t>
        </is>
      </c>
      <c r="E2701" t="inlineStr">
        <is>
          <t>ÅRJÄNG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61099-2019</t>
        </is>
      </c>
      <c r="B2702" s="1" t="n">
        <v>43782</v>
      </c>
      <c r="C2702" s="1" t="n">
        <v>45353</v>
      </c>
      <c r="D2702" t="inlineStr">
        <is>
          <t>VÄRMLANDS LÄN</t>
        </is>
      </c>
      <c r="E2702" t="inlineStr">
        <is>
          <t>ARVIKA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61278-2019</t>
        </is>
      </c>
      <c r="B2703" s="1" t="n">
        <v>43783</v>
      </c>
      <c r="C2703" s="1" t="n">
        <v>45353</v>
      </c>
      <c r="D2703" t="inlineStr">
        <is>
          <t>VÄRMLANDS LÄN</t>
        </is>
      </c>
      <c r="E2703" t="inlineStr">
        <is>
          <t>SUNNE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61341-2019</t>
        </is>
      </c>
      <c r="B2704" s="1" t="n">
        <v>43783</v>
      </c>
      <c r="C2704" s="1" t="n">
        <v>45353</v>
      </c>
      <c r="D2704" t="inlineStr">
        <is>
          <t>VÄRMLANDS LÄN</t>
        </is>
      </c>
      <c r="E2704" t="inlineStr">
        <is>
          <t>MUNKFORS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61596-2019</t>
        </is>
      </c>
      <c r="B2705" s="1" t="n">
        <v>43784</v>
      </c>
      <c r="C2705" s="1" t="n">
        <v>45353</v>
      </c>
      <c r="D2705" t="inlineStr">
        <is>
          <t>VÄRMLANDS LÄN</t>
        </is>
      </c>
      <c r="E2705" t="inlineStr">
        <is>
          <t>SUNNE</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61598-2019</t>
        </is>
      </c>
      <c r="B2706" s="1" t="n">
        <v>43784</v>
      </c>
      <c r="C2706" s="1" t="n">
        <v>45353</v>
      </c>
      <c r="D2706" t="inlineStr">
        <is>
          <t>VÄRMLANDS LÄN</t>
        </is>
      </c>
      <c r="E2706" t="inlineStr">
        <is>
          <t>EDA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61608-2019</t>
        </is>
      </c>
      <c r="B2707" s="1" t="n">
        <v>43784</v>
      </c>
      <c r="C2707" s="1" t="n">
        <v>45353</v>
      </c>
      <c r="D2707" t="inlineStr">
        <is>
          <t>VÄRMLANDS LÄN</t>
        </is>
      </c>
      <c r="E2707" t="inlineStr">
        <is>
          <t>SUNNE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61612-2019</t>
        </is>
      </c>
      <c r="B2708" s="1" t="n">
        <v>43784</v>
      </c>
      <c r="C2708" s="1" t="n">
        <v>45353</v>
      </c>
      <c r="D2708" t="inlineStr">
        <is>
          <t>VÄRMLANDS LÄN</t>
        </is>
      </c>
      <c r="E2708" t="inlineStr">
        <is>
          <t>SUNNE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61730-2019</t>
        </is>
      </c>
      <c r="B2709" s="1" t="n">
        <v>43784</v>
      </c>
      <c r="C2709" s="1" t="n">
        <v>45353</v>
      </c>
      <c r="D2709" t="inlineStr">
        <is>
          <t>VÄRMLANDS LÄN</t>
        </is>
      </c>
      <c r="E2709" t="inlineStr">
        <is>
          <t>EDA</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61626-2019</t>
        </is>
      </c>
      <c r="B2710" s="1" t="n">
        <v>43784</v>
      </c>
      <c r="C2710" s="1" t="n">
        <v>45353</v>
      </c>
      <c r="D2710" t="inlineStr">
        <is>
          <t>VÄRMLANDS LÄN</t>
        </is>
      </c>
      <c r="E2710" t="inlineStr">
        <is>
          <t>SUNNE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62936-2019</t>
        </is>
      </c>
      <c r="B2711" s="1" t="n">
        <v>43784</v>
      </c>
      <c r="C2711" s="1" t="n">
        <v>45353</v>
      </c>
      <c r="D2711" t="inlineStr">
        <is>
          <t>VÄRMLANDS LÄN</t>
        </is>
      </c>
      <c r="E2711" t="inlineStr">
        <is>
          <t>FORSHAGA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61789-2019</t>
        </is>
      </c>
      <c r="B2712" s="1" t="n">
        <v>43785</v>
      </c>
      <c r="C2712" s="1" t="n">
        <v>45353</v>
      </c>
      <c r="D2712" t="inlineStr">
        <is>
          <t>VÄRMLANDS LÄN</t>
        </is>
      </c>
      <c r="E2712" t="inlineStr">
        <is>
          <t>SÄFFLE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61800-2019</t>
        </is>
      </c>
      <c r="B2713" s="1" t="n">
        <v>43786</v>
      </c>
      <c r="C2713" s="1" t="n">
        <v>45353</v>
      </c>
      <c r="D2713" t="inlineStr">
        <is>
          <t>VÄRMLANDS LÄN</t>
        </is>
      </c>
      <c r="E2713" t="inlineStr">
        <is>
          <t>ARVIKA</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61907-2019</t>
        </is>
      </c>
      <c r="B2714" s="1" t="n">
        <v>43787</v>
      </c>
      <c r="C2714" s="1" t="n">
        <v>45353</v>
      </c>
      <c r="D2714" t="inlineStr">
        <is>
          <t>VÄRMLANDS LÄN</t>
        </is>
      </c>
      <c r="E2714" t="inlineStr">
        <is>
          <t>MUNKFORS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62050-2019</t>
        </is>
      </c>
      <c r="B2715" s="1" t="n">
        <v>43787</v>
      </c>
      <c r="C2715" s="1" t="n">
        <v>45353</v>
      </c>
      <c r="D2715" t="inlineStr">
        <is>
          <t>VÄRMLANDS LÄN</t>
        </is>
      </c>
      <c r="E2715" t="inlineStr">
        <is>
          <t>TORSBY</t>
        </is>
      </c>
      <c r="F2715" t="inlineStr">
        <is>
          <t>Bergvik skog väst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62101-2019</t>
        </is>
      </c>
      <c r="B2716" s="1" t="n">
        <v>43787</v>
      </c>
      <c r="C2716" s="1" t="n">
        <v>45353</v>
      </c>
      <c r="D2716" t="inlineStr">
        <is>
          <t>VÄRMLANDS LÄN</t>
        </is>
      </c>
      <c r="E2716" t="inlineStr">
        <is>
          <t>STORFORS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61914-2019</t>
        </is>
      </c>
      <c r="B2717" s="1" t="n">
        <v>43787</v>
      </c>
      <c r="C2717" s="1" t="n">
        <v>45353</v>
      </c>
      <c r="D2717" t="inlineStr">
        <is>
          <t>VÄRMLANDS LÄN</t>
        </is>
      </c>
      <c r="E2717" t="inlineStr">
        <is>
          <t>KRISTINEHAMN</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61958-2019</t>
        </is>
      </c>
      <c r="B2718" s="1" t="n">
        <v>43787</v>
      </c>
      <c r="C2718" s="1" t="n">
        <v>45353</v>
      </c>
      <c r="D2718" t="inlineStr">
        <is>
          <t>VÄRMLANDS LÄN</t>
        </is>
      </c>
      <c r="E2718" t="inlineStr">
        <is>
          <t>TORSBY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61952-2019</t>
        </is>
      </c>
      <c r="B2719" s="1" t="n">
        <v>43787</v>
      </c>
      <c r="C2719" s="1" t="n">
        <v>45353</v>
      </c>
      <c r="D2719" t="inlineStr">
        <is>
          <t>VÄRMLANDS LÄN</t>
        </is>
      </c>
      <c r="E2719" t="inlineStr">
        <is>
          <t>EDA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62080-2019</t>
        </is>
      </c>
      <c r="B2720" s="1" t="n">
        <v>43787</v>
      </c>
      <c r="C2720" s="1" t="n">
        <v>45353</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63284-2019</t>
        </is>
      </c>
      <c r="B2721" s="1" t="n">
        <v>43787</v>
      </c>
      <c r="C2721" s="1" t="n">
        <v>45353</v>
      </c>
      <c r="D2721" t="inlineStr">
        <is>
          <t>VÄRMLANDS LÄN</t>
        </is>
      </c>
      <c r="E2721" t="inlineStr">
        <is>
          <t>GRUMS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62238-2019</t>
        </is>
      </c>
      <c r="B2722" s="1" t="n">
        <v>43788</v>
      </c>
      <c r="C2722" s="1" t="n">
        <v>45353</v>
      </c>
      <c r="D2722" t="inlineStr">
        <is>
          <t>VÄRMLANDS LÄN</t>
        </is>
      </c>
      <c r="E2722" t="inlineStr">
        <is>
          <t>ARVIKA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62255-2019</t>
        </is>
      </c>
      <c r="B2723" s="1" t="n">
        <v>43788</v>
      </c>
      <c r="C2723" s="1" t="n">
        <v>45353</v>
      </c>
      <c r="D2723" t="inlineStr">
        <is>
          <t>VÄRMLANDS LÄN</t>
        </is>
      </c>
      <c r="E2723" t="inlineStr">
        <is>
          <t>TORSBY</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62207-2019</t>
        </is>
      </c>
      <c r="B2724" s="1" t="n">
        <v>43788</v>
      </c>
      <c r="C2724" s="1" t="n">
        <v>45353</v>
      </c>
      <c r="D2724" t="inlineStr">
        <is>
          <t>VÄRMLANDS LÄN</t>
        </is>
      </c>
      <c r="E2724" t="inlineStr">
        <is>
          <t>STORFORS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63509-2019</t>
        </is>
      </c>
      <c r="B2725" s="1" t="n">
        <v>43788</v>
      </c>
      <c r="C2725" s="1" t="n">
        <v>45353</v>
      </c>
      <c r="D2725" t="inlineStr">
        <is>
          <t>VÄRMLANDS LÄN</t>
        </is>
      </c>
      <c r="E2725" t="inlineStr">
        <is>
          <t>SÄFFLE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62286-2019</t>
        </is>
      </c>
      <c r="B2726" s="1" t="n">
        <v>43788</v>
      </c>
      <c r="C2726" s="1" t="n">
        <v>45353</v>
      </c>
      <c r="D2726" t="inlineStr">
        <is>
          <t>VÄRMLANDS LÄN</t>
        </is>
      </c>
      <c r="E2726" t="inlineStr">
        <is>
          <t>TORSBY</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62697-2019</t>
        </is>
      </c>
      <c r="B2727" s="1" t="n">
        <v>43789</v>
      </c>
      <c r="C2727" s="1" t="n">
        <v>45353</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63661-2019</t>
        </is>
      </c>
      <c r="B2728" s="1" t="n">
        <v>43789</v>
      </c>
      <c r="C2728" s="1" t="n">
        <v>45353</v>
      </c>
      <c r="D2728" t="inlineStr">
        <is>
          <t>VÄRMLANDS LÄN</t>
        </is>
      </c>
      <c r="E2728" t="inlineStr">
        <is>
          <t>SÄFFLE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62534-2019</t>
        </is>
      </c>
      <c r="B2729" s="1" t="n">
        <v>43789</v>
      </c>
      <c r="C2729" s="1" t="n">
        <v>45353</v>
      </c>
      <c r="D2729" t="inlineStr">
        <is>
          <t>VÄRMLANDS LÄN</t>
        </is>
      </c>
      <c r="E2729" t="inlineStr">
        <is>
          <t>KRISTINEHAMN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62741-2019</t>
        </is>
      </c>
      <c r="B2730" s="1" t="n">
        <v>43790</v>
      </c>
      <c r="C2730" s="1" t="n">
        <v>45353</v>
      </c>
      <c r="D2730" t="inlineStr">
        <is>
          <t>VÄRMLANDS LÄN</t>
        </is>
      </c>
      <c r="E2730" t="inlineStr">
        <is>
          <t>EDA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62902-2019</t>
        </is>
      </c>
      <c r="B2731" s="1" t="n">
        <v>43790</v>
      </c>
      <c r="C2731" s="1" t="n">
        <v>45353</v>
      </c>
      <c r="D2731" t="inlineStr">
        <is>
          <t>VÄRMLANDS LÄN</t>
        </is>
      </c>
      <c r="E2731" t="inlineStr">
        <is>
          <t>KIL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62911-2019</t>
        </is>
      </c>
      <c r="B2732" s="1" t="n">
        <v>43790</v>
      </c>
      <c r="C2732" s="1" t="n">
        <v>45353</v>
      </c>
      <c r="D2732" t="inlineStr">
        <is>
          <t>VÄRMLANDS LÄN</t>
        </is>
      </c>
      <c r="E2732" t="inlineStr">
        <is>
          <t>ARVIKA</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62922-2019</t>
        </is>
      </c>
      <c r="B2733" s="1" t="n">
        <v>43790</v>
      </c>
      <c r="C2733" s="1" t="n">
        <v>45353</v>
      </c>
      <c r="D2733" t="inlineStr">
        <is>
          <t>VÄRMLANDS LÄN</t>
        </is>
      </c>
      <c r="E2733" t="inlineStr">
        <is>
          <t>ARVIKA</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62932-2019</t>
        </is>
      </c>
      <c r="B2734" s="1" t="n">
        <v>43790</v>
      </c>
      <c r="C2734" s="1" t="n">
        <v>45353</v>
      </c>
      <c r="D2734" t="inlineStr">
        <is>
          <t>VÄRMLANDS LÄN</t>
        </is>
      </c>
      <c r="E2734" t="inlineStr">
        <is>
          <t>SUNNE</t>
        </is>
      </c>
      <c r="F2734" t="inlineStr">
        <is>
          <t>Kommuner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62917-2019</t>
        </is>
      </c>
      <c r="B2735" s="1" t="n">
        <v>43790</v>
      </c>
      <c r="C2735" s="1" t="n">
        <v>45353</v>
      </c>
      <c r="D2735" t="inlineStr">
        <is>
          <t>VÄRMLANDS LÄN</t>
        </is>
      </c>
      <c r="E2735" t="inlineStr">
        <is>
          <t>ARVIKA</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62931-2019</t>
        </is>
      </c>
      <c r="B2736" s="1" t="n">
        <v>43790</v>
      </c>
      <c r="C2736" s="1" t="n">
        <v>45353</v>
      </c>
      <c r="D2736" t="inlineStr">
        <is>
          <t>VÄRMLANDS LÄN</t>
        </is>
      </c>
      <c r="E2736" t="inlineStr">
        <is>
          <t>ARVIKA</t>
        </is>
      </c>
      <c r="F2736" t="inlineStr">
        <is>
          <t>Kommuner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62905-2019</t>
        </is>
      </c>
      <c r="B2737" s="1" t="n">
        <v>43790</v>
      </c>
      <c r="C2737" s="1" t="n">
        <v>45353</v>
      </c>
      <c r="D2737" t="inlineStr">
        <is>
          <t>VÄRMLANDS LÄN</t>
        </is>
      </c>
      <c r="E2737" t="inlineStr">
        <is>
          <t>ARVIKA</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62989-2019</t>
        </is>
      </c>
      <c r="B2738" s="1" t="n">
        <v>43790</v>
      </c>
      <c r="C2738" s="1" t="n">
        <v>45353</v>
      </c>
      <c r="D2738" t="inlineStr">
        <is>
          <t>VÄRMLANDS LÄN</t>
        </is>
      </c>
      <c r="E2738" t="inlineStr">
        <is>
          <t>STORFORS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62914-2019</t>
        </is>
      </c>
      <c r="B2739" s="1" t="n">
        <v>43790</v>
      </c>
      <c r="C2739" s="1" t="n">
        <v>45353</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63890-2019</t>
        </is>
      </c>
      <c r="B2740" s="1" t="n">
        <v>43790</v>
      </c>
      <c r="C2740" s="1" t="n">
        <v>45353</v>
      </c>
      <c r="D2740" t="inlineStr">
        <is>
          <t>VÄRMLANDS LÄN</t>
        </is>
      </c>
      <c r="E2740" t="inlineStr">
        <is>
          <t>KARLSTAD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62924-2019</t>
        </is>
      </c>
      <c r="B2741" s="1" t="n">
        <v>43790</v>
      </c>
      <c r="C2741" s="1" t="n">
        <v>45353</v>
      </c>
      <c r="D2741" t="inlineStr">
        <is>
          <t>VÄRMLANDS LÄN</t>
        </is>
      </c>
      <c r="E2741" t="inlineStr">
        <is>
          <t>ARVIKA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63210-2019</t>
        </is>
      </c>
      <c r="B2742" s="1" t="n">
        <v>43791</v>
      </c>
      <c r="C2742" s="1" t="n">
        <v>45353</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64186-2019</t>
        </is>
      </c>
      <c r="B2743" s="1" t="n">
        <v>43791</v>
      </c>
      <c r="C2743" s="1" t="n">
        <v>45353</v>
      </c>
      <c r="D2743" t="inlineStr">
        <is>
          <t>VÄRMLANDS LÄN</t>
        </is>
      </c>
      <c r="E2743" t="inlineStr">
        <is>
          <t>SUNNE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63258-2019</t>
        </is>
      </c>
      <c r="B2744" s="1" t="n">
        <v>43793</v>
      </c>
      <c r="C2744" s="1" t="n">
        <v>45353</v>
      </c>
      <c r="D2744" t="inlineStr">
        <is>
          <t>VÄRMLANDS LÄN</t>
        </is>
      </c>
      <c r="E2744" t="inlineStr">
        <is>
          <t>SUNNE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63260-2019</t>
        </is>
      </c>
      <c r="B2745" s="1" t="n">
        <v>43793</v>
      </c>
      <c r="C2745" s="1" t="n">
        <v>45353</v>
      </c>
      <c r="D2745" t="inlineStr">
        <is>
          <t>VÄRMLANDS LÄN</t>
        </is>
      </c>
      <c r="E2745" t="inlineStr">
        <is>
          <t>SUNNE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63253-2019</t>
        </is>
      </c>
      <c r="B2746" s="1" t="n">
        <v>43793</v>
      </c>
      <c r="C2746" s="1" t="n">
        <v>45353</v>
      </c>
      <c r="D2746" t="inlineStr">
        <is>
          <t>VÄRMLANDS LÄN</t>
        </is>
      </c>
      <c r="E2746" t="inlineStr">
        <is>
          <t>KARLSTAD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63254-2019</t>
        </is>
      </c>
      <c r="B2747" s="1" t="n">
        <v>43793</v>
      </c>
      <c r="C2747" s="1" t="n">
        <v>45353</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63257-2019</t>
        </is>
      </c>
      <c r="B2748" s="1" t="n">
        <v>43793</v>
      </c>
      <c r="C2748" s="1" t="n">
        <v>45353</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63316-2019</t>
        </is>
      </c>
      <c r="B2749" s="1" t="n">
        <v>43794</v>
      </c>
      <c r="C2749" s="1" t="n">
        <v>45353</v>
      </c>
      <c r="D2749" t="inlineStr">
        <is>
          <t>VÄRMLANDS LÄN</t>
        </is>
      </c>
      <c r="E2749" t="inlineStr">
        <is>
          <t>FORSHAGA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63388-2019</t>
        </is>
      </c>
      <c r="B2750" s="1" t="n">
        <v>43794</v>
      </c>
      <c r="C2750" s="1" t="n">
        <v>45353</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64679-2019</t>
        </is>
      </c>
      <c r="B2751" s="1" t="n">
        <v>43794</v>
      </c>
      <c r="C2751" s="1" t="n">
        <v>45353</v>
      </c>
      <c r="D2751" t="inlineStr">
        <is>
          <t>VÄRMLANDS LÄN</t>
        </is>
      </c>
      <c r="E2751" t="inlineStr">
        <is>
          <t>SÄFFLE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63620-2019</t>
        </is>
      </c>
      <c r="B2752" s="1" t="n">
        <v>43795</v>
      </c>
      <c r="C2752" s="1" t="n">
        <v>45353</v>
      </c>
      <c r="D2752" t="inlineStr">
        <is>
          <t>VÄRMLANDS LÄN</t>
        </is>
      </c>
      <c r="E2752" t="inlineStr">
        <is>
          <t>KIL</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63649-2019</t>
        </is>
      </c>
      <c r="B2753" s="1" t="n">
        <v>43795</v>
      </c>
      <c r="C2753" s="1" t="n">
        <v>45353</v>
      </c>
      <c r="D2753" t="inlineStr">
        <is>
          <t>VÄRMLANDS LÄN</t>
        </is>
      </c>
      <c r="E2753" t="inlineStr">
        <is>
          <t>HAGFORS</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63743-2019</t>
        </is>
      </c>
      <c r="B2754" s="1" t="n">
        <v>43795</v>
      </c>
      <c r="C2754" s="1" t="n">
        <v>45353</v>
      </c>
      <c r="D2754" t="inlineStr">
        <is>
          <t>VÄRMLANDS LÄN</t>
        </is>
      </c>
      <c r="E2754" t="inlineStr">
        <is>
          <t>TORSBY</t>
        </is>
      </c>
      <c r="F2754" t="inlineStr">
        <is>
          <t>Bergvik skog väst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63761-2019</t>
        </is>
      </c>
      <c r="B2755" s="1" t="n">
        <v>43795</v>
      </c>
      <c r="C2755" s="1" t="n">
        <v>45353</v>
      </c>
      <c r="D2755" t="inlineStr">
        <is>
          <t>VÄRMLANDS LÄN</t>
        </is>
      </c>
      <c r="E2755" t="inlineStr">
        <is>
          <t>HAGFORS</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63775-2019</t>
        </is>
      </c>
      <c r="B2756" s="1" t="n">
        <v>43795</v>
      </c>
      <c r="C2756" s="1" t="n">
        <v>45353</v>
      </c>
      <c r="D2756" t="inlineStr">
        <is>
          <t>VÄRMLANDS LÄN</t>
        </is>
      </c>
      <c r="E2756" t="inlineStr">
        <is>
          <t>GRUMS</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63812-2019</t>
        </is>
      </c>
      <c r="B2757" s="1" t="n">
        <v>43795</v>
      </c>
      <c r="C2757" s="1" t="n">
        <v>45353</v>
      </c>
      <c r="D2757" t="inlineStr">
        <is>
          <t>VÄRMLANDS LÄN</t>
        </is>
      </c>
      <c r="E2757" t="inlineStr">
        <is>
          <t>EDA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63698-2019</t>
        </is>
      </c>
      <c r="B2758" s="1" t="n">
        <v>43795</v>
      </c>
      <c r="C2758" s="1" t="n">
        <v>45353</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63560-2019</t>
        </is>
      </c>
      <c r="B2759" s="1" t="n">
        <v>43795</v>
      </c>
      <c r="C2759" s="1" t="n">
        <v>45353</v>
      </c>
      <c r="D2759" t="inlineStr">
        <is>
          <t>VÄRMLANDS LÄN</t>
        </is>
      </c>
      <c r="E2759" t="inlineStr">
        <is>
          <t>MUNKFORS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64912-2019</t>
        </is>
      </c>
      <c r="B2760" s="1" t="n">
        <v>43795</v>
      </c>
      <c r="C2760" s="1" t="n">
        <v>45353</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64886-2019</t>
        </is>
      </c>
      <c r="B2761" s="1" t="n">
        <v>43795</v>
      </c>
      <c r="C2761" s="1" t="n">
        <v>45353</v>
      </c>
      <c r="D2761" t="inlineStr">
        <is>
          <t>VÄRMLANDS LÄN</t>
        </is>
      </c>
      <c r="E2761" t="inlineStr">
        <is>
          <t>ARVIKA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63654-2019</t>
        </is>
      </c>
      <c r="B2762" s="1" t="n">
        <v>43795</v>
      </c>
      <c r="C2762" s="1" t="n">
        <v>45353</v>
      </c>
      <c r="D2762" t="inlineStr">
        <is>
          <t>VÄRMLANDS LÄN</t>
        </is>
      </c>
      <c r="E2762" t="inlineStr">
        <is>
          <t>HAGFORS</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63815-2019</t>
        </is>
      </c>
      <c r="B2763" s="1" t="n">
        <v>43795</v>
      </c>
      <c r="C2763" s="1" t="n">
        <v>45353</v>
      </c>
      <c r="D2763" t="inlineStr">
        <is>
          <t>VÄRMLANDS LÄN</t>
        </is>
      </c>
      <c r="E2763" t="inlineStr">
        <is>
          <t>EDA</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63954-2019</t>
        </is>
      </c>
      <c r="B2764" s="1" t="n">
        <v>43796</v>
      </c>
      <c r="C2764" s="1" t="n">
        <v>45353</v>
      </c>
      <c r="D2764" t="inlineStr">
        <is>
          <t>VÄRMLANDS LÄN</t>
        </is>
      </c>
      <c r="E2764" t="inlineStr">
        <is>
          <t>FORSHAGA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64063-2019</t>
        </is>
      </c>
      <c r="B2765" s="1" t="n">
        <v>43796</v>
      </c>
      <c r="C2765" s="1" t="n">
        <v>45353</v>
      </c>
      <c r="D2765" t="inlineStr">
        <is>
          <t>VÄRMLANDS LÄN</t>
        </is>
      </c>
      <c r="E2765" t="inlineStr">
        <is>
          <t>KRISTINEHAMN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64059-2019</t>
        </is>
      </c>
      <c r="B2766" s="1" t="n">
        <v>43796</v>
      </c>
      <c r="C2766" s="1" t="n">
        <v>45353</v>
      </c>
      <c r="D2766" t="inlineStr">
        <is>
          <t>VÄRMLANDS LÄN</t>
        </is>
      </c>
      <c r="E2766" t="inlineStr">
        <is>
          <t>KRISTINEHAMN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64114-2019</t>
        </is>
      </c>
      <c r="B2767" s="1" t="n">
        <v>43796</v>
      </c>
      <c r="C2767" s="1" t="n">
        <v>45353</v>
      </c>
      <c r="D2767" t="inlineStr">
        <is>
          <t>VÄRMLANDS LÄN</t>
        </is>
      </c>
      <c r="E2767" t="inlineStr">
        <is>
          <t>TORSBY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64207-2019</t>
        </is>
      </c>
      <c r="B2768" s="1" t="n">
        <v>43797</v>
      </c>
      <c r="C2768" s="1" t="n">
        <v>45353</v>
      </c>
      <c r="D2768" t="inlineStr">
        <is>
          <t>VÄRMLANDS LÄN</t>
        </is>
      </c>
      <c r="E2768" t="inlineStr">
        <is>
          <t>KARLSTAD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64342-2019</t>
        </is>
      </c>
      <c r="B2769" s="1" t="n">
        <v>43797</v>
      </c>
      <c r="C2769" s="1" t="n">
        <v>45353</v>
      </c>
      <c r="D2769" t="inlineStr">
        <is>
          <t>VÄRMLANDS LÄN</t>
        </is>
      </c>
      <c r="E2769" t="inlineStr">
        <is>
          <t>FILIPSTAD</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64219-2019</t>
        </is>
      </c>
      <c r="B2770" s="1" t="n">
        <v>43797</v>
      </c>
      <c r="C2770" s="1" t="n">
        <v>45353</v>
      </c>
      <c r="D2770" t="inlineStr">
        <is>
          <t>VÄRMLANDS LÄN</t>
        </is>
      </c>
      <c r="E2770" t="inlineStr">
        <is>
          <t>SÄFFLE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64343-2019</t>
        </is>
      </c>
      <c r="B2771" s="1" t="n">
        <v>43797</v>
      </c>
      <c r="C2771" s="1" t="n">
        <v>45353</v>
      </c>
      <c r="D2771" t="inlineStr">
        <is>
          <t>VÄRMLANDS LÄN</t>
        </is>
      </c>
      <c r="E2771" t="inlineStr">
        <is>
          <t>FILIPSTAD</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64444-2019</t>
        </is>
      </c>
      <c r="B2772" s="1" t="n">
        <v>43797</v>
      </c>
      <c r="C2772" s="1" t="n">
        <v>45353</v>
      </c>
      <c r="D2772" t="inlineStr">
        <is>
          <t>VÄRMLANDS LÄN</t>
        </is>
      </c>
      <c r="E2772" t="inlineStr">
        <is>
          <t>TORSBY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64353-2019</t>
        </is>
      </c>
      <c r="B2773" s="1" t="n">
        <v>43797</v>
      </c>
      <c r="C2773" s="1" t="n">
        <v>45353</v>
      </c>
      <c r="D2773" t="inlineStr">
        <is>
          <t>VÄRMLANDS LÄN</t>
        </is>
      </c>
      <c r="E2773" t="inlineStr">
        <is>
          <t>FILIPSTAD</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64238-2019</t>
        </is>
      </c>
      <c r="B2774" s="1" t="n">
        <v>43797</v>
      </c>
      <c r="C2774" s="1" t="n">
        <v>45353</v>
      </c>
      <c r="D2774" t="inlineStr">
        <is>
          <t>VÄRMLANDS LÄN</t>
        </is>
      </c>
      <c r="E2774" t="inlineStr">
        <is>
          <t>MUNKFORS</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65187-2019</t>
        </is>
      </c>
      <c r="B2775" s="1" t="n">
        <v>43797</v>
      </c>
      <c r="C2775" s="1" t="n">
        <v>45353</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65243-2019</t>
        </is>
      </c>
      <c r="B2776" s="1" t="n">
        <v>43797</v>
      </c>
      <c r="C2776" s="1" t="n">
        <v>45353</v>
      </c>
      <c r="D2776" t="inlineStr">
        <is>
          <t>VÄRMLANDS LÄN</t>
        </is>
      </c>
      <c r="E2776" t="inlineStr">
        <is>
          <t>TORSBY</t>
        </is>
      </c>
      <c r="F2776" t="inlineStr">
        <is>
          <t>Övriga statliga verk och myndigheter</t>
        </is>
      </c>
      <c r="G2776" t="n">
        <v>20.3</v>
      </c>
      <c r="H2776" t="n">
        <v>0</v>
      </c>
      <c r="I2776" t="n">
        <v>0</v>
      </c>
      <c r="J2776" t="n">
        <v>0</v>
      </c>
      <c r="K2776" t="n">
        <v>0</v>
      </c>
      <c r="L2776" t="n">
        <v>0</v>
      </c>
      <c r="M2776" t="n">
        <v>0</v>
      </c>
      <c r="N2776" t="n">
        <v>0</v>
      </c>
      <c r="O2776" t="n">
        <v>0</v>
      </c>
      <c r="P2776" t="n">
        <v>0</v>
      </c>
      <c r="Q2776" t="n">
        <v>0</v>
      </c>
      <c r="R2776" s="2" t="inlineStr"/>
    </row>
    <row r="2777" ht="15" customHeight="1">
      <c r="A2777" t="inlineStr">
        <is>
          <t>A 64491-2019</t>
        </is>
      </c>
      <c r="B2777" s="1" t="n">
        <v>43798</v>
      </c>
      <c r="C2777" s="1" t="n">
        <v>45353</v>
      </c>
      <c r="D2777" t="inlineStr">
        <is>
          <t>VÄRMLANDS LÄN</t>
        </is>
      </c>
      <c r="E2777" t="inlineStr">
        <is>
          <t>STORFORS</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64510-2019</t>
        </is>
      </c>
      <c r="B2778" s="1" t="n">
        <v>43798</v>
      </c>
      <c r="C2778" s="1" t="n">
        <v>45353</v>
      </c>
      <c r="D2778" t="inlineStr">
        <is>
          <t>VÄRMLANDS LÄN</t>
        </is>
      </c>
      <c r="E2778" t="inlineStr">
        <is>
          <t>ARVIKA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64609-2019</t>
        </is>
      </c>
      <c r="B2779" s="1" t="n">
        <v>43798</v>
      </c>
      <c r="C2779" s="1" t="n">
        <v>45353</v>
      </c>
      <c r="D2779" t="inlineStr">
        <is>
          <t>VÄRMLANDS LÄN</t>
        </is>
      </c>
      <c r="E2779" t="inlineStr">
        <is>
          <t>ARVIKA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64548-2019</t>
        </is>
      </c>
      <c r="B2780" s="1" t="n">
        <v>43798</v>
      </c>
      <c r="C2780" s="1" t="n">
        <v>45353</v>
      </c>
      <c r="D2780" t="inlineStr">
        <is>
          <t>VÄRMLANDS LÄN</t>
        </is>
      </c>
      <c r="E2780" t="inlineStr">
        <is>
          <t>SÄFFLE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64519-2019</t>
        </is>
      </c>
      <c r="B2781" s="1" t="n">
        <v>43798</v>
      </c>
      <c r="C2781" s="1" t="n">
        <v>45353</v>
      </c>
      <c r="D2781" t="inlineStr">
        <is>
          <t>VÄRMLANDS LÄN</t>
        </is>
      </c>
      <c r="E2781" t="inlineStr">
        <is>
          <t>ARVIKA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65901-2019</t>
        </is>
      </c>
      <c r="B2782" s="1" t="n">
        <v>43798</v>
      </c>
      <c r="C2782" s="1" t="n">
        <v>45353</v>
      </c>
      <c r="D2782" t="inlineStr">
        <is>
          <t>VÄRMLANDS LÄN</t>
        </is>
      </c>
      <c r="E2782" t="inlineStr">
        <is>
          <t>KRISTINEHAMN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64803-2019</t>
        </is>
      </c>
      <c r="B2783" s="1" t="n">
        <v>43801</v>
      </c>
      <c r="C2783" s="1" t="n">
        <v>45353</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64823-2019</t>
        </is>
      </c>
      <c r="B2784" s="1" t="n">
        <v>43801</v>
      </c>
      <c r="C2784" s="1" t="n">
        <v>45353</v>
      </c>
      <c r="D2784" t="inlineStr">
        <is>
          <t>VÄRMLANDS LÄN</t>
        </is>
      </c>
      <c r="E2784" t="inlineStr">
        <is>
          <t>KRISTINEHAMN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64801-2019</t>
        </is>
      </c>
      <c r="B2785" s="1" t="n">
        <v>43801</v>
      </c>
      <c r="C2785" s="1" t="n">
        <v>45353</v>
      </c>
      <c r="D2785" t="inlineStr">
        <is>
          <t>VÄRMLANDS LÄN</t>
        </is>
      </c>
      <c r="E2785" t="inlineStr">
        <is>
          <t>KRISTINEHAMN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64813-2019</t>
        </is>
      </c>
      <c r="B2786" s="1" t="n">
        <v>43801</v>
      </c>
      <c r="C2786" s="1" t="n">
        <v>45353</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64796-2019</t>
        </is>
      </c>
      <c r="B2787" s="1" t="n">
        <v>43801</v>
      </c>
      <c r="C2787" s="1" t="n">
        <v>45353</v>
      </c>
      <c r="D2787" t="inlineStr">
        <is>
          <t>VÄRMLANDS LÄN</t>
        </is>
      </c>
      <c r="E2787" t="inlineStr">
        <is>
          <t>KARLSTAD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65005-2019</t>
        </is>
      </c>
      <c r="B2788" s="1" t="n">
        <v>43801</v>
      </c>
      <c r="C2788" s="1" t="n">
        <v>45353</v>
      </c>
      <c r="D2788" t="inlineStr">
        <is>
          <t>VÄRMLANDS LÄN</t>
        </is>
      </c>
      <c r="E2788" t="inlineStr">
        <is>
          <t>HAGFORS</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64814-2019</t>
        </is>
      </c>
      <c r="B2789" s="1" t="n">
        <v>43801</v>
      </c>
      <c r="C2789" s="1" t="n">
        <v>45353</v>
      </c>
      <c r="D2789" t="inlineStr">
        <is>
          <t>VÄRMLANDS LÄN</t>
        </is>
      </c>
      <c r="E2789" t="inlineStr">
        <is>
          <t>SUNNE</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65089-2019</t>
        </is>
      </c>
      <c r="B2790" s="1" t="n">
        <v>43802</v>
      </c>
      <c r="C2790" s="1" t="n">
        <v>45353</v>
      </c>
      <c r="D2790" t="inlineStr">
        <is>
          <t>VÄRMLANDS LÄN</t>
        </is>
      </c>
      <c r="E2790" t="inlineStr">
        <is>
          <t>FILIPSTAD</t>
        </is>
      </c>
      <c r="F2790" t="inlineStr">
        <is>
          <t>Bergvik skog väst AB</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65132-2019</t>
        </is>
      </c>
      <c r="B2791" s="1" t="n">
        <v>43802</v>
      </c>
      <c r="C2791" s="1" t="n">
        <v>45353</v>
      </c>
      <c r="D2791" t="inlineStr">
        <is>
          <t>VÄRMLANDS LÄN</t>
        </is>
      </c>
      <c r="E2791" t="inlineStr">
        <is>
          <t>TORSBY</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65072-2019</t>
        </is>
      </c>
      <c r="B2792" s="1" t="n">
        <v>43802</v>
      </c>
      <c r="C2792" s="1" t="n">
        <v>45353</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65114-2019</t>
        </is>
      </c>
      <c r="B2793" s="1" t="n">
        <v>43802</v>
      </c>
      <c r="C2793" s="1" t="n">
        <v>45353</v>
      </c>
      <c r="D2793" t="inlineStr">
        <is>
          <t>VÄRMLANDS LÄN</t>
        </is>
      </c>
      <c r="E2793" t="inlineStr">
        <is>
          <t>KRISTINEHAMN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65120-2019</t>
        </is>
      </c>
      <c r="B2794" s="1" t="n">
        <v>43802</v>
      </c>
      <c r="C2794" s="1" t="n">
        <v>45353</v>
      </c>
      <c r="D2794" t="inlineStr">
        <is>
          <t>VÄRMLANDS LÄN</t>
        </is>
      </c>
      <c r="E2794" t="inlineStr">
        <is>
          <t>KRISTINEHAMN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65156-2019</t>
        </is>
      </c>
      <c r="B2795" s="1" t="n">
        <v>43802</v>
      </c>
      <c r="C2795" s="1" t="n">
        <v>45353</v>
      </c>
      <c r="D2795" t="inlineStr">
        <is>
          <t>VÄRMLANDS LÄN</t>
        </is>
      </c>
      <c r="E2795" t="inlineStr">
        <is>
          <t>SUNNE</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65205-2019</t>
        </is>
      </c>
      <c r="B2796" s="1" t="n">
        <v>43802</v>
      </c>
      <c r="C2796" s="1" t="n">
        <v>45353</v>
      </c>
      <c r="D2796" t="inlineStr">
        <is>
          <t>VÄRMLANDS LÄN</t>
        </is>
      </c>
      <c r="E2796" t="inlineStr">
        <is>
          <t>ARVIKA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66267-2019</t>
        </is>
      </c>
      <c r="B2797" s="1" t="n">
        <v>43802</v>
      </c>
      <c r="C2797" s="1" t="n">
        <v>45353</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66439-2019</t>
        </is>
      </c>
      <c r="B2798" s="1" t="n">
        <v>43802</v>
      </c>
      <c r="C2798" s="1" t="n">
        <v>45353</v>
      </c>
      <c r="D2798" t="inlineStr">
        <is>
          <t>VÄRMLANDS LÄN</t>
        </is>
      </c>
      <c r="E2798" t="inlineStr">
        <is>
          <t>FORSHAGA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65076-2019</t>
        </is>
      </c>
      <c r="B2799" s="1" t="n">
        <v>43802</v>
      </c>
      <c r="C2799" s="1" t="n">
        <v>45353</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65302-2019</t>
        </is>
      </c>
      <c r="B2800" s="1" t="n">
        <v>43802</v>
      </c>
      <c r="C2800" s="1" t="n">
        <v>45353</v>
      </c>
      <c r="D2800" t="inlineStr">
        <is>
          <t>VÄRMLANDS LÄN</t>
        </is>
      </c>
      <c r="E2800" t="inlineStr">
        <is>
          <t>MUNKFORS</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65078-2019</t>
        </is>
      </c>
      <c r="B2801" s="1" t="n">
        <v>43802</v>
      </c>
      <c r="C2801" s="1" t="n">
        <v>45353</v>
      </c>
      <c r="D2801" t="inlineStr">
        <is>
          <t>VÄRMLANDS LÄN</t>
        </is>
      </c>
      <c r="E2801" t="inlineStr">
        <is>
          <t>FILIPSTAD</t>
        </is>
      </c>
      <c r="F2801" t="inlineStr">
        <is>
          <t>Bergvik skog väst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65125-2019</t>
        </is>
      </c>
      <c r="B2802" s="1" t="n">
        <v>43802</v>
      </c>
      <c r="C2802" s="1" t="n">
        <v>45353</v>
      </c>
      <c r="D2802" t="inlineStr">
        <is>
          <t>VÄRMLANDS LÄN</t>
        </is>
      </c>
      <c r="E2802" t="inlineStr">
        <is>
          <t>KRISTINEHAMN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65158-2019</t>
        </is>
      </c>
      <c r="B2803" s="1" t="n">
        <v>43802</v>
      </c>
      <c r="C2803" s="1" t="n">
        <v>45353</v>
      </c>
      <c r="D2803" t="inlineStr">
        <is>
          <t>VÄRMLANDS LÄN</t>
        </is>
      </c>
      <c r="E2803" t="inlineStr">
        <is>
          <t>FORSHAGA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65235-2019</t>
        </is>
      </c>
      <c r="B2804" s="1" t="n">
        <v>43802</v>
      </c>
      <c r="C2804" s="1" t="n">
        <v>45353</v>
      </c>
      <c r="D2804" t="inlineStr">
        <is>
          <t>VÄRMLANDS LÄN</t>
        </is>
      </c>
      <c r="E2804" t="inlineStr">
        <is>
          <t>FILIPSTAD</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66438-2019</t>
        </is>
      </c>
      <c r="B2805" s="1" t="n">
        <v>43802</v>
      </c>
      <c r="C2805" s="1" t="n">
        <v>45353</v>
      </c>
      <c r="D2805" t="inlineStr">
        <is>
          <t>VÄRMLANDS LÄN</t>
        </is>
      </c>
      <c r="E2805" t="inlineStr">
        <is>
          <t>FORSHAGA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65402-2019</t>
        </is>
      </c>
      <c r="B2806" s="1" t="n">
        <v>43803</v>
      </c>
      <c r="C2806" s="1" t="n">
        <v>45353</v>
      </c>
      <c r="D2806" t="inlineStr">
        <is>
          <t>VÄRMLANDS LÄN</t>
        </is>
      </c>
      <c r="E2806" t="inlineStr">
        <is>
          <t>SÄFFLE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65345-2019</t>
        </is>
      </c>
      <c r="B2807" s="1" t="n">
        <v>43803</v>
      </c>
      <c r="C2807" s="1" t="n">
        <v>45353</v>
      </c>
      <c r="D2807" t="inlineStr">
        <is>
          <t>VÄRMLANDS LÄN</t>
        </is>
      </c>
      <c r="E2807" t="inlineStr">
        <is>
          <t>FILIPSTAD</t>
        </is>
      </c>
      <c r="F2807" t="inlineStr">
        <is>
          <t>Bergvik skog väst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65366-2019</t>
        </is>
      </c>
      <c r="B2808" s="1" t="n">
        <v>43803</v>
      </c>
      <c r="C2808" s="1" t="n">
        <v>45353</v>
      </c>
      <c r="D2808" t="inlineStr">
        <is>
          <t>VÄRMLANDS LÄN</t>
        </is>
      </c>
      <c r="E2808" t="inlineStr">
        <is>
          <t>FILIPSTAD</t>
        </is>
      </c>
      <c r="F2808" t="inlineStr">
        <is>
          <t>Bergvik skog väst AB</t>
        </is>
      </c>
      <c r="G2808" t="n">
        <v>40.5</v>
      </c>
      <c r="H2808" t="n">
        <v>0</v>
      </c>
      <c r="I2808" t="n">
        <v>0</v>
      </c>
      <c r="J2808" t="n">
        <v>0</v>
      </c>
      <c r="K2808" t="n">
        <v>0</v>
      </c>
      <c r="L2808" t="n">
        <v>0</v>
      </c>
      <c r="M2808" t="n">
        <v>0</v>
      </c>
      <c r="N2808" t="n">
        <v>0</v>
      </c>
      <c r="O2808" t="n">
        <v>0</v>
      </c>
      <c r="P2808" t="n">
        <v>0</v>
      </c>
      <c r="Q2808" t="n">
        <v>0</v>
      </c>
      <c r="R2808" s="2" t="inlineStr"/>
    </row>
    <row r="2809" ht="15" customHeight="1">
      <c r="A2809" t="inlineStr">
        <is>
          <t>A 65465-2019</t>
        </is>
      </c>
      <c r="B2809" s="1" t="n">
        <v>43803</v>
      </c>
      <c r="C2809" s="1" t="n">
        <v>45353</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66785-2019</t>
        </is>
      </c>
      <c r="B2810" s="1" t="n">
        <v>43804</v>
      </c>
      <c r="C2810" s="1" t="n">
        <v>45353</v>
      </c>
      <c r="D2810" t="inlineStr">
        <is>
          <t>VÄRMLANDS LÄN</t>
        </is>
      </c>
      <c r="E2810" t="inlineStr">
        <is>
          <t>HAGFORS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65609-2019</t>
        </is>
      </c>
      <c r="B2811" s="1" t="n">
        <v>43804</v>
      </c>
      <c r="C2811" s="1" t="n">
        <v>45353</v>
      </c>
      <c r="D2811" t="inlineStr">
        <is>
          <t>VÄRMLANDS LÄN</t>
        </is>
      </c>
      <c r="E2811" t="inlineStr">
        <is>
          <t>ÅRJÄNG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66794-2019</t>
        </is>
      </c>
      <c r="B2812" s="1" t="n">
        <v>43804</v>
      </c>
      <c r="C2812" s="1" t="n">
        <v>45353</v>
      </c>
      <c r="D2812" t="inlineStr">
        <is>
          <t>VÄRMLANDS LÄN</t>
        </is>
      </c>
      <c r="E2812" t="inlineStr">
        <is>
          <t>HAGFORS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65914-2019</t>
        </is>
      </c>
      <c r="B2813" s="1" t="n">
        <v>43805</v>
      </c>
      <c r="C2813" s="1" t="n">
        <v>45353</v>
      </c>
      <c r="D2813" t="inlineStr">
        <is>
          <t>VÄRMLANDS LÄN</t>
        </is>
      </c>
      <c r="E2813" t="inlineStr">
        <is>
          <t>TORSBY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65839-2019</t>
        </is>
      </c>
      <c r="B2814" s="1" t="n">
        <v>43805</v>
      </c>
      <c r="C2814" s="1" t="n">
        <v>45353</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65788-2019</t>
        </is>
      </c>
      <c r="B2815" s="1" t="n">
        <v>43805</v>
      </c>
      <c r="C2815" s="1" t="n">
        <v>45353</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65856-2019</t>
        </is>
      </c>
      <c r="B2816" s="1" t="n">
        <v>43805</v>
      </c>
      <c r="C2816" s="1" t="n">
        <v>45353</v>
      </c>
      <c r="D2816" t="inlineStr">
        <is>
          <t>VÄRMLANDS LÄN</t>
        </is>
      </c>
      <c r="E2816" t="inlineStr">
        <is>
          <t>FORSHAGA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67033-2019</t>
        </is>
      </c>
      <c r="B2817" s="1" t="n">
        <v>43805</v>
      </c>
      <c r="C2817" s="1" t="n">
        <v>45353</v>
      </c>
      <c r="D2817" t="inlineStr">
        <is>
          <t>VÄRMLANDS LÄN</t>
        </is>
      </c>
      <c r="E2817" t="inlineStr">
        <is>
          <t>SÄFFLE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65880-2019</t>
        </is>
      </c>
      <c r="B2818" s="1" t="n">
        <v>43805</v>
      </c>
      <c r="C2818" s="1" t="n">
        <v>45353</v>
      </c>
      <c r="D2818" t="inlineStr">
        <is>
          <t>VÄRMLANDS LÄN</t>
        </is>
      </c>
      <c r="E2818" t="inlineStr">
        <is>
          <t>ARVIKA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65789-2019</t>
        </is>
      </c>
      <c r="B2819" s="1" t="n">
        <v>43805</v>
      </c>
      <c r="C2819" s="1" t="n">
        <v>45353</v>
      </c>
      <c r="D2819" t="inlineStr">
        <is>
          <t>VÄRMLANDS LÄN</t>
        </is>
      </c>
      <c r="E2819" t="inlineStr">
        <is>
          <t>KRISTINEHAMN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66064-2019</t>
        </is>
      </c>
      <c r="B2820" s="1" t="n">
        <v>43806</v>
      </c>
      <c r="C2820" s="1" t="n">
        <v>45353</v>
      </c>
      <c r="D2820" t="inlineStr">
        <is>
          <t>VÄRMLANDS LÄN</t>
        </is>
      </c>
      <c r="E2820" t="inlineStr">
        <is>
          <t>KRISTINEHAMN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66280-2019</t>
        </is>
      </c>
      <c r="B2821" s="1" t="n">
        <v>43808</v>
      </c>
      <c r="C2821" s="1" t="n">
        <v>45353</v>
      </c>
      <c r="D2821" t="inlineStr">
        <is>
          <t>VÄRMLANDS LÄN</t>
        </is>
      </c>
      <c r="E2821" t="inlineStr">
        <is>
          <t>SUNNE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67041-2019</t>
        </is>
      </c>
      <c r="B2822" s="1" t="n">
        <v>43808</v>
      </c>
      <c r="C2822" s="1" t="n">
        <v>45353</v>
      </c>
      <c r="D2822" t="inlineStr">
        <is>
          <t>VÄRMLANDS LÄN</t>
        </is>
      </c>
      <c r="E2822" t="inlineStr">
        <is>
          <t>SÄFFLE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67101-2019</t>
        </is>
      </c>
      <c r="B2823" s="1" t="n">
        <v>43808</v>
      </c>
      <c r="C2823" s="1" t="n">
        <v>45353</v>
      </c>
      <c r="D2823" t="inlineStr">
        <is>
          <t>VÄRMLANDS LÄN</t>
        </is>
      </c>
      <c r="E2823" t="inlineStr">
        <is>
          <t>SÄFFLE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66115-2019</t>
        </is>
      </c>
      <c r="B2824" s="1" t="n">
        <v>43808</v>
      </c>
      <c r="C2824" s="1" t="n">
        <v>45353</v>
      </c>
      <c r="D2824" t="inlineStr">
        <is>
          <t>VÄRMLANDS LÄN</t>
        </is>
      </c>
      <c r="E2824" t="inlineStr">
        <is>
          <t>HAGFORS</t>
        </is>
      </c>
      <c r="F2824" t="inlineStr">
        <is>
          <t>Bergvik skog väst AB</t>
        </is>
      </c>
      <c r="G2824" t="n">
        <v>13.7</v>
      </c>
      <c r="H2824" t="n">
        <v>0</v>
      </c>
      <c r="I2824" t="n">
        <v>0</v>
      </c>
      <c r="J2824" t="n">
        <v>0</v>
      </c>
      <c r="K2824" t="n">
        <v>0</v>
      </c>
      <c r="L2824" t="n">
        <v>0</v>
      </c>
      <c r="M2824" t="n">
        <v>0</v>
      </c>
      <c r="N2824" t="n">
        <v>0</v>
      </c>
      <c r="O2824" t="n">
        <v>0</v>
      </c>
      <c r="P2824" t="n">
        <v>0</v>
      </c>
      <c r="Q2824" t="n">
        <v>0</v>
      </c>
      <c r="R2824" s="2" t="inlineStr"/>
    </row>
    <row r="2825" ht="15" customHeight="1">
      <c r="A2825" t="inlineStr">
        <is>
          <t>A 66166-2019</t>
        </is>
      </c>
      <c r="B2825" s="1" t="n">
        <v>43808</v>
      </c>
      <c r="C2825" s="1" t="n">
        <v>45353</v>
      </c>
      <c r="D2825" t="inlineStr">
        <is>
          <t>VÄRMLANDS LÄN</t>
        </is>
      </c>
      <c r="E2825" t="inlineStr">
        <is>
          <t>STORFORS</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67089-2019</t>
        </is>
      </c>
      <c r="B2826" s="1" t="n">
        <v>43808</v>
      </c>
      <c r="C2826" s="1" t="n">
        <v>45353</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67087-2019</t>
        </is>
      </c>
      <c r="B2827" s="1" t="n">
        <v>43808</v>
      </c>
      <c r="C2827" s="1" t="n">
        <v>45353</v>
      </c>
      <c r="D2827" t="inlineStr">
        <is>
          <t>VÄRMLANDS LÄN</t>
        </is>
      </c>
      <c r="E2827" t="inlineStr">
        <is>
          <t>SÄFFLE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66352-2019</t>
        </is>
      </c>
      <c r="B2828" s="1" t="n">
        <v>43808</v>
      </c>
      <c r="C2828" s="1" t="n">
        <v>45353</v>
      </c>
      <c r="D2828" t="inlineStr">
        <is>
          <t>VÄRMLANDS LÄN</t>
        </is>
      </c>
      <c r="E2828" t="inlineStr">
        <is>
          <t>ARVIKA</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67095-2019</t>
        </is>
      </c>
      <c r="B2829" s="1" t="n">
        <v>43808</v>
      </c>
      <c r="C2829" s="1" t="n">
        <v>45353</v>
      </c>
      <c r="D2829" t="inlineStr">
        <is>
          <t>VÄRMLANDS LÄN</t>
        </is>
      </c>
      <c r="E2829" t="inlineStr">
        <is>
          <t>SÄFFLE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67527-2019</t>
        </is>
      </c>
      <c r="B2830" s="1" t="n">
        <v>43808</v>
      </c>
      <c r="C2830" s="1" t="n">
        <v>45353</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67141-2019</t>
        </is>
      </c>
      <c r="B2831" s="1" t="n">
        <v>43808</v>
      </c>
      <c r="C2831" s="1" t="n">
        <v>45353</v>
      </c>
      <c r="D2831" t="inlineStr">
        <is>
          <t>VÄRMLANDS LÄN</t>
        </is>
      </c>
      <c r="E2831" t="inlineStr">
        <is>
          <t>SÄFFLE</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66690-2019</t>
        </is>
      </c>
      <c r="B2832" s="1" t="n">
        <v>43809</v>
      </c>
      <c r="C2832" s="1" t="n">
        <v>45353</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66689-2019</t>
        </is>
      </c>
      <c r="B2833" s="1" t="n">
        <v>43809</v>
      </c>
      <c r="C2833" s="1" t="n">
        <v>45353</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67642-2019</t>
        </is>
      </c>
      <c r="B2834" s="1" t="n">
        <v>43809</v>
      </c>
      <c r="C2834" s="1" t="n">
        <v>45353</v>
      </c>
      <c r="D2834" t="inlineStr">
        <is>
          <t>VÄRMLANDS LÄN</t>
        </is>
      </c>
      <c r="E2834" t="inlineStr">
        <is>
          <t>KARLSTAD</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67686-2019</t>
        </is>
      </c>
      <c r="B2835" s="1" t="n">
        <v>43809</v>
      </c>
      <c r="C2835" s="1" t="n">
        <v>45353</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66688-2019</t>
        </is>
      </c>
      <c r="B2836" s="1" t="n">
        <v>43809</v>
      </c>
      <c r="C2836" s="1" t="n">
        <v>45353</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67690-2019</t>
        </is>
      </c>
      <c r="B2837" s="1" t="n">
        <v>43809</v>
      </c>
      <c r="C2837" s="1" t="n">
        <v>45353</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66749-2019</t>
        </is>
      </c>
      <c r="B2838" s="1" t="n">
        <v>43810</v>
      </c>
      <c r="C2838" s="1" t="n">
        <v>45353</v>
      </c>
      <c r="D2838" t="inlineStr">
        <is>
          <t>VÄRMLANDS LÄN</t>
        </is>
      </c>
      <c r="E2838" t="inlineStr">
        <is>
          <t>EDA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66818-2019</t>
        </is>
      </c>
      <c r="B2839" s="1" t="n">
        <v>43810</v>
      </c>
      <c r="C2839" s="1" t="n">
        <v>45353</v>
      </c>
      <c r="D2839" t="inlineStr">
        <is>
          <t>VÄRMLANDS LÄN</t>
        </is>
      </c>
      <c r="E2839" t="inlineStr">
        <is>
          <t>ARVIKA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66877-2019</t>
        </is>
      </c>
      <c r="B2840" s="1" t="n">
        <v>43810</v>
      </c>
      <c r="C2840" s="1" t="n">
        <v>45353</v>
      </c>
      <c r="D2840" t="inlineStr">
        <is>
          <t>VÄRMLANDS LÄN</t>
        </is>
      </c>
      <c r="E2840" t="inlineStr">
        <is>
          <t>FILIPSTAD</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67671-2019</t>
        </is>
      </c>
      <c r="B2841" s="1" t="n">
        <v>43810</v>
      </c>
      <c r="C2841" s="1" t="n">
        <v>45353</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67763-2019</t>
        </is>
      </c>
      <c r="B2842" s="1" t="n">
        <v>43810</v>
      </c>
      <c r="C2842" s="1" t="n">
        <v>45353</v>
      </c>
      <c r="D2842" t="inlineStr">
        <is>
          <t>VÄRMLANDS LÄN</t>
        </is>
      </c>
      <c r="E2842" t="inlineStr">
        <is>
          <t>SUNNE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66946-2019</t>
        </is>
      </c>
      <c r="B2843" s="1" t="n">
        <v>43810</v>
      </c>
      <c r="C2843" s="1" t="n">
        <v>45353</v>
      </c>
      <c r="D2843" t="inlineStr">
        <is>
          <t>VÄRMLANDS LÄN</t>
        </is>
      </c>
      <c r="E2843" t="inlineStr">
        <is>
          <t>KARLSTAD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67091-2019</t>
        </is>
      </c>
      <c r="B2844" s="1" t="n">
        <v>43811</v>
      </c>
      <c r="C2844" s="1" t="n">
        <v>45353</v>
      </c>
      <c r="D2844" t="inlineStr">
        <is>
          <t>VÄRMLANDS LÄN</t>
        </is>
      </c>
      <c r="E2844" t="inlineStr">
        <is>
          <t>EDA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67124-2019</t>
        </is>
      </c>
      <c r="B2845" s="1" t="n">
        <v>43811</v>
      </c>
      <c r="C2845" s="1" t="n">
        <v>45353</v>
      </c>
      <c r="D2845" t="inlineStr">
        <is>
          <t>VÄRMLANDS LÄN</t>
        </is>
      </c>
      <c r="E2845" t="inlineStr">
        <is>
          <t>EDA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67045-2019</t>
        </is>
      </c>
      <c r="B2846" s="1" t="n">
        <v>43811</v>
      </c>
      <c r="C2846" s="1" t="n">
        <v>45353</v>
      </c>
      <c r="D2846" t="inlineStr">
        <is>
          <t>VÄRMLANDS LÄN</t>
        </is>
      </c>
      <c r="E2846" t="inlineStr">
        <is>
          <t>EDA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67062-2019</t>
        </is>
      </c>
      <c r="B2847" s="1" t="n">
        <v>43811</v>
      </c>
      <c r="C2847" s="1" t="n">
        <v>45353</v>
      </c>
      <c r="D2847" t="inlineStr">
        <is>
          <t>VÄRMLANDS LÄN</t>
        </is>
      </c>
      <c r="E2847" t="inlineStr">
        <is>
          <t>EDA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67134-2019</t>
        </is>
      </c>
      <c r="B2848" s="1" t="n">
        <v>43811</v>
      </c>
      <c r="C2848" s="1" t="n">
        <v>45353</v>
      </c>
      <c r="D2848" t="inlineStr">
        <is>
          <t>VÄRMLANDS LÄN</t>
        </is>
      </c>
      <c r="E2848" t="inlineStr">
        <is>
          <t>ARVIKA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67176-2019</t>
        </is>
      </c>
      <c r="B2849" s="1" t="n">
        <v>43811</v>
      </c>
      <c r="C2849" s="1" t="n">
        <v>45353</v>
      </c>
      <c r="D2849" t="inlineStr">
        <is>
          <t>VÄRMLANDS LÄN</t>
        </is>
      </c>
      <c r="E2849" t="inlineStr">
        <is>
          <t>SUNNE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67947-2019</t>
        </is>
      </c>
      <c r="B2850" s="1" t="n">
        <v>43811</v>
      </c>
      <c r="C2850" s="1" t="n">
        <v>45353</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67258-2019</t>
        </is>
      </c>
      <c r="B2851" s="1" t="n">
        <v>43812</v>
      </c>
      <c r="C2851" s="1" t="n">
        <v>45353</v>
      </c>
      <c r="D2851" t="inlineStr">
        <is>
          <t>VÄRMLANDS LÄN</t>
        </is>
      </c>
      <c r="E2851" t="inlineStr">
        <is>
          <t>KARLSTAD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67583-2019</t>
        </is>
      </c>
      <c r="B2852" s="1" t="n">
        <v>43815</v>
      </c>
      <c r="C2852" s="1" t="n">
        <v>45353</v>
      </c>
      <c r="D2852" t="inlineStr">
        <is>
          <t>VÄRMLANDS LÄN</t>
        </is>
      </c>
      <c r="E2852" t="inlineStr">
        <is>
          <t>EDA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67670-2019</t>
        </is>
      </c>
      <c r="B2853" s="1" t="n">
        <v>43815</v>
      </c>
      <c r="C2853" s="1" t="n">
        <v>45353</v>
      </c>
      <c r="D2853" t="inlineStr">
        <is>
          <t>VÄRMLANDS LÄN</t>
        </is>
      </c>
      <c r="E2853" t="inlineStr">
        <is>
          <t>SÄFFLE</t>
        </is>
      </c>
      <c r="F2853" t="inlineStr">
        <is>
          <t>Kyrkan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67728-2019</t>
        </is>
      </c>
      <c r="B2854" s="1" t="n">
        <v>43815</v>
      </c>
      <c r="C2854" s="1" t="n">
        <v>45353</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68786-2019</t>
        </is>
      </c>
      <c r="B2855" s="1" t="n">
        <v>43815</v>
      </c>
      <c r="C2855" s="1" t="n">
        <v>45353</v>
      </c>
      <c r="D2855" t="inlineStr">
        <is>
          <t>VÄRMLANDS LÄN</t>
        </is>
      </c>
      <c r="E2855" t="inlineStr">
        <is>
          <t>EDA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68960-2019</t>
        </is>
      </c>
      <c r="B2856" s="1" t="n">
        <v>43815</v>
      </c>
      <c r="C2856" s="1" t="n">
        <v>45353</v>
      </c>
      <c r="D2856" t="inlineStr">
        <is>
          <t>VÄRMLANDS LÄN</t>
        </is>
      </c>
      <c r="E2856" t="inlineStr">
        <is>
          <t>KARLSTAD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68795-2019</t>
        </is>
      </c>
      <c r="B2857" s="1" t="n">
        <v>43815</v>
      </c>
      <c r="C2857" s="1" t="n">
        <v>45353</v>
      </c>
      <c r="D2857" t="inlineStr">
        <is>
          <t>VÄRMLANDS LÄN</t>
        </is>
      </c>
      <c r="E2857" t="inlineStr">
        <is>
          <t>ÅRJÄNG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67700-2019</t>
        </is>
      </c>
      <c r="B2858" s="1" t="n">
        <v>43815</v>
      </c>
      <c r="C2858" s="1" t="n">
        <v>45353</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67873-2019</t>
        </is>
      </c>
      <c r="B2859" s="1" t="n">
        <v>43816</v>
      </c>
      <c r="C2859" s="1" t="n">
        <v>45353</v>
      </c>
      <c r="D2859" t="inlineStr">
        <is>
          <t>VÄRMLANDS LÄN</t>
        </is>
      </c>
      <c r="E2859" t="inlineStr">
        <is>
          <t>HAGFORS</t>
        </is>
      </c>
      <c r="F2859" t="inlineStr">
        <is>
          <t>Bergvik skog väst AB</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67904-2019</t>
        </is>
      </c>
      <c r="B2860" s="1" t="n">
        <v>43816</v>
      </c>
      <c r="C2860" s="1" t="n">
        <v>45353</v>
      </c>
      <c r="D2860" t="inlineStr">
        <is>
          <t>VÄRMLANDS LÄN</t>
        </is>
      </c>
      <c r="E2860" t="inlineStr">
        <is>
          <t>FILIPSTAD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68056-2019</t>
        </is>
      </c>
      <c r="B2861" s="1" t="n">
        <v>43816</v>
      </c>
      <c r="C2861" s="1" t="n">
        <v>45353</v>
      </c>
      <c r="D2861" t="inlineStr">
        <is>
          <t>VÄRMLANDS LÄN</t>
        </is>
      </c>
      <c r="E2861" t="inlineStr">
        <is>
          <t>ARVIKA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67903-2019</t>
        </is>
      </c>
      <c r="B2862" s="1" t="n">
        <v>43816</v>
      </c>
      <c r="C2862" s="1" t="n">
        <v>45353</v>
      </c>
      <c r="D2862" t="inlineStr">
        <is>
          <t>VÄRMLANDS LÄN</t>
        </is>
      </c>
      <c r="E2862" t="inlineStr">
        <is>
          <t>ARVIKA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68059-2019</t>
        </is>
      </c>
      <c r="B2863" s="1" t="n">
        <v>43816</v>
      </c>
      <c r="C2863" s="1" t="n">
        <v>45353</v>
      </c>
      <c r="D2863" t="inlineStr">
        <is>
          <t>VÄRMLANDS LÄN</t>
        </is>
      </c>
      <c r="E2863" t="inlineStr">
        <is>
          <t>ARVIKA</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68372-2019</t>
        </is>
      </c>
      <c r="B2864" s="1" t="n">
        <v>43817</v>
      </c>
      <c r="C2864" s="1" t="n">
        <v>45353</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68259-2019</t>
        </is>
      </c>
      <c r="B2865" s="1" t="n">
        <v>43817</v>
      </c>
      <c r="C2865" s="1" t="n">
        <v>45353</v>
      </c>
      <c r="D2865" t="inlineStr">
        <is>
          <t>VÄRMLANDS LÄN</t>
        </is>
      </c>
      <c r="E2865" t="inlineStr">
        <is>
          <t>MUNKFORS</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68208-2019</t>
        </is>
      </c>
      <c r="B2866" s="1" t="n">
        <v>43817</v>
      </c>
      <c r="C2866" s="1" t="n">
        <v>45353</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68418-2019</t>
        </is>
      </c>
      <c r="B2867" s="1" t="n">
        <v>43818</v>
      </c>
      <c r="C2867" s="1" t="n">
        <v>45353</v>
      </c>
      <c r="D2867" t="inlineStr">
        <is>
          <t>VÄRMLANDS LÄN</t>
        </is>
      </c>
      <c r="E2867" t="inlineStr">
        <is>
          <t>SUNNE</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68588-2019</t>
        </is>
      </c>
      <c r="B2868" s="1" t="n">
        <v>43818</v>
      </c>
      <c r="C2868" s="1" t="n">
        <v>45353</v>
      </c>
      <c r="D2868" t="inlineStr">
        <is>
          <t>VÄRMLANDS LÄN</t>
        </is>
      </c>
      <c r="E2868" t="inlineStr">
        <is>
          <t>SÄFFLE</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717-2020</t>
        </is>
      </c>
      <c r="B2869" s="1" t="n">
        <v>43818</v>
      </c>
      <c r="C2869" s="1" t="n">
        <v>45353</v>
      </c>
      <c r="D2869" t="inlineStr">
        <is>
          <t>VÄRMLANDS LÄN</t>
        </is>
      </c>
      <c r="E2869" t="inlineStr">
        <is>
          <t>KARLSTAD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753-2020</t>
        </is>
      </c>
      <c r="B2870" s="1" t="n">
        <v>43818</v>
      </c>
      <c r="C2870" s="1" t="n">
        <v>45353</v>
      </c>
      <c r="D2870" t="inlineStr">
        <is>
          <t>VÄRMLANDS LÄN</t>
        </is>
      </c>
      <c r="E2870" t="inlineStr">
        <is>
          <t>KRISTINEHAMN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718-2020</t>
        </is>
      </c>
      <c r="B2871" s="1" t="n">
        <v>43818</v>
      </c>
      <c r="C2871" s="1" t="n">
        <v>45353</v>
      </c>
      <c r="D2871" t="inlineStr">
        <is>
          <t>VÄRMLANDS LÄN</t>
        </is>
      </c>
      <c r="E2871" t="inlineStr">
        <is>
          <t>KARLSTAD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757-2020</t>
        </is>
      </c>
      <c r="B2872" s="1" t="n">
        <v>43818</v>
      </c>
      <c r="C2872" s="1" t="n">
        <v>45353</v>
      </c>
      <c r="D2872" t="inlineStr">
        <is>
          <t>VÄRMLANDS LÄN</t>
        </is>
      </c>
      <c r="E2872" t="inlineStr">
        <is>
          <t>KRISTINEHAMN</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68354-2019</t>
        </is>
      </c>
      <c r="B2873" s="1" t="n">
        <v>43818</v>
      </c>
      <c r="C2873" s="1" t="n">
        <v>45353</v>
      </c>
      <c r="D2873" t="inlineStr">
        <is>
          <t>VÄRMLANDS LÄN</t>
        </is>
      </c>
      <c r="E2873" t="inlineStr">
        <is>
          <t>TORSBY</t>
        </is>
      </c>
      <c r="G2873" t="n">
        <v>61.1</v>
      </c>
      <c r="H2873" t="n">
        <v>0</v>
      </c>
      <c r="I2873" t="n">
        <v>0</v>
      </c>
      <c r="J2873" t="n">
        <v>0</v>
      </c>
      <c r="K2873" t="n">
        <v>0</v>
      </c>
      <c r="L2873" t="n">
        <v>0</v>
      </c>
      <c r="M2873" t="n">
        <v>0</v>
      </c>
      <c r="N2873" t="n">
        <v>0</v>
      </c>
      <c r="O2873" t="n">
        <v>0</v>
      </c>
      <c r="P2873" t="n">
        <v>0</v>
      </c>
      <c r="Q2873" t="n">
        <v>0</v>
      </c>
      <c r="R2873" s="2" t="inlineStr"/>
    </row>
    <row r="2874" ht="15" customHeight="1">
      <c r="A2874" t="inlineStr">
        <is>
          <t>A 750-2020</t>
        </is>
      </c>
      <c r="B2874" s="1" t="n">
        <v>43818</v>
      </c>
      <c r="C2874" s="1" t="n">
        <v>45353</v>
      </c>
      <c r="D2874" t="inlineStr">
        <is>
          <t>VÄRMLANDS LÄN</t>
        </is>
      </c>
      <c r="E2874" t="inlineStr">
        <is>
          <t>KRISTINEHAMN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68344-2019</t>
        </is>
      </c>
      <c r="B2875" s="1" t="n">
        <v>43818</v>
      </c>
      <c r="C2875" s="1" t="n">
        <v>45353</v>
      </c>
      <c r="D2875" t="inlineStr">
        <is>
          <t>VÄRMLANDS LÄN</t>
        </is>
      </c>
      <c r="E2875" t="inlineStr">
        <is>
          <t>FORSHAGA</t>
        </is>
      </c>
      <c r="F2875" t="inlineStr">
        <is>
          <t>Bergvik skog väst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746-2020</t>
        </is>
      </c>
      <c r="B2876" s="1" t="n">
        <v>43818</v>
      </c>
      <c r="C2876" s="1" t="n">
        <v>45353</v>
      </c>
      <c r="D2876" t="inlineStr">
        <is>
          <t>VÄRMLANDS LÄN</t>
        </is>
      </c>
      <c r="E2876" t="inlineStr">
        <is>
          <t>KARLSTAD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766-2020</t>
        </is>
      </c>
      <c r="B2877" s="1" t="n">
        <v>43818</v>
      </c>
      <c r="C2877" s="1" t="n">
        <v>45353</v>
      </c>
      <c r="D2877" t="inlineStr">
        <is>
          <t>VÄRMLANDS LÄN</t>
        </is>
      </c>
      <c r="E2877" t="inlineStr">
        <is>
          <t>KRISTINEHAMN</t>
        </is>
      </c>
      <c r="F2877" t="inlineStr">
        <is>
          <t>Kommuner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68360-2019</t>
        </is>
      </c>
      <c r="B2878" s="1" t="n">
        <v>43818</v>
      </c>
      <c r="C2878" s="1" t="n">
        <v>45353</v>
      </c>
      <c r="D2878" t="inlineStr">
        <is>
          <t>VÄRMLANDS LÄN</t>
        </is>
      </c>
      <c r="E2878" t="inlineStr">
        <is>
          <t>TORSBY</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68495-2019</t>
        </is>
      </c>
      <c r="B2879" s="1" t="n">
        <v>43818</v>
      </c>
      <c r="C2879" s="1" t="n">
        <v>45353</v>
      </c>
      <c r="D2879" t="inlineStr">
        <is>
          <t>VÄRMLANDS LÄN</t>
        </is>
      </c>
      <c r="E2879" t="inlineStr">
        <is>
          <t>FILIPSTAD</t>
        </is>
      </c>
      <c r="F2879" t="inlineStr">
        <is>
          <t>Bergvik skog väst AB</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68553-2019</t>
        </is>
      </c>
      <c r="B2880" s="1" t="n">
        <v>43818</v>
      </c>
      <c r="C2880" s="1" t="n">
        <v>45353</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68567-2019</t>
        </is>
      </c>
      <c r="B2881" s="1" t="n">
        <v>43818</v>
      </c>
      <c r="C2881" s="1" t="n">
        <v>45353</v>
      </c>
      <c r="D2881" t="inlineStr">
        <is>
          <t>VÄRMLANDS LÄN</t>
        </is>
      </c>
      <c r="E2881" t="inlineStr">
        <is>
          <t>ARVIKA</t>
        </is>
      </c>
      <c r="F2881" t="inlineStr">
        <is>
          <t>Kommuner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68587-2019</t>
        </is>
      </c>
      <c r="B2882" s="1" t="n">
        <v>43818</v>
      </c>
      <c r="C2882" s="1" t="n">
        <v>45353</v>
      </c>
      <c r="D2882" t="inlineStr">
        <is>
          <t>VÄRMLANDS LÄN</t>
        </is>
      </c>
      <c r="E2882" t="inlineStr">
        <is>
          <t>KRISTINEHAMN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68560-2019</t>
        </is>
      </c>
      <c r="B2883" s="1" t="n">
        <v>43818</v>
      </c>
      <c r="C2883" s="1" t="n">
        <v>45353</v>
      </c>
      <c r="D2883" t="inlineStr">
        <is>
          <t>VÄRMLANDS LÄN</t>
        </is>
      </c>
      <c r="E2883" t="inlineStr">
        <is>
          <t>ARVIKA</t>
        </is>
      </c>
      <c r="F2883" t="inlineStr">
        <is>
          <t>Kommuner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68577-2019</t>
        </is>
      </c>
      <c r="B2884" s="1" t="n">
        <v>43818</v>
      </c>
      <c r="C2884" s="1" t="n">
        <v>45353</v>
      </c>
      <c r="D2884" t="inlineStr">
        <is>
          <t>VÄRMLANDS LÄN</t>
        </is>
      </c>
      <c r="E2884" t="inlineStr">
        <is>
          <t>ARVIKA</t>
        </is>
      </c>
      <c r="F2884" t="inlineStr">
        <is>
          <t>Kommuner</t>
        </is>
      </c>
      <c r="G2884" t="n">
        <v>15.9</v>
      </c>
      <c r="H2884" t="n">
        <v>0</v>
      </c>
      <c r="I2884" t="n">
        <v>0</v>
      </c>
      <c r="J2884" t="n">
        <v>0</v>
      </c>
      <c r="K2884" t="n">
        <v>0</v>
      </c>
      <c r="L2884" t="n">
        <v>0</v>
      </c>
      <c r="M2884" t="n">
        <v>0</v>
      </c>
      <c r="N2884" t="n">
        <v>0</v>
      </c>
      <c r="O2884" t="n">
        <v>0</v>
      </c>
      <c r="P2884" t="n">
        <v>0</v>
      </c>
      <c r="Q2884" t="n">
        <v>0</v>
      </c>
      <c r="R2884" s="2" t="inlineStr"/>
    </row>
    <row r="2885" ht="15" customHeight="1">
      <c r="A2885" t="inlineStr">
        <is>
          <t>A 68589-2019</t>
        </is>
      </c>
      <c r="B2885" s="1" t="n">
        <v>43818</v>
      </c>
      <c r="C2885" s="1" t="n">
        <v>45353</v>
      </c>
      <c r="D2885" t="inlineStr">
        <is>
          <t>VÄRMLANDS LÄN</t>
        </is>
      </c>
      <c r="E2885" t="inlineStr">
        <is>
          <t>KARLSTAD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342-2020</t>
        </is>
      </c>
      <c r="B2886" s="1" t="n">
        <v>43818</v>
      </c>
      <c r="C2886" s="1" t="n">
        <v>45353</v>
      </c>
      <c r="D2886" t="inlineStr">
        <is>
          <t>VÄRMLANDS LÄN</t>
        </is>
      </c>
      <c r="E2886" t="inlineStr">
        <is>
          <t>STORFORS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68573-2019</t>
        </is>
      </c>
      <c r="B2887" s="1" t="n">
        <v>43818</v>
      </c>
      <c r="C2887" s="1" t="n">
        <v>45353</v>
      </c>
      <c r="D2887" t="inlineStr">
        <is>
          <t>VÄRMLANDS LÄN</t>
        </is>
      </c>
      <c r="E2887" t="inlineStr">
        <is>
          <t>ARVIKA</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68820-2019</t>
        </is>
      </c>
      <c r="B2888" s="1" t="n">
        <v>43818</v>
      </c>
      <c r="C2888" s="1" t="n">
        <v>45353</v>
      </c>
      <c r="D2888" t="inlineStr">
        <is>
          <t>VÄRMLANDS LÄN</t>
        </is>
      </c>
      <c r="E2888" t="inlineStr">
        <is>
          <t>SUNNE</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68631-2019</t>
        </is>
      </c>
      <c r="B2889" s="1" t="n">
        <v>43819</v>
      </c>
      <c r="C2889" s="1" t="n">
        <v>45353</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68643-2019</t>
        </is>
      </c>
      <c r="B2890" s="1" t="n">
        <v>43819</v>
      </c>
      <c r="C2890" s="1" t="n">
        <v>45353</v>
      </c>
      <c r="D2890" t="inlineStr">
        <is>
          <t>VÄRMLANDS LÄN</t>
        </is>
      </c>
      <c r="E2890" t="inlineStr">
        <is>
          <t>ÅRJÄNG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68639-2019</t>
        </is>
      </c>
      <c r="B2891" s="1" t="n">
        <v>43819</v>
      </c>
      <c r="C2891" s="1" t="n">
        <v>45353</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68695-2019</t>
        </is>
      </c>
      <c r="B2892" s="1" t="n">
        <v>43819</v>
      </c>
      <c r="C2892" s="1" t="n">
        <v>45353</v>
      </c>
      <c r="D2892" t="inlineStr">
        <is>
          <t>VÄRMLANDS LÄN</t>
        </is>
      </c>
      <c r="E2892" t="inlineStr">
        <is>
          <t>KARLSTAD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955-2020</t>
        </is>
      </c>
      <c r="B2893" s="1" t="n">
        <v>43819</v>
      </c>
      <c r="C2893" s="1" t="n">
        <v>45353</v>
      </c>
      <c r="D2893" t="inlineStr">
        <is>
          <t>VÄRMLANDS LÄN</t>
        </is>
      </c>
      <c r="E2893" t="inlineStr">
        <is>
          <t>KARLSTAD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68635-2019</t>
        </is>
      </c>
      <c r="B2894" s="1" t="n">
        <v>43819</v>
      </c>
      <c r="C2894" s="1" t="n">
        <v>45353</v>
      </c>
      <c r="D2894" t="inlineStr">
        <is>
          <t>VÄRMLANDS LÄN</t>
        </is>
      </c>
      <c r="E2894" t="inlineStr">
        <is>
          <t>EDA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68898-2019</t>
        </is>
      </c>
      <c r="B2895" s="1" t="n">
        <v>43821</v>
      </c>
      <c r="C2895" s="1" t="n">
        <v>45353</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68895-2019</t>
        </is>
      </c>
      <c r="B2896" s="1" t="n">
        <v>43822</v>
      </c>
      <c r="C2896" s="1" t="n">
        <v>45353</v>
      </c>
      <c r="D2896" t="inlineStr">
        <is>
          <t>VÄRMLANDS LÄN</t>
        </is>
      </c>
      <c r="E2896" t="inlineStr">
        <is>
          <t>ARVIKA</t>
        </is>
      </c>
      <c r="F2896" t="inlineStr">
        <is>
          <t>Bergvik skog väst AB</t>
        </is>
      </c>
      <c r="G2896" t="n">
        <v>25.9</v>
      </c>
      <c r="H2896" t="n">
        <v>0</v>
      </c>
      <c r="I2896" t="n">
        <v>0</v>
      </c>
      <c r="J2896" t="n">
        <v>0</v>
      </c>
      <c r="K2896" t="n">
        <v>0</v>
      </c>
      <c r="L2896" t="n">
        <v>0</v>
      </c>
      <c r="M2896" t="n">
        <v>0</v>
      </c>
      <c r="N2896" t="n">
        <v>0</v>
      </c>
      <c r="O2896" t="n">
        <v>0</v>
      </c>
      <c r="P2896" t="n">
        <v>0</v>
      </c>
      <c r="Q2896" t="n">
        <v>0</v>
      </c>
      <c r="R2896" s="2" t="inlineStr"/>
    </row>
    <row r="2897" ht="15" customHeight="1">
      <c r="A2897" t="inlineStr">
        <is>
          <t>A 1386-2020</t>
        </is>
      </c>
      <c r="B2897" s="1" t="n">
        <v>43822</v>
      </c>
      <c r="C2897" s="1" t="n">
        <v>45353</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68975-2019</t>
        </is>
      </c>
      <c r="B2898" s="1" t="n">
        <v>43822</v>
      </c>
      <c r="C2898" s="1" t="n">
        <v>45353</v>
      </c>
      <c r="D2898" t="inlineStr">
        <is>
          <t>VÄRMLANDS LÄN</t>
        </is>
      </c>
      <c r="E2898" t="inlineStr">
        <is>
          <t>SUNNE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1392-2020</t>
        </is>
      </c>
      <c r="B2899" s="1" t="n">
        <v>43822</v>
      </c>
      <c r="C2899" s="1" t="n">
        <v>45353</v>
      </c>
      <c r="D2899" t="inlineStr">
        <is>
          <t>VÄRMLANDS LÄN</t>
        </is>
      </c>
      <c r="E2899" t="inlineStr">
        <is>
          <t>ÅRJÄNG</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69022-2019</t>
        </is>
      </c>
      <c r="B2900" s="1" t="n">
        <v>43826</v>
      </c>
      <c r="C2900" s="1" t="n">
        <v>45353</v>
      </c>
      <c r="D2900" t="inlineStr">
        <is>
          <t>VÄRMLANDS LÄN</t>
        </is>
      </c>
      <c r="E2900" t="inlineStr">
        <is>
          <t>KARLSTAD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69037-2019</t>
        </is>
      </c>
      <c r="B2901" s="1" t="n">
        <v>43826</v>
      </c>
      <c r="C2901" s="1" t="n">
        <v>45353</v>
      </c>
      <c r="D2901" t="inlineStr">
        <is>
          <t>VÄRMLANDS LÄN</t>
        </is>
      </c>
      <c r="E2901" t="inlineStr">
        <is>
          <t>EDA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69036-2019</t>
        </is>
      </c>
      <c r="B2902" s="1" t="n">
        <v>43826</v>
      </c>
      <c r="C2902" s="1" t="n">
        <v>45353</v>
      </c>
      <c r="D2902" t="inlineStr">
        <is>
          <t>VÄRMLANDS LÄN</t>
        </is>
      </c>
      <c r="E2902" t="inlineStr">
        <is>
          <t>EDA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69092-2019</t>
        </is>
      </c>
      <c r="B2903" s="1" t="n">
        <v>43829</v>
      </c>
      <c r="C2903" s="1" t="n">
        <v>45353</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69138-2019</t>
        </is>
      </c>
      <c r="B2904" s="1" t="n">
        <v>43829</v>
      </c>
      <c r="C2904" s="1" t="n">
        <v>45353</v>
      </c>
      <c r="D2904" t="inlineStr">
        <is>
          <t>VÄRMLANDS LÄN</t>
        </is>
      </c>
      <c r="E2904" t="inlineStr">
        <is>
          <t>FILIPSTAD</t>
        </is>
      </c>
      <c r="F2904" t="inlineStr">
        <is>
          <t>Bergvik skog väst AB</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69113-2019</t>
        </is>
      </c>
      <c r="B2905" s="1" t="n">
        <v>43829</v>
      </c>
      <c r="C2905" s="1" t="n">
        <v>45353</v>
      </c>
      <c r="D2905" t="inlineStr">
        <is>
          <t>VÄRMLANDS LÄN</t>
        </is>
      </c>
      <c r="E2905" t="inlineStr">
        <is>
          <t>FILIPSTAD</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69089-2019</t>
        </is>
      </c>
      <c r="B2906" s="1" t="n">
        <v>43829</v>
      </c>
      <c r="C2906" s="1" t="n">
        <v>45353</v>
      </c>
      <c r="D2906" t="inlineStr">
        <is>
          <t>VÄRMLANDS LÄN</t>
        </is>
      </c>
      <c r="E2906" t="inlineStr">
        <is>
          <t>SUNNE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1611-2020</t>
        </is>
      </c>
      <c r="B2907" s="1" t="n">
        <v>43829</v>
      </c>
      <c r="C2907" s="1" t="n">
        <v>45353</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69090-2019</t>
        </is>
      </c>
      <c r="B2908" s="1" t="n">
        <v>43829</v>
      </c>
      <c r="C2908" s="1" t="n">
        <v>45353</v>
      </c>
      <c r="D2908" t="inlineStr">
        <is>
          <t>VÄRMLANDS LÄN</t>
        </is>
      </c>
      <c r="E2908" t="inlineStr">
        <is>
          <t>KRISTINEHAMN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69086-2019</t>
        </is>
      </c>
      <c r="B2909" s="1" t="n">
        <v>43829</v>
      </c>
      <c r="C2909" s="1" t="n">
        <v>45353</v>
      </c>
      <c r="D2909" t="inlineStr">
        <is>
          <t>VÄRMLANDS LÄN</t>
        </is>
      </c>
      <c r="E2909" t="inlineStr">
        <is>
          <t>ARVIKA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91-2020</t>
        </is>
      </c>
      <c r="B2910" s="1" t="n">
        <v>43832</v>
      </c>
      <c r="C2910" s="1" t="n">
        <v>45353</v>
      </c>
      <c r="D2910" t="inlineStr">
        <is>
          <t>VÄRMLANDS LÄN</t>
        </is>
      </c>
      <c r="E2910" t="inlineStr">
        <is>
          <t>ARVIKA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14-2020</t>
        </is>
      </c>
      <c r="B2911" s="1" t="n">
        <v>43832</v>
      </c>
      <c r="C2911" s="1" t="n">
        <v>45353</v>
      </c>
      <c r="D2911" t="inlineStr">
        <is>
          <t>VÄRMLANDS LÄN</t>
        </is>
      </c>
      <c r="E2911" t="inlineStr">
        <is>
          <t>ARVIKA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94-2020</t>
        </is>
      </c>
      <c r="B2912" s="1" t="n">
        <v>43832</v>
      </c>
      <c r="C2912" s="1" t="n">
        <v>45353</v>
      </c>
      <c r="D2912" t="inlineStr">
        <is>
          <t>VÄRMLANDS LÄN</t>
        </is>
      </c>
      <c r="E2912" t="inlineStr">
        <is>
          <t>ARVIKA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99-2020</t>
        </is>
      </c>
      <c r="B2913" s="1" t="n">
        <v>43832</v>
      </c>
      <c r="C2913" s="1" t="n">
        <v>45353</v>
      </c>
      <c r="D2913" t="inlineStr">
        <is>
          <t>VÄRMLANDS LÄN</t>
        </is>
      </c>
      <c r="E2913" t="inlineStr">
        <is>
          <t>FORSHAGA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2167-2020</t>
        </is>
      </c>
      <c r="B2914" s="1" t="n">
        <v>43832</v>
      </c>
      <c r="C2914" s="1" t="n">
        <v>45353</v>
      </c>
      <c r="D2914" t="inlineStr">
        <is>
          <t>VÄRMLANDS LÄN</t>
        </is>
      </c>
      <c r="E2914" t="inlineStr">
        <is>
          <t>KARLSTAD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1663-2020</t>
        </is>
      </c>
      <c r="B2915" s="1" t="n">
        <v>43832</v>
      </c>
      <c r="C2915" s="1" t="n">
        <v>45353</v>
      </c>
      <c r="D2915" t="inlineStr">
        <is>
          <t>VÄRMLANDS LÄN</t>
        </is>
      </c>
      <c r="E2915" t="inlineStr">
        <is>
          <t>KARLSTAD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137-2020</t>
        </is>
      </c>
      <c r="B2916" s="1" t="n">
        <v>43833</v>
      </c>
      <c r="C2916" s="1" t="n">
        <v>45353</v>
      </c>
      <c r="D2916" t="inlineStr">
        <is>
          <t>VÄRMLANDS LÄN</t>
        </is>
      </c>
      <c r="E2916" t="inlineStr">
        <is>
          <t>EDA</t>
        </is>
      </c>
      <c r="F2916" t="inlineStr">
        <is>
          <t>Övriga Aktiebolag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176-2020</t>
        </is>
      </c>
      <c r="B2917" s="1" t="n">
        <v>43833</v>
      </c>
      <c r="C2917" s="1" t="n">
        <v>45353</v>
      </c>
      <c r="D2917" t="inlineStr">
        <is>
          <t>VÄRMLANDS LÄN</t>
        </is>
      </c>
      <c r="E2917" t="inlineStr">
        <is>
          <t>FORSHAGA</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170-2020</t>
        </is>
      </c>
      <c r="B2918" s="1" t="n">
        <v>43833</v>
      </c>
      <c r="C2918" s="1" t="n">
        <v>45353</v>
      </c>
      <c r="D2918" t="inlineStr">
        <is>
          <t>VÄRMLANDS LÄN</t>
        </is>
      </c>
      <c r="E2918" t="inlineStr">
        <is>
          <t>MUNKFORS</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200-2020</t>
        </is>
      </c>
      <c r="B2919" s="1" t="n">
        <v>43833</v>
      </c>
      <c r="C2919" s="1" t="n">
        <v>45353</v>
      </c>
      <c r="D2919" t="inlineStr">
        <is>
          <t>VÄRMLANDS LÄN</t>
        </is>
      </c>
      <c r="E2919" t="inlineStr">
        <is>
          <t>ÅRJÄNG</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140-2020</t>
        </is>
      </c>
      <c r="B2920" s="1" t="n">
        <v>43833</v>
      </c>
      <c r="C2920" s="1" t="n">
        <v>45353</v>
      </c>
      <c r="D2920" t="inlineStr">
        <is>
          <t>VÄRMLANDS LÄN</t>
        </is>
      </c>
      <c r="E2920" t="inlineStr">
        <is>
          <t>TORSBY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197-2020</t>
        </is>
      </c>
      <c r="B2921" s="1" t="n">
        <v>43833</v>
      </c>
      <c r="C2921" s="1" t="n">
        <v>45353</v>
      </c>
      <c r="D2921" t="inlineStr">
        <is>
          <t>VÄRMLANDS LÄN</t>
        </is>
      </c>
      <c r="E2921" t="inlineStr">
        <is>
          <t>ARVIKA</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1799-2020</t>
        </is>
      </c>
      <c r="B2922" s="1" t="n">
        <v>43835</v>
      </c>
      <c r="C2922" s="1" t="n">
        <v>45353</v>
      </c>
      <c r="D2922" t="inlineStr">
        <is>
          <t>VÄRMLANDS LÄN</t>
        </is>
      </c>
      <c r="E2922" t="inlineStr">
        <is>
          <t>SÄFFLE</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239-2020</t>
        </is>
      </c>
      <c r="B2923" s="1" t="n">
        <v>43835</v>
      </c>
      <c r="C2923" s="1" t="n">
        <v>45353</v>
      </c>
      <c r="D2923" t="inlineStr">
        <is>
          <t>VÄRMLANDS LÄN</t>
        </is>
      </c>
      <c r="E2923" t="inlineStr">
        <is>
          <t>ARVIKA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344-2020</t>
        </is>
      </c>
      <c r="B2924" s="1" t="n">
        <v>43837</v>
      </c>
      <c r="C2924" s="1" t="n">
        <v>45353</v>
      </c>
      <c r="D2924" t="inlineStr">
        <is>
          <t>VÄRMLANDS LÄN</t>
        </is>
      </c>
      <c r="E2924" t="inlineStr">
        <is>
          <t>SÄFFLE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349-2020</t>
        </is>
      </c>
      <c r="B2925" s="1" t="n">
        <v>43837</v>
      </c>
      <c r="C2925" s="1" t="n">
        <v>45353</v>
      </c>
      <c r="D2925" t="inlineStr">
        <is>
          <t>VÄRMLANDS LÄN</t>
        </is>
      </c>
      <c r="E2925" t="inlineStr">
        <is>
          <t>SÄFFLE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266-2020</t>
        </is>
      </c>
      <c r="B2926" s="1" t="n">
        <v>43837</v>
      </c>
      <c r="C2926" s="1" t="n">
        <v>45353</v>
      </c>
      <c r="D2926" t="inlineStr">
        <is>
          <t>VÄRMLANDS LÄN</t>
        </is>
      </c>
      <c r="E2926" t="inlineStr">
        <is>
          <t>STORFORS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323-2020</t>
        </is>
      </c>
      <c r="B2927" s="1" t="n">
        <v>43837</v>
      </c>
      <c r="C2927" s="1" t="n">
        <v>45353</v>
      </c>
      <c r="D2927" t="inlineStr">
        <is>
          <t>VÄRMLANDS LÄN</t>
        </is>
      </c>
      <c r="E2927" t="inlineStr">
        <is>
          <t>ARVIKA</t>
        </is>
      </c>
      <c r="F2927" t="inlineStr">
        <is>
          <t>Övriga Aktiebolag</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338-2020</t>
        </is>
      </c>
      <c r="B2928" s="1" t="n">
        <v>43837</v>
      </c>
      <c r="C2928" s="1" t="n">
        <v>45353</v>
      </c>
      <c r="D2928" t="inlineStr">
        <is>
          <t>VÄRMLANDS LÄN</t>
        </is>
      </c>
      <c r="E2928" t="inlineStr">
        <is>
          <t>TORSBY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388-2020</t>
        </is>
      </c>
      <c r="B2929" s="1" t="n">
        <v>43837</v>
      </c>
      <c r="C2929" s="1" t="n">
        <v>45353</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351-2020</t>
        </is>
      </c>
      <c r="B2930" s="1" t="n">
        <v>43837</v>
      </c>
      <c r="C2930" s="1" t="n">
        <v>45353</v>
      </c>
      <c r="D2930" t="inlineStr">
        <is>
          <t>VÄRMLANDS LÄN</t>
        </is>
      </c>
      <c r="E2930" t="inlineStr">
        <is>
          <t>ARVIKA</t>
        </is>
      </c>
      <c r="F2930" t="inlineStr">
        <is>
          <t>Kommuner</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372-2020</t>
        </is>
      </c>
      <c r="B2931" s="1" t="n">
        <v>43837</v>
      </c>
      <c r="C2931" s="1" t="n">
        <v>45353</v>
      </c>
      <c r="D2931" t="inlineStr">
        <is>
          <t>VÄRMLANDS LÄN</t>
        </is>
      </c>
      <c r="E2931" t="inlineStr">
        <is>
          <t>MUNKFORS</t>
        </is>
      </c>
      <c r="F2931" t="inlineStr">
        <is>
          <t>Bergvik skog väst AB</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510-2020</t>
        </is>
      </c>
      <c r="B2932" s="1" t="n">
        <v>43837</v>
      </c>
      <c r="C2932" s="1" t="n">
        <v>45353</v>
      </c>
      <c r="D2932" t="inlineStr">
        <is>
          <t>VÄRMLANDS LÄN</t>
        </is>
      </c>
      <c r="E2932" t="inlineStr">
        <is>
          <t>HAGFORS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508-2020</t>
        </is>
      </c>
      <c r="B2933" s="1" t="n">
        <v>43837</v>
      </c>
      <c r="C2933" s="1" t="n">
        <v>45353</v>
      </c>
      <c r="D2933" t="inlineStr">
        <is>
          <t>VÄRMLANDS LÄN</t>
        </is>
      </c>
      <c r="E2933" t="inlineStr">
        <is>
          <t>HAGFORS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1795-2020</t>
        </is>
      </c>
      <c r="B2934" s="1" t="n">
        <v>43837</v>
      </c>
      <c r="C2934" s="1" t="n">
        <v>45353</v>
      </c>
      <c r="D2934" t="inlineStr">
        <is>
          <t>VÄRMLANDS LÄN</t>
        </is>
      </c>
      <c r="E2934" t="inlineStr">
        <is>
          <t>ARVIKA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1791-2020</t>
        </is>
      </c>
      <c r="B2935" s="1" t="n">
        <v>43837</v>
      </c>
      <c r="C2935" s="1" t="n">
        <v>45353</v>
      </c>
      <c r="D2935" t="inlineStr">
        <is>
          <t>VÄRMLANDS LÄN</t>
        </is>
      </c>
      <c r="E2935" t="inlineStr">
        <is>
          <t>ARVIKA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785-2020</t>
        </is>
      </c>
      <c r="B2936" s="1" t="n">
        <v>43838</v>
      </c>
      <c r="C2936" s="1" t="n">
        <v>45353</v>
      </c>
      <c r="D2936" t="inlineStr">
        <is>
          <t>VÄRMLANDS LÄN</t>
        </is>
      </c>
      <c r="E2936" t="inlineStr">
        <is>
          <t>KRISTINEHAMN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722-2020</t>
        </is>
      </c>
      <c r="B2937" s="1" t="n">
        <v>43838</v>
      </c>
      <c r="C2937" s="1" t="n">
        <v>45353</v>
      </c>
      <c r="D2937" t="inlineStr">
        <is>
          <t>VÄRMLANDS LÄN</t>
        </is>
      </c>
      <c r="E2937" t="inlineStr">
        <is>
          <t>SÄFFLE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732-2020</t>
        </is>
      </c>
      <c r="B2938" s="1" t="n">
        <v>43838</v>
      </c>
      <c r="C2938" s="1" t="n">
        <v>45353</v>
      </c>
      <c r="D2938" t="inlineStr">
        <is>
          <t>VÄRMLANDS LÄN</t>
        </is>
      </c>
      <c r="E2938" t="inlineStr">
        <is>
          <t>SUNNE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1939-2020</t>
        </is>
      </c>
      <c r="B2939" s="1" t="n">
        <v>43838</v>
      </c>
      <c r="C2939" s="1" t="n">
        <v>45353</v>
      </c>
      <c r="D2939" t="inlineStr">
        <is>
          <t>VÄRMLANDS LÄN</t>
        </is>
      </c>
      <c r="E2939" t="inlineStr">
        <is>
          <t>EDA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1991-2020</t>
        </is>
      </c>
      <c r="B2940" s="1" t="n">
        <v>43838</v>
      </c>
      <c r="C2940" s="1" t="n">
        <v>45353</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677-2020</t>
        </is>
      </c>
      <c r="B2941" s="1" t="n">
        <v>43838</v>
      </c>
      <c r="C2941" s="1" t="n">
        <v>45353</v>
      </c>
      <c r="D2941" t="inlineStr">
        <is>
          <t>VÄRMLANDS LÄN</t>
        </is>
      </c>
      <c r="E2941" t="inlineStr">
        <is>
          <t>FORSHAGA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1990-2020</t>
        </is>
      </c>
      <c r="B2942" s="1" t="n">
        <v>43838</v>
      </c>
      <c r="C2942" s="1" t="n">
        <v>45353</v>
      </c>
      <c r="D2942" t="inlineStr">
        <is>
          <t>VÄRMLANDS LÄN</t>
        </is>
      </c>
      <c r="E2942" t="inlineStr">
        <is>
          <t>SÄFFLE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1033-2020</t>
        </is>
      </c>
      <c r="B2943" s="1" t="n">
        <v>43839</v>
      </c>
      <c r="C2943" s="1" t="n">
        <v>45353</v>
      </c>
      <c r="D2943" t="inlineStr">
        <is>
          <t>VÄRMLANDS LÄN</t>
        </is>
      </c>
      <c r="E2943" t="inlineStr">
        <is>
          <t>KARLSTAD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858-2020</t>
        </is>
      </c>
      <c r="B2944" s="1" t="n">
        <v>43839</v>
      </c>
      <c r="C2944" s="1" t="n">
        <v>45353</v>
      </c>
      <c r="D2944" t="inlineStr">
        <is>
          <t>VÄRMLANDS LÄN</t>
        </is>
      </c>
      <c r="E2944" t="inlineStr">
        <is>
          <t>ARVIKA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953-2020</t>
        </is>
      </c>
      <c r="B2945" s="1" t="n">
        <v>43839</v>
      </c>
      <c r="C2945" s="1" t="n">
        <v>45353</v>
      </c>
      <c r="D2945" t="inlineStr">
        <is>
          <t>VÄRMLANDS LÄN</t>
        </is>
      </c>
      <c r="E2945" t="inlineStr">
        <is>
          <t>KRISTINEHAMN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996-2020</t>
        </is>
      </c>
      <c r="B2946" s="1" t="n">
        <v>43839</v>
      </c>
      <c r="C2946" s="1" t="n">
        <v>45353</v>
      </c>
      <c r="D2946" t="inlineStr">
        <is>
          <t>VÄRMLANDS LÄN</t>
        </is>
      </c>
      <c r="E2946" t="inlineStr">
        <is>
          <t>ARVIKA</t>
        </is>
      </c>
      <c r="F2946" t="inlineStr">
        <is>
          <t>Övriga Aktiebolag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854-2020</t>
        </is>
      </c>
      <c r="B2947" s="1" t="n">
        <v>43839</v>
      </c>
      <c r="C2947" s="1" t="n">
        <v>45353</v>
      </c>
      <c r="D2947" t="inlineStr">
        <is>
          <t>VÄRMLANDS LÄN</t>
        </is>
      </c>
      <c r="E2947" t="inlineStr">
        <is>
          <t>ARVIKA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1100-2020</t>
        </is>
      </c>
      <c r="B2948" s="1" t="n">
        <v>43840</v>
      </c>
      <c r="C2948" s="1" t="n">
        <v>45353</v>
      </c>
      <c r="D2948" t="inlineStr">
        <is>
          <t>VÄRMLANDS LÄN</t>
        </is>
      </c>
      <c r="E2948" t="inlineStr">
        <is>
          <t>EDA</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1227-2020</t>
        </is>
      </c>
      <c r="B2949" s="1" t="n">
        <v>43840</v>
      </c>
      <c r="C2949" s="1" t="n">
        <v>45353</v>
      </c>
      <c r="D2949" t="inlineStr">
        <is>
          <t>VÄRMLANDS LÄN</t>
        </is>
      </c>
      <c r="E2949" t="inlineStr">
        <is>
          <t>SÄFFLE</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1091-2020</t>
        </is>
      </c>
      <c r="B2950" s="1" t="n">
        <v>43840</v>
      </c>
      <c r="C2950" s="1" t="n">
        <v>45353</v>
      </c>
      <c r="D2950" t="inlineStr">
        <is>
          <t>VÄRMLANDS LÄN</t>
        </is>
      </c>
      <c r="E2950" t="inlineStr">
        <is>
          <t>KIL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1214-2020</t>
        </is>
      </c>
      <c r="B2951" s="1" t="n">
        <v>43840</v>
      </c>
      <c r="C2951" s="1" t="n">
        <v>45353</v>
      </c>
      <c r="D2951" t="inlineStr">
        <is>
          <t>VÄRMLANDS LÄN</t>
        </is>
      </c>
      <c r="E2951" t="inlineStr">
        <is>
          <t>EDA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1277-2020</t>
        </is>
      </c>
      <c r="B2952" s="1" t="n">
        <v>43841</v>
      </c>
      <c r="C2952" s="1" t="n">
        <v>45353</v>
      </c>
      <c r="D2952" t="inlineStr">
        <is>
          <t>VÄRMLANDS LÄN</t>
        </is>
      </c>
      <c r="E2952" t="inlineStr">
        <is>
          <t>KIL</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1293-2020</t>
        </is>
      </c>
      <c r="B2953" s="1" t="n">
        <v>43842</v>
      </c>
      <c r="C2953" s="1" t="n">
        <v>45353</v>
      </c>
      <c r="D2953" t="inlineStr">
        <is>
          <t>VÄRMLANDS LÄN</t>
        </is>
      </c>
      <c r="E2953" t="inlineStr">
        <is>
          <t>KRISTINEHAMN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1294-2020</t>
        </is>
      </c>
      <c r="B2954" s="1" t="n">
        <v>43842</v>
      </c>
      <c r="C2954" s="1" t="n">
        <v>45353</v>
      </c>
      <c r="D2954" t="inlineStr">
        <is>
          <t>VÄRMLANDS LÄN</t>
        </is>
      </c>
      <c r="E2954" t="inlineStr">
        <is>
          <t>KRISTINEHAMN</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1284-2020</t>
        </is>
      </c>
      <c r="B2955" s="1" t="n">
        <v>43842</v>
      </c>
      <c r="C2955" s="1" t="n">
        <v>45353</v>
      </c>
      <c r="D2955" t="inlineStr">
        <is>
          <t>VÄRMLANDS LÄN</t>
        </is>
      </c>
      <c r="E2955" t="inlineStr">
        <is>
          <t>MUNKFORS</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1297-2020</t>
        </is>
      </c>
      <c r="B2956" s="1" t="n">
        <v>43842</v>
      </c>
      <c r="C2956" s="1" t="n">
        <v>45353</v>
      </c>
      <c r="D2956" t="inlineStr">
        <is>
          <t>VÄRMLANDS LÄN</t>
        </is>
      </c>
      <c r="E2956" t="inlineStr">
        <is>
          <t>SUNNE</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1460-2020</t>
        </is>
      </c>
      <c r="B2957" s="1" t="n">
        <v>43843</v>
      </c>
      <c r="C2957" s="1" t="n">
        <v>45353</v>
      </c>
      <c r="D2957" t="inlineStr">
        <is>
          <t>VÄRMLANDS LÄN</t>
        </is>
      </c>
      <c r="E2957" t="inlineStr">
        <is>
          <t>ÅRJÄNG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1474-2020</t>
        </is>
      </c>
      <c r="B2958" s="1" t="n">
        <v>43843</v>
      </c>
      <c r="C2958" s="1" t="n">
        <v>45353</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1542-2020</t>
        </is>
      </c>
      <c r="B2959" s="1" t="n">
        <v>43843</v>
      </c>
      <c r="C2959" s="1" t="n">
        <v>45353</v>
      </c>
      <c r="D2959" t="inlineStr">
        <is>
          <t>VÄRMLANDS LÄN</t>
        </is>
      </c>
      <c r="E2959" t="inlineStr">
        <is>
          <t>SUNNE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1322-2020</t>
        </is>
      </c>
      <c r="B2960" s="1" t="n">
        <v>43843</v>
      </c>
      <c r="C2960" s="1" t="n">
        <v>45353</v>
      </c>
      <c r="D2960" t="inlineStr">
        <is>
          <t>VÄRMLANDS LÄN</t>
        </is>
      </c>
      <c r="E2960" t="inlineStr">
        <is>
          <t>EDA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1544-2020</t>
        </is>
      </c>
      <c r="B2961" s="1" t="n">
        <v>43843</v>
      </c>
      <c r="C2961" s="1" t="n">
        <v>45353</v>
      </c>
      <c r="D2961" t="inlineStr">
        <is>
          <t>VÄRMLANDS LÄN</t>
        </is>
      </c>
      <c r="E2961" t="inlineStr">
        <is>
          <t>SUNNE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2513-2020</t>
        </is>
      </c>
      <c r="B2962" s="1" t="n">
        <v>43843</v>
      </c>
      <c r="C2962" s="1" t="n">
        <v>45353</v>
      </c>
      <c r="D2962" t="inlineStr">
        <is>
          <t>VÄRMLANDS LÄN</t>
        </is>
      </c>
      <c r="E2962" t="inlineStr">
        <is>
          <t>ARVIKA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2910-2020</t>
        </is>
      </c>
      <c r="B2963" s="1" t="n">
        <v>43843</v>
      </c>
      <c r="C2963" s="1" t="n">
        <v>45353</v>
      </c>
      <c r="D2963" t="inlineStr">
        <is>
          <t>VÄRMLANDS LÄN</t>
        </is>
      </c>
      <c r="E2963" t="inlineStr">
        <is>
          <t>ÅRJÄNG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1449-2020</t>
        </is>
      </c>
      <c r="B2964" s="1" t="n">
        <v>43843</v>
      </c>
      <c r="C2964" s="1" t="n">
        <v>45353</v>
      </c>
      <c r="D2964" t="inlineStr">
        <is>
          <t>VÄRMLANDS LÄN</t>
        </is>
      </c>
      <c r="E2964" t="inlineStr">
        <is>
          <t>SÄFFLE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1546-2020</t>
        </is>
      </c>
      <c r="B2965" s="1" t="n">
        <v>43843</v>
      </c>
      <c r="C2965" s="1" t="n">
        <v>45353</v>
      </c>
      <c r="D2965" t="inlineStr">
        <is>
          <t>VÄRMLANDS LÄN</t>
        </is>
      </c>
      <c r="E2965" t="inlineStr">
        <is>
          <t>SUNNE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2706-2020</t>
        </is>
      </c>
      <c r="B2966" s="1" t="n">
        <v>43843</v>
      </c>
      <c r="C2966" s="1" t="n">
        <v>45353</v>
      </c>
      <c r="D2966" t="inlineStr">
        <is>
          <t>VÄRMLANDS LÄN</t>
        </is>
      </c>
      <c r="E2966" t="inlineStr">
        <is>
          <t>ARVIKA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2918-2020</t>
        </is>
      </c>
      <c r="B2967" s="1" t="n">
        <v>43843</v>
      </c>
      <c r="C2967" s="1" t="n">
        <v>45353</v>
      </c>
      <c r="D2967" t="inlineStr">
        <is>
          <t>VÄRMLANDS LÄN</t>
        </is>
      </c>
      <c r="E2967" t="inlineStr">
        <is>
          <t>ÅRJÄNG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2842-2020</t>
        </is>
      </c>
      <c r="B2968" s="1" t="n">
        <v>43843</v>
      </c>
      <c r="C2968" s="1" t="n">
        <v>45353</v>
      </c>
      <c r="D2968" t="inlineStr">
        <is>
          <t>VÄRMLANDS LÄN</t>
        </is>
      </c>
      <c r="E2968" t="inlineStr">
        <is>
          <t>KIL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2544-2020</t>
        </is>
      </c>
      <c r="B2969" s="1" t="n">
        <v>43843</v>
      </c>
      <c r="C2969" s="1" t="n">
        <v>45353</v>
      </c>
      <c r="D2969" t="inlineStr">
        <is>
          <t>VÄRMLANDS LÄN</t>
        </is>
      </c>
      <c r="E2969" t="inlineStr">
        <is>
          <t>KRISTINEHAMN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2709-2020</t>
        </is>
      </c>
      <c r="B2970" s="1" t="n">
        <v>43843</v>
      </c>
      <c r="C2970" s="1" t="n">
        <v>45353</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2857-2020</t>
        </is>
      </c>
      <c r="B2971" s="1" t="n">
        <v>43843</v>
      </c>
      <c r="C2971" s="1" t="n">
        <v>45353</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2771-2020</t>
        </is>
      </c>
      <c r="B2972" s="1" t="n">
        <v>43843</v>
      </c>
      <c r="C2972" s="1" t="n">
        <v>45353</v>
      </c>
      <c r="D2972" t="inlineStr">
        <is>
          <t>VÄRMLANDS LÄN</t>
        </is>
      </c>
      <c r="E2972" t="inlineStr">
        <is>
          <t>ARVIKA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2873-2020</t>
        </is>
      </c>
      <c r="B2973" s="1" t="n">
        <v>43843</v>
      </c>
      <c r="C2973" s="1" t="n">
        <v>45353</v>
      </c>
      <c r="D2973" t="inlineStr">
        <is>
          <t>VÄRMLANDS LÄN</t>
        </is>
      </c>
      <c r="E2973" t="inlineStr">
        <is>
          <t>EDA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1801-2020</t>
        </is>
      </c>
      <c r="B2974" s="1" t="n">
        <v>43844</v>
      </c>
      <c r="C2974" s="1" t="n">
        <v>45353</v>
      </c>
      <c r="D2974" t="inlineStr">
        <is>
          <t>VÄRMLANDS LÄN</t>
        </is>
      </c>
      <c r="E2974" t="inlineStr">
        <is>
          <t>STORFORS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1631-2020</t>
        </is>
      </c>
      <c r="B2975" s="1" t="n">
        <v>43844</v>
      </c>
      <c r="C2975" s="1" t="n">
        <v>45353</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1625-2020</t>
        </is>
      </c>
      <c r="B2976" s="1" t="n">
        <v>43844</v>
      </c>
      <c r="C2976" s="1" t="n">
        <v>45353</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3263-2020</t>
        </is>
      </c>
      <c r="B2977" s="1" t="n">
        <v>43844</v>
      </c>
      <c r="C2977" s="1" t="n">
        <v>45353</v>
      </c>
      <c r="D2977" t="inlineStr">
        <is>
          <t>VÄRMLANDS LÄN</t>
        </is>
      </c>
      <c r="E2977" t="inlineStr">
        <is>
          <t>TORSBY</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3172-2020</t>
        </is>
      </c>
      <c r="B2978" s="1" t="n">
        <v>43844</v>
      </c>
      <c r="C2978" s="1" t="n">
        <v>45353</v>
      </c>
      <c r="D2978" t="inlineStr">
        <is>
          <t>VÄRMLANDS LÄN</t>
        </is>
      </c>
      <c r="E2978" t="inlineStr">
        <is>
          <t>TORSBY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3419-2020</t>
        </is>
      </c>
      <c r="B2979" s="1" t="n">
        <v>43844</v>
      </c>
      <c r="C2979" s="1" t="n">
        <v>45353</v>
      </c>
      <c r="D2979" t="inlineStr">
        <is>
          <t>VÄRMLANDS LÄN</t>
        </is>
      </c>
      <c r="E2979" t="inlineStr">
        <is>
          <t>SÄFFLE</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1594-2020</t>
        </is>
      </c>
      <c r="B2980" s="1" t="n">
        <v>43844</v>
      </c>
      <c r="C2980" s="1" t="n">
        <v>45353</v>
      </c>
      <c r="D2980" t="inlineStr">
        <is>
          <t>VÄRMLANDS LÄN</t>
        </is>
      </c>
      <c r="E2980" t="inlineStr">
        <is>
          <t>KRISTINEHAMN</t>
        </is>
      </c>
      <c r="F2980" t="inlineStr">
        <is>
          <t>Naturvårdsverket</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1995-2020</t>
        </is>
      </c>
      <c r="B2981" s="1" t="n">
        <v>43845</v>
      </c>
      <c r="C2981" s="1" t="n">
        <v>45353</v>
      </c>
      <c r="D2981" t="inlineStr">
        <is>
          <t>VÄRMLANDS LÄN</t>
        </is>
      </c>
      <c r="E2981" t="inlineStr">
        <is>
          <t>SUNNE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3364-2020</t>
        </is>
      </c>
      <c r="B2982" s="1" t="n">
        <v>43845</v>
      </c>
      <c r="C2982" s="1" t="n">
        <v>45353</v>
      </c>
      <c r="D2982" t="inlineStr">
        <is>
          <t>VÄRMLANDS LÄN</t>
        </is>
      </c>
      <c r="E2982" t="inlineStr">
        <is>
          <t>SÄFFLE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1964-2020</t>
        </is>
      </c>
      <c r="B2983" s="1" t="n">
        <v>43845</v>
      </c>
      <c r="C2983" s="1" t="n">
        <v>45353</v>
      </c>
      <c r="D2983" t="inlineStr">
        <is>
          <t>VÄRMLANDS LÄN</t>
        </is>
      </c>
      <c r="E2983" t="inlineStr">
        <is>
          <t>HAGFORS</t>
        </is>
      </c>
      <c r="F2983" t="inlineStr">
        <is>
          <t>Bergvik skog väst AB</t>
        </is>
      </c>
      <c r="G2983" t="n">
        <v>51.8</v>
      </c>
      <c r="H2983" t="n">
        <v>0</v>
      </c>
      <c r="I2983" t="n">
        <v>0</v>
      </c>
      <c r="J2983" t="n">
        <v>0</v>
      </c>
      <c r="K2983" t="n">
        <v>0</v>
      </c>
      <c r="L2983" t="n">
        <v>0</v>
      </c>
      <c r="M2983" t="n">
        <v>0</v>
      </c>
      <c r="N2983" t="n">
        <v>0</v>
      </c>
      <c r="O2983" t="n">
        <v>0</v>
      </c>
      <c r="P2983" t="n">
        <v>0</v>
      </c>
      <c r="Q2983" t="n">
        <v>0</v>
      </c>
      <c r="R2983" s="2" t="inlineStr"/>
    </row>
    <row r="2984" ht="15" customHeight="1">
      <c r="A2984" t="inlineStr">
        <is>
          <t>A 2075-2020</t>
        </is>
      </c>
      <c r="B2984" s="1" t="n">
        <v>43845</v>
      </c>
      <c r="C2984" s="1" t="n">
        <v>45353</v>
      </c>
      <c r="D2984" t="inlineStr">
        <is>
          <t>VÄRMLANDS LÄN</t>
        </is>
      </c>
      <c r="E2984" t="inlineStr">
        <is>
          <t>ARVIKA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2082-2020</t>
        </is>
      </c>
      <c r="B2985" s="1" t="n">
        <v>43845</v>
      </c>
      <c r="C2985" s="1" t="n">
        <v>45353</v>
      </c>
      <c r="D2985" t="inlineStr">
        <is>
          <t>VÄRMLANDS LÄN</t>
        </is>
      </c>
      <c r="E2985" t="inlineStr">
        <is>
          <t>TORSBY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1875-2020</t>
        </is>
      </c>
      <c r="B2986" s="1" t="n">
        <v>43845</v>
      </c>
      <c r="C2986" s="1" t="n">
        <v>45353</v>
      </c>
      <c r="D2986" t="inlineStr">
        <is>
          <t>VÄRMLANDS LÄN</t>
        </is>
      </c>
      <c r="E2986" t="inlineStr">
        <is>
          <t>TORSBY</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2068-2020</t>
        </is>
      </c>
      <c r="B2987" s="1" t="n">
        <v>43845</v>
      </c>
      <c r="C2987" s="1" t="n">
        <v>45353</v>
      </c>
      <c r="D2987" t="inlineStr">
        <is>
          <t>VÄRMLANDS LÄN</t>
        </is>
      </c>
      <c r="E2987" t="inlineStr">
        <is>
          <t>TORSBY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3564-2020</t>
        </is>
      </c>
      <c r="B2988" s="1" t="n">
        <v>43845</v>
      </c>
      <c r="C2988" s="1" t="n">
        <v>45353</v>
      </c>
      <c r="D2988" t="inlineStr">
        <is>
          <t>VÄRMLANDS LÄN</t>
        </is>
      </c>
      <c r="E2988" t="inlineStr">
        <is>
          <t>STORFORS</t>
        </is>
      </c>
      <c r="F2988" t="inlineStr">
        <is>
          <t>Bergvik skog väst AB</t>
        </is>
      </c>
      <c r="G2988" t="n">
        <v>33.5</v>
      </c>
      <c r="H2988" t="n">
        <v>0</v>
      </c>
      <c r="I2988" t="n">
        <v>0</v>
      </c>
      <c r="J2988" t="n">
        <v>0</v>
      </c>
      <c r="K2988" t="n">
        <v>0</v>
      </c>
      <c r="L2988" t="n">
        <v>0</v>
      </c>
      <c r="M2988" t="n">
        <v>0</v>
      </c>
      <c r="N2988" t="n">
        <v>0</v>
      </c>
      <c r="O2988" t="n">
        <v>0</v>
      </c>
      <c r="P2988" t="n">
        <v>0</v>
      </c>
      <c r="Q2988" t="n">
        <v>0</v>
      </c>
      <c r="R2988" s="2" t="inlineStr"/>
    </row>
    <row r="2989" ht="15" customHeight="1">
      <c r="A2989" t="inlineStr">
        <is>
          <t>A 3541-2020</t>
        </is>
      </c>
      <c r="B2989" s="1" t="n">
        <v>43845</v>
      </c>
      <c r="C2989" s="1" t="n">
        <v>45353</v>
      </c>
      <c r="D2989" t="inlineStr">
        <is>
          <t>VÄRMLANDS LÄN</t>
        </is>
      </c>
      <c r="E2989" t="inlineStr">
        <is>
          <t>SÄFFLE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2171-2020</t>
        </is>
      </c>
      <c r="B2990" s="1" t="n">
        <v>43846</v>
      </c>
      <c r="C2990" s="1" t="n">
        <v>45353</v>
      </c>
      <c r="D2990" t="inlineStr">
        <is>
          <t>VÄRMLANDS LÄN</t>
        </is>
      </c>
      <c r="E2990" t="inlineStr">
        <is>
          <t>SÄFFLE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2284-2020</t>
        </is>
      </c>
      <c r="B2991" s="1" t="n">
        <v>43846</v>
      </c>
      <c r="C2991" s="1" t="n">
        <v>45353</v>
      </c>
      <c r="D2991" t="inlineStr">
        <is>
          <t>VÄRMLANDS LÄN</t>
        </is>
      </c>
      <c r="E2991" t="inlineStr">
        <is>
          <t>KARLSTAD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2358-2020</t>
        </is>
      </c>
      <c r="B2992" s="1" t="n">
        <v>43846</v>
      </c>
      <c r="C2992" s="1" t="n">
        <v>45353</v>
      </c>
      <c r="D2992" t="inlineStr">
        <is>
          <t>VÄRMLANDS LÄN</t>
        </is>
      </c>
      <c r="E2992" t="inlineStr">
        <is>
          <t>FORSHAGA</t>
        </is>
      </c>
      <c r="F2992" t="inlineStr">
        <is>
          <t>Bergvik skog väst AB</t>
        </is>
      </c>
      <c r="G2992" t="n">
        <v>18.7</v>
      </c>
      <c r="H2992" t="n">
        <v>0</v>
      </c>
      <c r="I2992" t="n">
        <v>0</v>
      </c>
      <c r="J2992" t="n">
        <v>0</v>
      </c>
      <c r="K2992" t="n">
        <v>0</v>
      </c>
      <c r="L2992" t="n">
        <v>0</v>
      </c>
      <c r="M2992" t="n">
        <v>0</v>
      </c>
      <c r="N2992" t="n">
        <v>0</v>
      </c>
      <c r="O2992" t="n">
        <v>0</v>
      </c>
      <c r="P2992" t="n">
        <v>0</v>
      </c>
      <c r="Q2992" t="n">
        <v>0</v>
      </c>
      <c r="R2992" s="2" t="inlineStr"/>
    </row>
    <row r="2993" ht="15" customHeight="1">
      <c r="A2993" t="inlineStr">
        <is>
          <t>A 3903-2020</t>
        </is>
      </c>
      <c r="B2993" s="1" t="n">
        <v>43846</v>
      </c>
      <c r="C2993" s="1" t="n">
        <v>45353</v>
      </c>
      <c r="D2993" t="inlineStr">
        <is>
          <t>VÄRMLANDS LÄN</t>
        </is>
      </c>
      <c r="E2993" t="inlineStr">
        <is>
          <t>ARVIKA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2120-2020</t>
        </is>
      </c>
      <c r="B2994" s="1" t="n">
        <v>43846</v>
      </c>
      <c r="C2994" s="1" t="n">
        <v>45353</v>
      </c>
      <c r="D2994" t="inlineStr">
        <is>
          <t>VÄRMLANDS LÄN</t>
        </is>
      </c>
      <c r="E2994" t="inlineStr">
        <is>
          <t>KRISTINEHAMN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4017-2020</t>
        </is>
      </c>
      <c r="B2995" s="1" t="n">
        <v>43846</v>
      </c>
      <c r="C2995" s="1" t="n">
        <v>45353</v>
      </c>
      <c r="D2995" t="inlineStr">
        <is>
          <t>VÄRMLANDS LÄN</t>
        </is>
      </c>
      <c r="E2995" t="inlineStr">
        <is>
          <t>TORSBY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2392-2020</t>
        </is>
      </c>
      <c r="B2996" s="1" t="n">
        <v>43847</v>
      </c>
      <c r="C2996" s="1" t="n">
        <v>45353</v>
      </c>
      <c r="D2996" t="inlineStr">
        <is>
          <t>VÄRMLANDS LÄN</t>
        </is>
      </c>
      <c r="E2996" t="inlineStr">
        <is>
          <t>ÅRJÄNG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2437-2020</t>
        </is>
      </c>
      <c r="B2997" s="1" t="n">
        <v>43847</v>
      </c>
      <c r="C2997" s="1" t="n">
        <v>45353</v>
      </c>
      <c r="D2997" t="inlineStr">
        <is>
          <t>VÄRMLANDS LÄN</t>
        </is>
      </c>
      <c r="E2997" t="inlineStr">
        <is>
          <t>ÅRJÄNG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2389-2020</t>
        </is>
      </c>
      <c r="B2998" s="1" t="n">
        <v>43847</v>
      </c>
      <c r="C2998" s="1" t="n">
        <v>45353</v>
      </c>
      <c r="D2998" t="inlineStr">
        <is>
          <t>VÄRMLANDS LÄN</t>
        </is>
      </c>
      <c r="E2998" t="inlineStr">
        <is>
          <t>ÅRJÄNG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4276-2020</t>
        </is>
      </c>
      <c r="B2999" s="1" t="n">
        <v>43847</v>
      </c>
      <c r="C2999" s="1" t="n">
        <v>45353</v>
      </c>
      <c r="D2999" t="inlineStr">
        <is>
          <t>VÄRMLANDS LÄN</t>
        </is>
      </c>
      <c r="E2999" t="inlineStr">
        <is>
          <t>SÄFFLE</t>
        </is>
      </c>
      <c r="F2999" t="inlineStr">
        <is>
          <t>Bergvik skog väst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2624-2020</t>
        </is>
      </c>
      <c r="B3000" s="1" t="n">
        <v>43847</v>
      </c>
      <c r="C3000" s="1" t="n">
        <v>45353</v>
      </c>
      <c r="D3000" t="inlineStr">
        <is>
          <t>VÄRMLANDS LÄN</t>
        </is>
      </c>
      <c r="E3000" t="inlineStr">
        <is>
          <t>ARVIKA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2388-2020</t>
        </is>
      </c>
      <c r="B3001" s="1" t="n">
        <v>43847</v>
      </c>
      <c r="C3001" s="1" t="n">
        <v>45353</v>
      </c>
      <c r="D3001" t="inlineStr">
        <is>
          <t>VÄRMLANDS LÄN</t>
        </is>
      </c>
      <c r="E3001" t="inlineStr">
        <is>
          <t>ÅRJÄNG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2657-2020</t>
        </is>
      </c>
      <c r="B3002" s="1" t="n">
        <v>43848</v>
      </c>
      <c r="C3002" s="1" t="n">
        <v>45353</v>
      </c>
      <c r="D3002" t="inlineStr">
        <is>
          <t>VÄRMLANDS LÄN</t>
        </is>
      </c>
      <c r="E3002" t="inlineStr">
        <is>
          <t>ÅRJÄNG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2660-2020</t>
        </is>
      </c>
      <c r="B3003" s="1" t="n">
        <v>43848</v>
      </c>
      <c r="C3003" s="1" t="n">
        <v>45353</v>
      </c>
      <c r="D3003" t="inlineStr">
        <is>
          <t>VÄRMLANDS LÄN</t>
        </is>
      </c>
      <c r="E3003" t="inlineStr">
        <is>
          <t>SÄFFLE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2656-2020</t>
        </is>
      </c>
      <c r="B3004" s="1" t="n">
        <v>43848</v>
      </c>
      <c r="C3004" s="1" t="n">
        <v>45353</v>
      </c>
      <c r="D3004" t="inlineStr">
        <is>
          <t>VÄRMLANDS LÄN</t>
        </is>
      </c>
      <c r="E3004" t="inlineStr">
        <is>
          <t>ÅRJÄNG</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2868-2020</t>
        </is>
      </c>
      <c r="B3005" s="1" t="n">
        <v>43850</v>
      </c>
      <c r="C3005" s="1" t="n">
        <v>45353</v>
      </c>
      <c r="D3005" t="inlineStr">
        <is>
          <t>VÄRMLANDS LÄN</t>
        </is>
      </c>
      <c r="E3005" t="inlineStr">
        <is>
          <t>STORFORS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2720-2020</t>
        </is>
      </c>
      <c r="B3006" s="1" t="n">
        <v>43850</v>
      </c>
      <c r="C3006" s="1" t="n">
        <v>45353</v>
      </c>
      <c r="D3006" t="inlineStr">
        <is>
          <t>VÄRMLANDS LÄN</t>
        </is>
      </c>
      <c r="E3006" t="inlineStr">
        <is>
          <t>HAGFORS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2902-2020</t>
        </is>
      </c>
      <c r="B3007" s="1" t="n">
        <v>43850</v>
      </c>
      <c r="C3007" s="1" t="n">
        <v>45353</v>
      </c>
      <c r="D3007" t="inlineStr">
        <is>
          <t>VÄRMLANDS LÄN</t>
        </is>
      </c>
      <c r="E3007" t="inlineStr">
        <is>
          <t>STORFORS</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2717-2020</t>
        </is>
      </c>
      <c r="B3008" s="1" t="n">
        <v>43850</v>
      </c>
      <c r="C3008" s="1" t="n">
        <v>45353</v>
      </c>
      <c r="D3008" t="inlineStr">
        <is>
          <t>VÄRMLANDS LÄN</t>
        </is>
      </c>
      <c r="E3008" t="inlineStr">
        <is>
          <t>EDA</t>
        </is>
      </c>
      <c r="F3008" t="inlineStr">
        <is>
          <t>Övriga Aktiebolag</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2906-2020</t>
        </is>
      </c>
      <c r="B3009" s="1" t="n">
        <v>43850</v>
      </c>
      <c r="C3009" s="1" t="n">
        <v>45353</v>
      </c>
      <c r="D3009" t="inlineStr">
        <is>
          <t>VÄRMLANDS LÄN</t>
        </is>
      </c>
      <c r="E3009" t="inlineStr">
        <is>
          <t>STORFORS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2927-2020</t>
        </is>
      </c>
      <c r="B3010" s="1" t="n">
        <v>43850</v>
      </c>
      <c r="C3010" s="1" t="n">
        <v>45353</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4469-2020</t>
        </is>
      </c>
      <c r="B3011" s="1" t="n">
        <v>43850</v>
      </c>
      <c r="C3011" s="1" t="n">
        <v>45353</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4744-2020</t>
        </is>
      </c>
      <c r="B3012" s="1" t="n">
        <v>43850</v>
      </c>
      <c r="C3012" s="1" t="n">
        <v>45353</v>
      </c>
      <c r="D3012" t="inlineStr">
        <is>
          <t>VÄRMLANDS LÄN</t>
        </is>
      </c>
      <c r="E3012" t="inlineStr">
        <is>
          <t>SÄFFLE</t>
        </is>
      </c>
      <c r="F3012" t="inlineStr">
        <is>
          <t>Bergvik skog väst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3016-2020</t>
        </is>
      </c>
      <c r="B3013" s="1" t="n">
        <v>43851</v>
      </c>
      <c r="C3013" s="1" t="n">
        <v>45353</v>
      </c>
      <c r="D3013" t="inlineStr">
        <is>
          <t>VÄRMLANDS LÄN</t>
        </is>
      </c>
      <c r="E3013" t="inlineStr">
        <is>
          <t>KARLSTAD</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4557-2020</t>
        </is>
      </c>
      <c r="B3014" s="1" t="n">
        <v>43851</v>
      </c>
      <c r="C3014" s="1" t="n">
        <v>45353</v>
      </c>
      <c r="D3014" t="inlineStr">
        <is>
          <t>VÄRMLANDS LÄN</t>
        </is>
      </c>
      <c r="E3014" t="inlineStr">
        <is>
          <t>SUNNE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3053-2020</t>
        </is>
      </c>
      <c r="B3015" s="1" t="n">
        <v>43851</v>
      </c>
      <c r="C3015" s="1" t="n">
        <v>45353</v>
      </c>
      <c r="D3015" t="inlineStr">
        <is>
          <t>VÄRMLANDS LÄN</t>
        </is>
      </c>
      <c r="E3015" t="inlineStr">
        <is>
          <t>SUNNE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3140-2020</t>
        </is>
      </c>
      <c r="B3016" s="1" t="n">
        <v>43851</v>
      </c>
      <c r="C3016" s="1" t="n">
        <v>45353</v>
      </c>
      <c r="D3016" t="inlineStr">
        <is>
          <t>VÄRMLANDS LÄN</t>
        </is>
      </c>
      <c r="E3016" t="inlineStr">
        <is>
          <t>SÄFFLE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3149-2020</t>
        </is>
      </c>
      <c r="B3017" s="1" t="n">
        <v>43851</v>
      </c>
      <c r="C3017" s="1" t="n">
        <v>45353</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3091-2020</t>
        </is>
      </c>
      <c r="B3018" s="1" t="n">
        <v>43851</v>
      </c>
      <c r="C3018" s="1" t="n">
        <v>45353</v>
      </c>
      <c r="D3018" t="inlineStr">
        <is>
          <t>VÄRMLANDS LÄN</t>
        </is>
      </c>
      <c r="E3018" t="inlineStr">
        <is>
          <t>HAGFORS</t>
        </is>
      </c>
      <c r="F3018" t="inlineStr">
        <is>
          <t>Bergvik skog väst AB</t>
        </is>
      </c>
      <c r="G3018" t="n">
        <v>29.7</v>
      </c>
      <c r="H3018" t="n">
        <v>0</v>
      </c>
      <c r="I3018" t="n">
        <v>0</v>
      </c>
      <c r="J3018" t="n">
        <v>0</v>
      </c>
      <c r="K3018" t="n">
        <v>0</v>
      </c>
      <c r="L3018" t="n">
        <v>0</v>
      </c>
      <c r="M3018" t="n">
        <v>0</v>
      </c>
      <c r="N3018" t="n">
        <v>0</v>
      </c>
      <c r="O3018" t="n">
        <v>0</v>
      </c>
      <c r="P3018" t="n">
        <v>0</v>
      </c>
      <c r="Q3018" t="n">
        <v>0</v>
      </c>
      <c r="R3018" s="2" t="inlineStr"/>
    </row>
    <row r="3019" ht="15" customHeight="1">
      <c r="A3019" t="inlineStr">
        <is>
          <t>A 3394-2020</t>
        </is>
      </c>
      <c r="B3019" s="1" t="n">
        <v>43852</v>
      </c>
      <c r="C3019" s="1" t="n">
        <v>45353</v>
      </c>
      <c r="D3019" t="inlineStr">
        <is>
          <t>VÄRMLANDS LÄN</t>
        </is>
      </c>
      <c r="E3019" t="inlineStr">
        <is>
          <t>ÅRJÄNG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3420-2020</t>
        </is>
      </c>
      <c r="B3020" s="1" t="n">
        <v>43852</v>
      </c>
      <c r="C3020" s="1" t="n">
        <v>45353</v>
      </c>
      <c r="D3020" t="inlineStr">
        <is>
          <t>VÄRMLANDS LÄN</t>
        </is>
      </c>
      <c r="E3020" t="inlineStr">
        <is>
          <t>ARVIKA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3316-2020</t>
        </is>
      </c>
      <c r="B3021" s="1" t="n">
        <v>43852</v>
      </c>
      <c r="C3021" s="1" t="n">
        <v>45353</v>
      </c>
      <c r="D3021" t="inlineStr">
        <is>
          <t>VÄRMLANDS LÄN</t>
        </is>
      </c>
      <c r="E3021" t="inlineStr">
        <is>
          <t>ÅRJÄNG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3323-2020</t>
        </is>
      </c>
      <c r="B3022" s="1" t="n">
        <v>43852</v>
      </c>
      <c r="C3022" s="1" t="n">
        <v>45353</v>
      </c>
      <c r="D3022" t="inlineStr">
        <is>
          <t>VÄRMLANDS LÄN</t>
        </is>
      </c>
      <c r="E3022" t="inlineStr">
        <is>
          <t>ÅRJÄNG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3351-2020</t>
        </is>
      </c>
      <c r="B3023" s="1" t="n">
        <v>43852</v>
      </c>
      <c r="C3023" s="1" t="n">
        <v>45353</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4801-2020</t>
        </is>
      </c>
      <c r="B3024" s="1" t="n">
        <v>43852</v>
      </c>
      <c r="C3024" s="1" t="n">
        <v>45353</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4676-2020</t>
        </is>
      </c>
      <c r="B3025" s="1" t="n">
        <v>43852</v>
      </c>
      <c r="C3025" s="1" t="n">
        <v>45353</v>
      </c>
      <c r="D3025" t="inlineStr">
        <is>
          <t>VÄRMLANDS LÄN</t>
        </is>
      </c>
      <c r="E3025" t="inlineStr">
        <is>
          <t>SUNNE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3388-2020</t>
        </is>
      </c>
      <c r="B3026" s="1" t="n">
        <v>43852</v>
      </c>
      <c r="C3026" s="1" t="n">
        <v>45353</v>
      </c>
      <c r="D3026" t="inlineStr">
        <is>
          <t>VÄRMLANDS LÄN</t>
        </is>
      </c>
      <c r="E3026" t="inlineStr">
        <is>
          <t>ÅRJÄNG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3245-2020</t>
        </is>
      </c>
      <c r="B3027" s="1" t="n">
        <v>43852</v>
      </c>
      <c r="C3027" s="1" t="n">
        <v>45353</v>
      </c>
      <c r="D3027" t="inlineStr">
        <is>
          <t>VÄRMLANDS LÄN</t>
        </is>
      </c>
      <c r="E3027" t="inlineStr">
        <is>
          <t>FORSHAGA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3665-2020</t>
        </is>
      </c>
      <c r="B3028" s="1" t="n">
        <v>43853</v>
      </c>
      <c r="C3028" s="1" t="n">
        <v>45353</v>
      </c>
      <c r="D3028" t="inlineStr">
        <is>
          <t>VÄRMLANDS LÄN</t>
        </is>
      </c>
      <c r="E3028" t="inlineStr">
        <is>
          <t>KRISTINEHAMN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4930-2020</t>
        </is>
      </c>
      <c r="B3029" s="1" t="n">
        <v>43853</v>
      </c>
      <c r="C3029" s="1" t="n">
        <v>45353</v>
      </c>
      <c r="D3029" t="inlineStr">
        <is>
          <t>VÄRMLANDS LÄN</t>
        </is>
      </c>
      <c r="E3029" t="inlineStr">
        <is>
          <t>SÄFFLE</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5030-2020</t>
        </is>
      </c>
      <c r="B3030" s="1" t="n">
        <v>43853</v>
      </c>
      <c r="C3030" s="1" t="n">
        <v>45353</v>
      </c>
      <c r="D3030" t="inlineStr">
        <is>
          <t>VÄRMLANDS LÄN</t>
        </is>
      </c>
      <c r="E3030" t="inlineStr">
        <is>
          <t>HAGFORS</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3927-2020</t>
        </is>
      </c>
      <c r="B3031" s="1" t="n">
        <v>43854</v>
      </c>
      <c r="C3031" s="1" t="n">
        <v>45353</v>
      </c>
      <c r="D3031" t="inlineStr">
        <is>
          <t>VÄRMLANDS LÄN</t>
        </is>
      </c>
      <c r="E3031" t="inlineStr">
        <is>
          <t>ARVIKA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3748-2020</t>
        </is>
      </c>
      <c r="B3032" s="1" t="n">
        <v>43854</v>
      </c>
      <c r="C3032" s="1" t="n">
        <v>45353</v>
      </c>
      <c r="D3032" t="inlineStr">
        <is>
          <t>VÄRMLANDS LÄN</t>
        </is>
      </c>
      <c r="E3032" t="inlineStr">
        <is>
          <t>HAGFORS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4105-2020</t>
        </is>
      </c>
      <c r="B3033" s="1" t="n">
        <v>43857</v>
      </c>
      <c r="C3033" s="1" t="n">
        <v>45353</v>
      </c>
      <c r="D3033" t="inlineStr">
        <is>
          <t>VÄRMLANDS LÄN</t>
        </is>
      </c>
      <c r="E3033" t="inlineStr">
        <is>
          <t>HAGFORS</t>
        </is>
      </c>
      <c r="F3033" t="inlineStr">
        <is>
          <t>Bergvik skog väst AB</t>
        </is>
      </c>
      <c r="G3033" t="n">
        <v>23.5</v>
      </c>
      <c r="H3033" t="n">
        <v>0</v>
      </c>
      <c r="I3033" t="n">
        <v>0</v>
      </c>
      <c r="J3033" t="n">
        <v>0</v>
      </c>
      <c r="K3033" t="n">
        <v>0</v>
      </c>
      <c r="L3033" t="n">
        <v>0</v>
      </c>
      <c r="M3033" t="n">
        <v>0</v>
      </c>
      <c r="N3033" t="n">
        <v>0</v>
      </c>
      <c r="O3033" t="n">
        <v>0</v>
      </c>
      <c r="P3033" t="n">
        <v>0</v>
      </c>
      <c r="Q3033" t="n">
        <v>0</v>
      </c>
      <c r="R3033" s="2" t="inlineStr"/>
    </row>
    <row r="3034" ht="15" customHeight="1">
      <c r="A3034" t="inlineStr">
        <is>
          <t>A 4215-2020</t>
        </is>
      </c>
      <c r="B3034" s="1" t="n">
        <v>43857</v>
      </c>
      <c r="C3034" s="1" t="n">
        <v>45353</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4114-2020</t>
        </is>
      </c>
      <c r="B3035" s="1" t="n">
        <v>43857</v>
      </c>
      <c r="C3035" s="1" t="n">
        <v>45353</v>
      </c>
      <c r="D3035" t="inlineStr">
        <is>
          <t>VÄRMLANDS LÄN</t>
        </is>
      </c>
      <c r="E3035" t="inlineStr">
        <is>
          <t>EDA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4210-2020</t>
        </is>
      </c>
      <c r="B3036" s="1" t="n">
        <v>43857</v>
      </c>
      <c r="C3036" s="1" t="n">
        <v>45353</v>
      </c>
      <c r="D3036" t="inlineStr">
        <is>
          <t>VÄRMLANDS LÄN</t>
        </is>
      </c>
      <c r="E3036" t="inlineStr">
        <is>
          <t>KRISTINEHAMN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5357-2020</t>
        </is>
      </c>
      <c r="B3037" s="1" t="n">
        <v>43857</v>
      </c>
      <c r="C3037" s="1" t="n">
        <v>45353</v>
      </c>
      <c r="D3037" t="inlineStr">
        <is>
          <t>VÄRMLANDS LÄN</t>
        </is>
      </c>
      <c r="E3037" t="inlineStr">
        <is>
          <t>SÄFFLE</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5359-2020</t>
        </is>
      </c>
      <c r="B3038" s="1" t="n">
        <v>43857</v>
      </c>
      <c r="C3038" s="1" t="n">
        <v>45353</v>
      </c>
      <c r="D3038" t="inlineStr">
        <is>
          <t>VÄRMLANDS LÄN</t>
        </is>
      </c>
      <c r="E3038" t="inlineStr">
        <is>
          <t>ARVIKA</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4400-2020</t>
        </is>
      </c>
      <c r="B3039" s="1" t="n">
        <v>43858</v>
      </c>
      <c r="C3039" s="1" t="n">
        <v>45353</v>
      </c>
      <c r="D3039" t="inlineStr">
        <is>
          <t>VÄRMLANDS LÄN</t>
        </is>
      </c>
      <c r="E3039" t="inlineStr">
        <is>
          <t>GRUMS</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4661-2020</t>
        </is>
      </c>
      <c r="B3040" s="1" t="n">
        <v>43858</v>
      </c>
      <c r="C3040" s="1" t="n">
        <v>45353</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4835-2020</t>
        </is>
      </c>
      <c r="B3041" s="1" t="n">
        <v>43859</v>
      </c>
      <c r="C3041" s="1" t="n">
        <v>45353</v>
      </c>
      <c r="D3041" t="inlineStr">
        <is>
          <t>VÄRMLANDS LÄN</t>
        </is>
      </c>
      <c r="E3041" t="inlineStr">
        <is>
          <t>SUNNE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4753-2020</t>
        </is>
      </c>
      <c r="B3042" s="1" t="n">
        <v>43859</v>
      </c>
      <c r="C3042" s="1" t="n">
        <v>45353</v>
      </c>
      <c r="D3042" t="inlineStr">
        <is>
          <t>VÄRMLANDS LÄN</t>
        </is>
      </c>
      <c r="E3042" t="inlineStr">
        <is>
          <t>TORSBY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4841-2020</t>
        </is>
      </c>
      <c r="B3043" s="1" t="n">
        <v>43859</v>
      </c>
      <c r="C3043" s="1" t="n">
        <v>45353</v>
      </c>
      <c r="D3043" t="inlineStr">
        <is>
          <t>VÄRMLANDS LÄN</t>
        </is>
      </c>
      <c r="E3043" t="inlineStr">
        <is>
          <t>GRUMS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5180-2020</t>
        </is>
      </c>
      <c r="B3044" s="1" t="n">
        <v>43860</v>
      </c>
      <c r="C3044" s="1" t="n">
        <v>45353</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5196-2020</t>
        </is>
      </c>
      <c r="B3045" s="1" t="n">
        <v>43860</v>
      </c>
      <c r="C3045" s="1" t="n">
        <v>45353</v>
      </c>
      <c r="D3045" t="inlineStr">
        <is>
          <t>VÄRMLANDS LÄN</t>
        </is>
      </c>
      <c r="E3045" t="inlineStr">
        <is>
          <t>FILIPSTAD</t>
        </is>
      </c>
      <c r="F3045" t="inlineStr">
        <is>
          <t>Bergvik skog väst AB</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5229-2020</t>
        </is>
      </c>
      <c r="B3046" s="1" t="n">
        <v>43860</v>
      </c>
      <c r="C3046" s="1" t="n">
        <v>45353</v>
      </c>
      <c r="D3046" t="inlineStr">
        <is>
          <t>VÄRMLANDS LÄN</t>
        </is>
      </c>
      <c r="E3046" t="inlineStr">
        <is>
          <t>FILIPSTAD</t>
        </is>
      </c>
      <c r="F3046" t="inlineStr">
        <is>
          <t>Bergvik skog väst AB</t>
        </is>
      </c>
      <c r="G3046" t="n">
        <v>21.9</v>
      </c>
      <c r="H3046" t="n">
        <v>0</v>
      </c>
      <c r="I3046" t="n">
        <v>0</v>
      </c>
      <c r="J3046" t="n">
        <v>0</v>
      </c>
      <c r="K3046" t="n">
        <v>0</v>
      </c>
      <c r="L3046" t="n">
        <v>0</v>
      </c>
      <c r="M3046" t="n">
        <v>0</v>
      </c>
      <c r="N3046" t="n">
        <v>0</v>
      </c>
      <c r="O3046" t="n">
        <v>0</v>
      </c>
      <c r="P3046" t="n">
        <v>0</v>
      </c>
      <c r="Q3046" t="n">
        <v>0</v>
      </c>
      <c r="R3046" s="2" t="inlineStr"/>
    </row>
    <row r="3047" ht="15" customHeight="1">
      <c r="A3047" t="inlineStr">
        <is>
          <t>A 5280-2020</t>
        </is>
      </c>
      <c r="B3047" s="1" t="n">
        <v>43860</v>
      </c>
      <c r="C3047" s="1" t="n">
        <v>45353</v>
      </c>
      <c r="D3047" t="inlineStr">
        <is>
          <t>VÄRMLANDS LÄN</t>
        </is>
      </c>
      <c r="E3047" t="inlineStr">
        <is>
          <t>FILIPSTAD</t>
        </is>
      </c>
      <c r="F3047" t="inlineStr">
        <is>
          <t>Bergvik skog väst AB</t>
        </is>
      </c>
      <c r="G3047" t="n">
        <v>49.8</v>
      </c>
      <c r="H3047" t="n">
        <v>0</v>
      </c>
      <c r="I3047" t="n">
        <v>0</v>
      </c>
      <c r="J3047" t="n">
        <v>0</v>
      </c>
      <c r="K3047" t="n">
        <v>0</v>
      </c>
      <c r="L3047" t="n">
        <v>0</v>
      </c>
      <c r="M3047" t="n">
        <v>0</v>
      </c>
      <c r="N3047" t="n">
        <v>0</v>
      </c>
      <c r="O3047" t="n">
        <v>0</v>
      </c>
      <c r="P3047" t="n">
        <v>0</v>
      </c>
      <c r="Q3047" t="n">
        <v>0</v>
      </c>
      <c r="R3047" s="2" t="inlineStr"/>
    </row>
    <row r="3048" ht="15" customHeight="1">
      <c r="A3048" t="inlineStr">
        <is>
          <t>A 5426-2020</t>
        </is>
      </c>
      <c r="B3048" s="1" t="n">
        <v>43861</v>
      </c>
      <c r="C3048" s="1" t="n">
        <v>45353</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5425-2020</t>
        </is>
      </c>
      <c r="B3049" s="1" t="n">
        <v>43861</v>
      </c>
      <c r="C3049" s="1" t="n">
        <v>45353</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5521-2020</t>
        </is>
      </c>
      <c r="B3050" s="1" t="n">
        <v>43861</v>
      </c>
      <c r="C3050" s="1" t="n">
        <v>45353</v>
      </c>
      <c r="D3050" t="inlineStr">
        <is>
          <t>VÄRMLANDS LÄN</t>
        </is>
      </c>
      <c r="E3050" t="inlineStr">
        <is>
          <t>SÄFFLE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5443-2020</t>
        </is>
      </c>
      <c r="B3051" s="1" t="n">
        <v>43861</v>
      </c>
      <c r="C3051" s="1" t="n">
        <v>45353</v>
      </c>
      <c r="D3051" t="inlineStr">
        <is>
          <t>VÄRMLANDS LÄN</t>
        </is>
      </c>
      <c r="E3051" t="inlineStr">
        <is>
          <t>KRISTINEHAMN</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5513-2020</t>
        </is>
      </c>
      <c r="B3052" s="1" t="n">
        <v>43861</v>
      </c>
      <c r="C3052" s="1" t="n">
        <v>45353</v>
      </c>
      <c r="D3052" t="inlineStr">
        <is>
          <t>VÄRMLANDS LÄN</t>
        </is>
      </c>
      <c r="E3052" t="inlineStr">
        <is>
          <t>SUNNE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5427-2020</t>
        </is>
      </c>
      <c r="B3053" s="1" t="n">
        <v>43861</v>
      </c>
      <c r="C3053" s="1" t="n">
        <v>45353</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5602-2020</t>
        </is>
      </c>
      <c r="B3054" s="1" t="n">
        <v>43861</v>
      </c>
      <c r="C3054" s="1" t="n">
        <v>45353</v>
      </c>
      <c r="D3054" t="inlineStr">
        <is>
          <t>VÄRMLANDS LÄN</t>
        </is>
      </c>
      <c r="E3054" t="inlineStr">
        <is>
          <t>ARVIKA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5787-2020</t>
        </is>
      </c>
      <c r="B3055" s="1" t="n">
        <v>43861</v>
      </c>
      <c r="C3055" s="1" t="n">
        <v>45353</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5797-2020</t>
        </is>
      </c>
      <c r="B3056" s="1" t="n">
        <v>43861</v>
      </c>
      <c r="C3056" s="1" t="n">
        <v>45353</v>
      </c>
      <c r="D3056" t="inlineStr">
        <is>
          <t>VÄRMLANDS LÄN</t>
        </is>
      </c>
      <c r="E3056" t="inlineStr">
        <is>
          <t>ÅRJÄNG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5783-2020</t>
        </is>
      </c>
      <c r="B3057" s="1" t="n">
        <v>43861</v>
      </c>
      <c r="C3057" s="1" t="n">
        <v>45353</v>
      </c>
      <c r="D3057" t="inlineStr">
        <is>
          <t>VÄRMLANDS LÄN</t>
        </is>
      </c>
      <c r="E3057" t="inlineStr">
        <is>
          <t>ÅRJÄNG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5796-2020</t>
        </is>
      </c>
      <c r="B3058" s="1" t="n">
        <v>43861</v>
      </c>
      <c r="C3058" s="1" t="n">
        <v>45353</v>
      </c>
      <c r="D3058" t="inlineStr">
        <is>
          <t>VÄRMLANDS LÄN</t>
        </is>
      </c>
      <c r="E3058" t="inlineStr">
        <is>
          <t>ÅRJÄNG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5547-2020</t>
        </is>
      </c>
      <c r="B3059" s="1" t="n">
        <v>43861</v>
      </c>
      <c r="C3059" s="1" t="n">
        <v>45353</v>
      </c>
      <c r="D3059" t="inlineStr">
        <is>
          <t>VÄRMLANDS LÄN</t>
        </is>
      </c>
      <c r="E3059" t="inlineStr">
        <is>
          <t>SUNNE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5794-2020</t>
        </is>
      </c>
      <c r="B3060" s="1" t="n">
        <v>43861</v>
      </c>
      <c r="C3060" s="1" t="n">
        <v>45353</v>
      </c>
      <c r="D3060" t="inlineStr">
        <is>
          <t>VÄRMLANDS LÄN</t>
        </is>
      </c>
      <c r="E3060" t="inlineStr">
        <is>
          <t>ÅRJÄNG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5793-2020</t>
        </is>
      </c>
      <c r="B3061" s="1" t="n">
        <v>43861</v>
      </c>
      <c r="C3061" s="1" t="n">
        <v>45353</v>
      </c>
      <c r="D3061" t="inlineStr">
        <is>
          <t>VÄRMLANDS LÄN</t>
        </is>
      </c>
      <c r="E3061" t="inlineStr">
        <is>
          <t>ÅRJÄNG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5455-2020</t>
        </is>
      </c>
      <c r="B3062" s="1" t="n">
        <v>43861</v>
      </c>
      <c r="C3062" s="1" t="n">
        <v>45353</v>
      </c>
      <c r="D3062" t="inlineStr">
        <is>
          <t>VÄRMLANDS LÄN</t>
        </is>
      </c>
      <c r="E3062" t="inlineStr">
        <is>
          <t>KRISTINEHAMN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6059-2020</t>
        </is>
      </c>
      <c r="B3063" s="1" t="n">
        <v>43864</v>
      </c>
      <c r="C3063" s="1" t="n">
        <v>45353</v>
      </c>
      <c r="D3063" t="inlineStr">
        <is>
          <t>VÄRMLANDS LÄN</t>
        </is>
      </c>
      <c r="E3063" t="inlineStr">
        <is>
          <t>KRISTINEHAMN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6129-2020</t>
        </is>
      </c>
      <c r="B3064" s="1" t="n">
        <v>43864</v>
      </c>
      <c r="C3064" s="1" t="n">
        <v>45353</v>
      </c>
      <c r="D3064" t="inlineStr">
        <is>
          <t>VÄRMLANDS LÄN</t>
        </is>
      </c>
      <c r="E3064" t="inlineStr">
        <is>
          <t>GRUMS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5949-2020</t>
        </is>
      </c>
      <c r="B3065" s="1" t="n">
        <v>43864</v>
      </c>
      <c r="C3065" s="1" t="n">
        <v>45353</v>
      </c>
      <c r="D3065" t="inlineStr">
        <is>
          <t>VÄRMLANDS LÄN</t>
        </is>
      </c>
      <c r="E3065" t="inlineStr">
        <is>
          <t>KRISTINEHAMN</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6416-2020</t>
        </is>
      </c>
      <c r="B3066" s="1" t="n">
        <v>43864</v>
      </c>
      <c r="C3066" s="1" t="n">
        <v>45353</v>
      </c>
      <c r="D3066" t="inlineStr">
        <is>
          <t>VÄRMLANDS LÄN</t>
        </is>
      </c>
      <c r="E3066" t="inlineStr">
        <is>
          <t>SÄFFLE</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6125-2020</t>
        </is>
      </c>
      <c r="B3067" s="1" t="n">
        <v>43864</v>
      </c>
      <c r="C3067" s="1" t="n">
        <v>45353</v>
      </c>
      <c r="D3067" t="inlineStr">
        <is>
          <t>VÄRMLANDS LÄN</t>
        </is>
      </c>
      <c r="E3067" t="inlineStr">
        <is>
          <t>GRUMS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6410-2020</t>
        </is>
      </c>
      <c r="B3068" s="1" t="n">
        <v>43864</v>
      </c>
      <c r="C3068" s="1" t="n">
        <v>45353</v>
      </c>
      <c r="D3068" t="inlineStr">
        <is>
          <t>VÄRMLANDS LÄN</t>
        </is>
      </c>
      <c r="E3068" t="inlineStr">
        <is>
          <t>GRUMS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6031-2020</t>
        </is>
      </c>
      <c r="B3069" s="1" t="n">
        <v>43865</v>
      </c>
      <c r="C3069" s="1" t="n">
        <v>45353</v>
      </c>
      <c r="D3069" t="inlineStr">
        <is>
          <t>VÄRMLANDS LÄN</t>
        </is>
      </c>
      <c r="E3069" t="inlineStr">
        <is>
          <t>KRISTINEHAMN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6169-2020</t>
        </is>
      </c>
      <c r="B3070" s="1" t="n">
        <v>43865</v>
      </c>
      <c r="C3070" s="1" t="n">
        <v>45353</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6069-2020</t>
        </is>
      </c>
      <c r="B3071" s="1" t="n">
        <v>43865</v>
      </c>
      <c r="C3071" s="1" t="n">
        <v>45353</v>
      </c>
      <c r="D3071" t="inlineStr">
        <is>
          <t>VÄRMLANDS LÄN</t>
        </is>
      </c>
      <c r="E3071" t="inlineStr">
        <is>
          <t>HAGFORS</t>
        </is>
      </c>
      <c r="F3071" t="inlineStr">
        <is>
          <t>Bergvik skog väst AB</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6181-2020</t>
        </is>
      </c>
      <c r="B3072" s="1" t="n">
        <v>43865</v>
      </c>
      <c r="C3072" s="1" t="n">
        <v>45353</v>
      </c>
      <c r="D3072" t="inlineStr">
        <is>
          <t>VÄRMLANDS LÄN</t>
        </is>
      </c>
      <c r="E3072" t="inlineStr">
        <is>
          <t>FILIPSTAD</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6288-2020</t>
        </is>
      </c>
      <c r="B3073" s="1" t="n">
        <v>43866</v>
      </c>
      <c r="C3073" s="1" t="n">
        <v>45353</v>
      </c>
      <c r="D3073" t="inlineStr">
        <is>
          <t>VÄRMLANDS LÄN</t>
        </is>
      </c>
      <c r="E3073" t="inlineStr">
        <is>
          <t>KARLSTAD</t>
        </is>
      </c>
      <c r="F3073" t="inlineStr">
        <is>
          <t>Kommuner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6309-2020</t>
        </is>
      </c>
      <c r="B3074" s="1" t="n">
        <v>43866</v>
      </c>
      <c r="C3074" s="1" t="n">
        <v>45353</v>
      </c>
      <c r="D3074" t="inlineStr">
        <is>
          <t>VÄRMLANDS LÄN</t>
        </is>
      </c>
      <c r="E3074" t="inlineStr">
        <is>
          <t>KARLSTAD</t>
        </is>
      </c>
      <c r="F3074" t="inlineStr">
        <is>
          <t>Kommuner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6426-2020</t>
        </is>
      </c>
      <c r="B3075" s="1" t="n">
        <v>43866</v>
      </c>
      <c r="C3075" s="1" t="n">
        <v>45353</v>
      </c>
      <c r="D3075" t="inlineStr">
        <is>
          <t>VÄRMLANDS LÄN</t>
        </is>
      </c>
      <c r="E3075" t="inlineStr">
        <is>
          <t>ÅRJÄNG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6494-2020</t>
        </is>
      </c>
      <c r="B3076" s="1" t="n">
        <v>43866</v>
      </c>
      <c r="C3076" s="1" t="n">
        <v>45353</v>
      </c>
      <c r="D3076" t="inlineStr">
        <is>
          <t>VÄRMLANDS LÄN</t>
        </is>
      </c>
      <c r="E3076" t="inlineStr">
        <is>
          <t>SUNNE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6720-2020</t>
        </is>
      </c>
      <c r="B3077" s="1" t="n">
        <v>43866</v>
      </c>
      <c r="C3077" s="1" t="n">
        <v>45353</v>
      </c>
      <c r="D3077" t="inlineStr">
        <is>
          <t>VÄRMLANDS LÄN</t>
        </is>
      </c>
      <c r="E3077" t="inlineStr">
        <is>
          <t>SÄFFLE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6591-2020</t>
        </is>
      </c>
      <c r="B3078" s="1" t="n">
        <v>43867</v>
      </c>
      <c r="C3078" s="1" t="n">
        <v>45353</v>
      </c>
      <c r="D3078" t="inlineStr">
        <is>
          <t>VÄRMLANDS LÄN</t>
        </is>
      </c>
      <c r="E3078" t="inlineStr">
        <is>
          <t>EDA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6637-2020</t>
        </is>
      </c>
      <c r="B3079" s="1" t="n">
        <v>43867</v>
      </c>
      <c r="C3079" s="1" t="n">
        <v>45353</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6770-2020</t>
        </is>
      </c>
      <c r="B3080" s="1" t="n">
        <v>43867</v>
      </c>
      <c r="C3080" s="1" t="n">
        <v>45353</v>
      </c>
      <c r="D3080" t="inlineStr">
        <is>
          <t>VÄRMLANDS LÄN</t>
        </is>
      </c>
      <c r="E3080" t="inlineStr">
        <is>
          <t>ARVIKA</t>
        </is>
      </c>
      <c r="F3080" t="inlineStr">
        <is>
          <t>Bergvik skog väst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6587-2020</t>
        </is>
      </c>
      <c r="B3081" s="1" t="n">
        <v>43867</v>
      </c>
      <c r="C3081" s="1" t="n">
        <v>45353</v>
      </c>
      <c r="D3081" t="inlineStr">
        <is>
          <t>VÄRMLANDS LÄN</t>
        </is>
      </c>
      <c r="E3081" t="inlineStr">
        <is>
          <t>EDA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6696-2020</t>
        </is>
      </c>
      <c r="B3082" s="1" t="n">
        <v>43867</v>
      </c>
      <c r="C3082" s="1" t="n">
        <v>45353</v>
      </c>
      <c r="D3082" t="inlineStr">
        <is>
          <t>VÄRMLANDS LÄN</t>
        </is>
      </c>
      <c r="E3082" t="inlineStr">
        <is>
          <t>ARVIKA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6866-2020</t>
        </is>
      </c>
      <c r="B3083" s="1" t="n">
        <v>43867</v>
      </c>
      <c r="C3083" s="1" t="n">
        <v>45353</v>
      </c>
      <c r="D3083" t="inlineStr">
        <is>
          <t>VÄRMLANDS LÄN</t>
        </is>
      </c>
      <c r="E3083" t="inlineStr">
        <is>
          <t>SÄFFLE</t>
        </is>
      </c>
      <c r="G3083" t="n">
        <v>17.9</v>
      </c>
      <c r="H3083" t="n">
        <v>0</v>
      </c>
      <c r="I3083" t="n">
        <v>0</v>
      </c>
      <c r="J3083" t="n">
        <v>0</v>
      </c>
      <c r="K3083" t="n">
        <v>0</v>
      </c>
      <c r="L3083" t="n">
        <v>0</v>
      </c>
      <c r="M3083" t="n">
        <v>0</v>
      </c>
      <c r="N3083" t="n">
        <v>0</v>
      </c>
      <c r="O3083" t="n">
        <v>0</v>
      </c>
      <c r="P3083" t="n">
        <v>0</v>
      </c>
      <c r="Q3083" t="n">
        <v>0</v>
      </c>
      <c r="R3083" s="2" t="inlineStr"/>
    </row>
    <row r="3084" ht="15" customHeight="1">
      <c r="A3084" t="inlineStr">
        <is>
          <t>A 6961-2020</t>
        </is>
      </c>
      <c r="B3084" s="1" t="n">
        <v>43868</v>
      </c>
      <c r="C3084" s="1" t="n">
        <v>45353</v>
      </c>
      <c r="D3084" t="inlineStr">
        <is>
          <t>VÄRMLANDS LÄN</t>
        </is>
      </c>
      <c r="E3084" t="inlineStr">
        <is>
          <t>ÅRJÄNG</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7000-2020</t>
        </is>
      </c>
      <c r="B3085" s="1" t="n">
        <v>43868</v>
      </c>
      <c r="C3085" s="1" t="n">
        <v>45353</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7035-2020</t>
        </is>
      </c>
      <c r="B3086" s="1" t="n">
        <v>43868</v>
      </c>
      <c r="C3086" s="1" t="n">
        <v>45353</v>
      </c>
      <c r="D3086" t="inlineStr">
        <is>
          <t>VÄRMLANDS LÄN</t>
        </is>
      </c>
      <c r="E3086" t="inlineStr">
        <is>
          <t>KRISTINEHAMN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7232-2020</t>
        </is>
      </c>
      <c r="B3087" s="1" t="n">
        <v>43868</v>
      </c>
      <c r="C3087" s="1" t="n">
        <v>45353</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6862-2020</t>
        </is>
      </c>
      <c r="B3088" s="1" t="n">
        <v>43868</v>
      </c>
      <c r="C3088" s="1" t="n">
        <v>45353</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7142-2020</t>
        </is>
      </c>
      <c r="B3089" s="1" t="n">
        <v>43869</v>
      </c>
      <c r="C3089" s="1" t="n">
        <v>45353</v>
      </c>
      <c r="D3089" t="inlineStr">
        <is>
          <t>VÄRMLANDS LÄN</t>
        </is>
      </c>
      <c r="E3089" t="inlineStr">
        <is>
          <t>HAGFORS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7141-2020</t>
        </is>
      </c>
      <c r="B3090" s="1" t="n">
        <v>43869</v>
      </c>
      <c r="C3090" s="1" t="n">
        <v>45353</v>
      </c>
      <c r="D3090" t="inlineStr">
        <is>
          <t>VÄRMLANDS LÄN</t>
        </is>
      </c>
      <c r="E3090" t="inlineStr">
        <is>
          <t>HAGFORS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7163-2020</t>
        </is>
      </c>
      <c r="B3091" s="1" t="n">
        <v>43870</v>
      </c>
      <c r="C3091" s="1" t="n">
        <v>45353</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7153-2020</t>
        </is>
      </c>
      <c r="B3092" s="1" t="n">
        <v>43870</v>
      </c>
      <c r="C3092" s="1" t="n">
        <v>45353</v>
      </c>
      <c r="D3092" t="inlineStr">
        <is>
          <t>VÄRMLANDS LÄN</t>
        </is>
      </c>
      <c r="E3092" t="inlineStr">
        <is>
          <t>TORSBY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7279-2020</t>
        </is>
      </c>
      <c r="B3093" s="1" t="n">
        <v>43871</v>
      </c>
      <c r="C3093" s="1" t="n">
        <v>45353</v>
      </c>
      <c r="D3093" t="inlineStr">
        <is>
          <t>VÄRMLANDS LÄN</t>
        </is>
      </c>
      <c r="E3093" t="inlineStr">
        <is>
          <t>TORSBY</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7248-2020</t>
        </is>
      </c>
      <c r="B3094" s="1" t="n">
        <v>43871</v>
      </c>
      <c r="C3094" s="1" t="n">
        <v>45353</v>
      </c>
      <c r="D3094" t="inlineStr">
        <is>
          <t>VÄRMLANDS LÄN</t>
        </is>
      </c>
      <c r="E3094" t="inlineStr">
        <is>
          <t>SUNNE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7217-2020</t>
        </is>
      </c>
      <c r="B3095" s="1" t="n">
        <v>43871</v>
      </c>
      <c r="C3095" s="1" t="n">
        <v>45353</v>
      </c>
      <c r="D3095" t="inlineStr">
        <is>
          <t>VÄRMLANDS LÄN</t>
        </is>
      </c>
      <c r="E3095" t="inlineStr">
        <is>
          <t>EDA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7359-2020</t>
        </is>
      </c>
      <c r="B3096" s="1" t="n">
        <v>43871</v>
      </c>
      <c r="C3096" s="1" t="n">
        <v>45353</v>
      </c>
      <c r="D3096" t="inlineStr">
        <is>
          <t>VÄRMLANDS LÄN</t>
        </is>
      </c>
      <c r="E3096" t="inlineStr">
        <is>
          <t>HAGFORS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7377-2020</t>
        </is>
      </c>
      <c r="B3097" s="1" t="n">
        <v>43871</v>
      </c>
      <c r="C3097" s="1" t="n">
        <v>45353</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7526-2020</t>
        </is>
      </c>
      <c r="B3098" s="1" t="n">
        <v>43871</v>
      </c>
      <c r="C3098" s="1" t="n">
        <v>45353</v>
      </c>
      <c r="D3098" t="inlineStr">
        <is>
          <t>VÄRMLANDS LÄN</t>
        </is>
      </c>
      <c r="E3098" t="inlineStr">
        <is>
          <t>TORSBY</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7582-2020</t>
        </is>
      </c>
      <c r="B3099" s="1" t="n">
        <v>43871</v>
      </c>
      <c r="C3099" s="1" t="n">
        <v>45353</v>
      </c>
      <c r="D3099" t="inlineStr">
        <is>
          <t>VÄRMLANDS LÄN</t>
        </is>
      </c>
      <c r="E3099" t="inlineStr">
        <is>
          <t>TORSBY</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7677-2020</t>
        </is>
      </c>
      <c r="B3100" s="1" t="n">
        <v>43872</v>
      </c>
      <c r="C3100" s="1" t="n">
        <v>45353</v>
      </c>
      <c r="D3100" t="inlineStr">
        <is>
          <t>VÄRMLANDS LÄN</t>
        </is>
      </c>
      <c r="E3100" t="inlineStr">
        <is>
          <t>EDA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7641-2020</t>
        </is>
      </c>
      <c r="B3101" s="1" t="n">
        <v>43872</v>
      </c>
      <c r="C3101" s="1" t="n">
        <v>45353</v>
      </c>
      <c r="D3101" t="inlineStr">
        <is>
          <t>VÄRMLANDS LÄN</t>
        </is>
      </c>
      <c r="E3101" t="inlineStr">
        <is>
          <t>KRISTINEHAMN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7656-2020</t>
        </is>
      </c>
      <c r="B3102" s="1" t="n">
        <v>43872</v>
      </c>
      <c r="C3102" s="1" t="n">
        <v>45353</v>
      </c>
      <c r="D3102" t="inlineStr">
        <is>
          <t>VÄRMLANDS LÄN</t>
        </is>
      </c>
      <c r="E3102" t="inlineStr">
        <is>
          <t>FILIPSTAD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7524-2020</t>
        </is>
      </c>
      <c r="B3103" s="1" t="n">
        <v>43872</v>
      </c>
      <c r="C3103" s="1" t="n">
        <v>45353</v>
      </c>
      <c r="D3103" t="inlineStr">
        <is>
          <t>VÄRMLANDS LÄN</t>
        </is>
      </c>
      <c r="E3103" t="inlineStr">
        <is>
          <t>ÅRJÄNG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7546-2020</t>
        </is>
      </c>
      <c r="B3104" s="1" t="n">
        <v>43872</v>
      </c>
      <c r="C3104" s="1" t="n">
        <v>45353</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7749-2020</t>
        </is>
      </c>
      <c r="B3105" s="1" t="n">
        <v>43872</v>
      </c>
      <c r="C3105" s="1" t="n">
        <v>45353</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7831-2020</t>
        </is>
      </c>
      <c r="B3106" s="1" t="n">
        <v>43872</v>
      </c>
      <c r="C3106" s="1" t="n">
        <v>45353</v>
      </c>
      <c r="D3106" t="inlineStr">
        <is>
          <t>VÄRMLANDS LÄN</t>
        </is>
      </c>
      <c r="E3106" t="inlineStr">
        <is>
          <t>FILIPSTAD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7859-2020</t>
        </is>
      </c>
      <c r="B3107" s="1" t="n">
        <v>43872</v>
      </c>
      <c r="C3107" s="1" t="n">
        <v>45353</v>
      </c>
      <c r="D3107" t="inlineStr">
        <is>
          <t>VÄRMLANDS LÄN</t>
        </is>
      </c>
      <c r="E3107" t="inlineStr">
        <is>
          <t>FILIPSTAD</t>
        </is>
      </c>
      <c r="F3107" t="inlineStr">
        <is>
          <t>Kommuner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7667-2020</t>
        </is>
      </c>
      <c r="B3108" s="1" t="n">
        <v>43872</v>
      </c>
      <c r="C3108" s="1" t="n">
        <v>45353</v>
      </c>
      <c r="D3108" t="inlineStr">
        <is>
          <t>VÄRMLANDS LÄN</t>
        </is>
      </c>
      <c r="E3108" t="inlineStr">
        <is>
          <t>EDA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7828-2020</t>
        </is>
      </c>
      <c r="B3109" s="1" t="n">
        <v>43872</v>
      </c>
      <c r="C3109" s="1" t="n">
        <v>45353</v>
      </c>
      <c r="D3109" t="inlineStr">
        <is>
          <t>VÄRMLANDS LÄN</t>
        </is>
      </c>
      <c r="E3109" t="inlineStr">
        <is>
          <t>FILIPSTAD</t>
        </is>
      </c>
      <c r="F3109" t="inlineStr">
        <is>
          <t>Kommuner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7936-2020</t>
        </is>
      </c>
      <c r="B3110" s="1" t="n">
        <v>43873</v>
      </c>
      <c r="C3110" s="1" t="n">
        <v>45353</v>
      </c>
      <c r="D3110" t="inlineStr">
        <is>
          <t>VÄRMLANDS LÄN</t>
        </is>
      </c>
      <c r="E3110" t="inlineStr">
        <is>
          <t>ARVIKA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7816-2020</t>
        </is>
      </c>
      <c r="B3111" s="1" t="n">
        <v>43873</v>
      </c>
      <c r="C3111" s="1" t="n">
        <v>45353</v>
      </c>
      <c r="D3111" t="inlineStr">
        <is>
          <t>VÄRMLANDS LÄN</t>
        </is>
      </c>
      <c r="E3111" t="inlineStr">
        <is>
          <t>KRISTINEHAMN</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7897-2020</t>
        </is>
      </c>
      <c r="B3112" s="1" t="n">
        <v>43873</v>
      </c>
      <c r="C3112" s="1" t="n">
        <v>45353</v>
      </c>
      <c r="D3112" t="inlineStr">
        <is>
          <t>VÄRMLANDS LÄN</t>
        </is>
      </c>
      <c r="E3112" t="inlineStr">
        <is>
          <t>KARLSTAD</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7954-2020</t>
        </is>
      </c>
      <c r="B3113" s="1" t="n">
        <v>43873</v>
      </c>
      <c r="C3113" s="1" t="n">
        <v>45353</v>
      </c>
      <c r="D3113" t="inlineStr">
        <is>
          <t>VÄRMLANDS LÄN</t>
        </is>
      </c>
      <c r="E3113" t="inlineStr">
        <is>
          <t>KARLSTAD</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7980-2020</t>
        </is>
      </c>
      <c r="B3114" s="1" t="n">
        <v>43873</v>
      </c>
      <c r="C3114" s="1" t="n">
        <v>45353</v>
      </c>
      <c r="D3114" t="inlineStr">
        <is>
          <t>VÄRMLANDS LÄN</t>
        </is>
      </c>
      <c r="E3114" t="inlineStr">
        <is>
          <t>KRISTINEHAMN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7986-2020</t>
        </is>
      </c>
      <c r="B3115" s="1" t="n">
        <v>43873</v>
      </c>
      <c r="C3115" s="1" t="n">
        <v>45353</v>
      </c>
      <c r="D3115" t="inlineStr">
        <is>
          <t>VÄRMLANDS LÄN</t>
        </is>
      </c>
      <c r="E3115" t="inlineStr">
        <is>
          <t>SUNNE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7975-2020</t>
        </is>
      </c>
      <c r="B3116" s="1" t="n">
        <v>43873</v>
      </c>
      <c r="C3116" s="1" t="n">
        <v>45353</v>
      </c>
      <c r="D3116" t="inlineStr">
        <is>
          <t>VÄRMLANDS LÄN</t>
        </is>
      </c>
      <c r="E3116" t="inlineStr">
        <is>
          <t>HAGFORS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7981-2020</t>
        </is>
      </c>
      <c r="B3117" s="1" t="n">
        <v>43873</v>
      </c>
      <c r="C3117" s="1" t="n">
        <v>45353</v>
      </c>
      <c r="D3117" t="inlineStr">
        <is>
          <t>VÄRMLANDS LÄN</t>
        </is>
      </c>
      <c r="E3117" t="inlineStr">
        <is>
          <t>KARLSTAD</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7988-2020</t>
        </is>
      </c>
      <c r="B3118" s="1" t="n">
        <v>43873</v>
      </c>
      <c r="C3118" s="1" t="n">
        <v>45353</v>
      </c>
      <c r="D3118" t="inlineStr">
        <is>
          <t>VÄRMLANDS LÄN</t>
        </is>
      </c>
      <c r="E3118" t="inlineStr">
        <is>
          <t>KARLSTAD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7977-2020</t>
        </is>
      </c>
      <c r="B3119" s="1" t="n">
        <v>43873</v>
      </c>
      <c r="C3119" s="1" t="n">
        <v>45353</v>
      </c>
      <c r="D3119" t="inlineStr">
        <is>
          <t>VÄRMLANDS LÄN</t>
        </is>
      </c>
      <c r="E3119" t="inlineStr">
        <is>
          <t>KRISTINEHAMN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7856-2020</t>
        </is>
      </c>
      <c r="B3120" s="1" t="n">
        <v>43873</v>
      </c>
      <c r="C3120" s="1" t="n">
        <v>45353</v>
      </c>
      <c r="D3120" t="inlineStr">
        <is>
          <t>VÄRMLANDS LÄN</t>
        </is>
      </c>
      <c r="E3120" t="inlineStr">
        <is>
          <t>TORSBY</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7991-2020</t>
        </is>
      </c>
      <c r="B3121" s="1" t="n">
        <v>43873</v>
      </c>
      <c r="C3121" s="1" t="n">
        <v>45353</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7985-2020</t>
        </is>
      </c>
      <c r="B3122" s="1" t="n">
        <v>43873</v>
      </c>
      <c r="C3122" s="1" t="n">
        <v>45353</v>
      </c>
      <c r="D3122" t="inlineStr">
        <is>
          <t>VÄRMLANDS LÄN</t>
        </is>
      </c>
      <c r="E3122" t="inlineStr">
        <is>
          <t>KARLSTAD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7960-2020</t>
        </is>
      </c>
      <c r="B3123" s="1" t="n">
        <v>43873</v>
      </c>
      <c r="C3123" s="1" t="n">
        <v>45353</v>
      </c>
      <c r="D3123" t="inlineStr">
        <is>
          <t>VÄRMLANDS LÄN</t>
        </is>
      </c>
      <c r="E3123" t="inlineStr">
        <is>
          <t>ÅRJÄNG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7904-2020</t>
        </is>
      </c>
      <c r="B3124" s="1" t="n">
        <v>43873</v>
      </c>
      <c r="C3124" s="1" t="n">
        <v>45353</v>
      </c>
      <c r="D3124" t="inlineStr">
        <is>
          <t>VÄRMLANDS LÄN</t>
        </is>
      </c>
      <c r="E3124" t="inlineStr">
        <is>
          <t>GRUMS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8134-2020</t>
        </is>
      </c>
      <c r="B3125" s="1" t="n">
        <v>43874</v>
      </c>
      <c r="C3125" s="1" t="n">
        <v>45353</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8097-2020</t>
        </is>
      </c>
      <c r="B3126" s="1" t="n">
        <v>43874</v>
      </c>
      <c r="C3126" s="1" t="n">
        <v>45353</v>
      </c>
      <c r="D3126" t="inlineStr">
        <is>
          <t>VÄRMLANDS LÄN</t>
        </is>
      </c>
      <c r="E3126" t="inlineStr">
        <is>
          <t>KARLSTAD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8342-2020</t>
        </is>
      </c>
      <c r="B3127" s="1" t="n">
        <v>43874</v>
      </c>
      <c r="C3127" s="1" t="n">
        <v>45353</v>
      </c>
      <c r="D3127" t="inlineStr">
        <is>
          <t>VÄRMLANDS LÄN</t>
        </is>
      </c>
      <c r="E3127" t="inlineStr">
        <is>
          <t>ARVIKA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8631-2020</t>
        </is>
      </c>
      <c r="B3128" s="1" t="n">
        <v>43874</v>
      </c>
      <c r="C3128" s="1" t="n">
        <v>45353</v>
      </c>
      <c r="D3128" t="inlineStr">
        <is>
          <t>VÄRMLANDS LÄN</t>
        </is>
      </c>
      <c r="E3128" t="inlineStr">
        <is>
          <t>TORSBY</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8208-2020</t>
        </is>
      </c>
      <c r="B3129" s="1" t="n">
        <v>43874</v>
      </c>
      <c r="C3129" s="1" t="n">
        <v>45353</v>
      </c>
      <c r="D3129" t="inlineStr">
        <is>
          <t>VÄRMLANDS LÄN</t>
        </is>
      </c>
      <c r="E3129" t="inlineStr">
        <is>
          <t>KRISTINEHAMN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8288-2020</t>
        </is>
      </c>
      <c r="B3130" s="1" t="n">
        <v>43874</v>
      </c>
      <c r="C3130" s="1" t="n">
        <v>45353</v>
      </c>
      <c r="D3130" t="inlineStr">
        <is>
          <t>VÄRMLANDS LÄN</t>
        </is>
      </c>
      <c r="E3130" t="inlineStr">
        <is>
          <t>ÅRJÄNG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8211-2020</t>
        </is>
      </c>
      <c r="B3131" s="1" t="n">
        <v>43874</v>
      </c>
      <c r="C3131" s="1" t="n">
        <v>45353</v>
      </c>
      <c r="D3131" t="inlineStr">
        <is>
          <t>VÄRMLANDS LÄN</t>
        </is>
      </c>
      <c r="E3131" t="inlineStr">
        <is>
          <t>KRISTINEHAMN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8452-2020</t>
        </is>
      </c>
      <c r="B3132" s="1" t="n">
        <v>43875</v>
      </c>
      <c r="C3132" s="1" t="n">
        <v>45353</v>
      </c>
      <c r="D3132" t="inlineStr">
        <is>
          <t>VÄRMLANDS LÄN</t>
        </is>
      </c>
      <c r="E3132" t="inlineStr">
        <is>
          <t>HAGFORS</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8434-2020</t>
        </is>
      </c>
      <c r="B3133" s="1" t="n">
        <v>43875</v>
      </c>
      <c r="C3133" s="1" t="n">
        <v>45353</v>
      </c>
      <c r="D3133" t="inlineStr">
        <is>
          <t>VÄRMLANDS LÄN</t>
        </is>
      </c>
      <c r="E3133" t="inlineStr">
        <is>
          <t>SÄFFLE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8474-2020</t>
        </is>
      </c>
      <c r="B3134" s="1" t="n">
        <v>43875</v>
      </c>
      <c r="C3134" s="1" t="n">
        <v>45353</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8473-2020</t>
        </is>
      </c>
      <c r="B3135" s="1" t="n">
        <v>43875</v>
      </c>
      <c r="C3135" s="1" t="n">
        <v>45353</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8621-2020</t>
        </is>
      </c>
      <c r="B3136" s="1" t="n">
        <v>43875</v>
      </c>
      <c r="C3136" s="1" t="n">
        <v>45353</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8469-2020</t>
        </is>
      </c>
      <c r="B3137" s="1" t="n">
        <v>43875</v>
      </c>
      <c r="C3137" s="1" t="n">
        <v>45353</v>
      </c>
      <c r="D3137" t="inlineStr">
        <is>
          <t>VÄRMLANDS LÄN</t>
        </is>
      </c>
      <c r="E3137" t="inlineStr">
        <is>
          <t>SUNNE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8629-2020</t>
        </is>
      </c>
      <c r="B3138" s="1" t="n">
        <v>43875</v>
      </c>
      <c r="C3138" s="1" t="n">
        <v>45353</v>
      </c>
      <c r="D3138" t="inlineStr">
        <is>
          <t>VÄRMLANDS LÄN</t>
        </is>
      </c>
      <c r="E3138" t="inlineStr">
        <is>
          <t>SUNNE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8551-2020</t>
        </is>
      </c>
      <c r="B3139" s="1" t="n">
        <v>43877</v>
      </c>
      <c r="C3139" s="1" t="n">
        <v>45353</v>
      </c>
      <c r="D3139" t="inlineStr">
        <is>
          <t>VÄRMLANDS LÄN</t>
        </is>
      </c>
      <c r="E3139" t="inlineStr">
        <is>
          <t>KARLSTAD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8573-2020</t>
        </is>
      </c>
      <c r="B3140" s="1" t="n">
        <v>43878</v>
      </c>
      <c r="C3140" s="1" t="n">
        <v>45353</v>
      </c>
      <c r="D3140" t="inlineStr">
        <is>
          <t>VÄRMLANDS LÄN</t>
        </is>
      </c>
      <c r="E3140" t="inlineStr">
        <is>
          <t>KRISTINEHAMN</t>
        </is>
      </c>
      <c r="F3140" t="inlineStr">
        <is>
          <t>Naturvårdsverket</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8761-2020</t>
        </is>
      </c>
      <c r="B3141" s="1" t="n">
        <v>43878</v>
      </c>
      <c r="C3141" s="1" t="n">
        <v>45353</v>
      </c>
      <c r="D3141" t="inlineStr">
        <is>
          <t>VÄRMLANDS LÄN</t>
        </is>
      </c>
      <c r="E3141" t="inlineStr">
        <is>
          <t>STORFORS</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8845-2020</t>
        </is>
      </c>
      <c r="B3142" s="1" t="n">
        <v>43878</v>
      </c>
      <c r="C3142" s="1" t="n">
        <v>45353</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8652-2020</t>
        </is>
      </c>
      <c r="B3143" s="1" t="n">
        <v>43878</v>
      </c>
      <c r="C3143" s="1" t="n">
        <v>45353</v>
      </c>
      <c r="D3143" t="inlineStr">
        <is>
          <t>VÄRMLANDS LÄN</t>
        </is>
      </c>
      <c r="E3143" t="inlineStr">
        <is>
          <t>ÅRJÄNG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8657-2020</t>
        </is>
      </c>
      <c r="B3144" s="1" t="n">
        <v>43878</v>
      </c>
      <c r="C3144" s="1" t="n">
        <v>45353</v>
      </c>
      <c r="D3144" t="inlineStr">
        <is>
          <t>VÄRMLANDS LÄN</t>
        </is>
      </c>
      <c r="E3144" t="inlineStr">
        <is>
          <t>ÅRJÄNG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8749-2020</t>
        </is>
      </c>
      <c r="B3145" s="1" t="n">
        <v>43878</v>
      </c>
      <c r="C3145" s="1" t="n">
        <v>45353</v>
      </c>
      <c r="D3145" t="inlineStr">
        <is>
          <t>VÄRMLANDS LÄN</t>
        </is>
      </c>
      <c r="E3145" t="inlineStr">
        <is>
          <t>ÅRJÄNG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8899-2020</t>
        </is>
      </c>
      <c r="B3146" s="1" t="n">
        <v>43878</v>
      </c>
      <c r="C3146" s="1" t="n">
        <v>45353</v>
      </c>
      <c r="D3146" t="inlineStr">
        <is>
          <t>VÄRMLANDS LÄN</t>
        </is>
      </c>
      <c r="E3146" t="inlineStr">
        <is>
          <t>TORSBY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8912-2020</t>
        </is>
      </c>
      <c r="B3147" s="1" t="n">
        <v>43878</v>
      </c>
      <c r="C3147" s="1" t="n">
        <v>45353</v>
      </c>
      <c r="D3147" t="inlineStr">
        <is>
          <t>VÄRMLANDS LÄN</t>
        </is>
      </c>
      <c r="E3147" t="inlineStr">
        <is>
          <t>HAGFORS</t>
        </is>
      </c>
      <c r="F3147" t="inlineStr">
        <is>
          <t>Bergvik skog väst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8952-2020</t>
        </is>
      </c>
      <c r="B3148" s="1" t="n">
        <v>43879</v>
      </c>
      <c r="C3148" s="1" t="n">
        <v>45353</v>
      </c>
      <c r="D3148" t="inlineStr">
        <is>
          <t>VÄRMLANDS LÄN</t>
        </is>
      </c>
      <c r="E3148" t="inlineStr">
        <is>
          <t>SÄFFLE</t>
        </is>
      </c>
      <c r="F3148" t="inlineStr">
        <is>
          <t>Kyrkan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8991-2020</t>
        </is>
      </c>
      <c r="B3149" s="1" t="n">
        <v>43879</v>
      </c>
      <c r="C3149" s="1" t="n">
        <v>45353</v>
      </c>
      <c r="D3149" t="inlineStr">
        <is>
          <t>VÄRMLANDS LÄN</t>
        </is>
      </c>
      <c r="E3149" t="inlineStr">
        <is>
          <t>SUNNE</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9136-2020</t>
        </is>
      </c>
      <c r="B3150" s="1" t="n">
        <v>43879</v>
      </c>
      <c r="C3150" s="1" t="n">
        <v>45353</v>
      </c>
      <c r="D3150" t="inlineStr">
        <is>
          <t>VÄRMLANDS LÄN</t>
        </is>
      </c>
      <c r="E3150" t="inlineStr">
        <is>
          <t>MUNKFORS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9146-2020</t>
        </is>
      </c>
      <c r="B3151" s="1" t="n">
        <v>43879</v>
      </c>
      <c r="C3151" s="1" t="n">
        <v>45353</v>
      </c>
      <c r="D3151" t="inlineStr">
        <is>
          <t>VÄRMLANDS LÄN</t>
        </is>
      </c>
      <c r="E3151" t="inlineStr">
        <is>
          <t>KARLSTAD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9117-2020</t>
        </is>
      </c>
      <c r="B3152" s="1" t="n">
        <v>43879</v>
      </c>
      <c r="C3152" s="1" t="n">
        <v>45353</v>
      </c>
      <c r="D3152" t="inlineStr">
        <is>
          <t>VÄRMLANDS LÄN</t>
        </is>
      </c>
      <c r="E3152" t="inlineStr">
        <is>
          <t>FILIPSTAD</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9203-2020</t>
        </is>
      </c>
      <c r="B3153" s="1" t="n">
        <v>43879</v>
      </c>
      <c r="C3153" s="1" t="n">
        <v>45353</v>
      </c>
      <c r="D3153" t="inlineStr">
        <is>
          <t>VÄRMLANDS LÄN</t>
        </is>
      </c>
      <c r="E3153" t="inlineStr">
        <is>
          <t>ÅRJÄNG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9192-2020</t>
        </is>
      </c>
      <c r="B3154" s="1" t="n">
        <v>43879</v>
      </c>
      <c r="C3154" s="1" t="n">
        <v>45353</v>
      </c>
      <c r="D3154" t="inlineStr">
        <is>
          <t>VÄRMLANDS LÄN</t>
        </is>
      </c>
      <c r="E3154" t="inlineStr">
        <is>
          <t>TORSBY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9242-2020</t>
        </is>
      </c>
      <c r="B3155" s="1" t="n">
        <v>43879</v>
      </c>
      <c r="C3155" s="1" t="n">
        <v>45353</v>
      </c>
      <c r="D3155" t="inlineStr">
        <is>
          <t>VÄRMLANDS LÄN</t>
        </is>
      </c>
      <c r="E3155" t="inlineStr">
        <is>
          <t>ÅRJÄNG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9766-2020</t>
        </is>
      </c>
      <c r="B3156" s="1" t="n">
        <v>43879</v>
      </c>
      <c r="C3156" s="1" t="n">
        <v>45353</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9760-2020</t>
        </is>
      </c>
      <c r="B3157" s="1" t="n">
        <v>43879</v>
      </c>
      <c r="C3157" s="1" t="n">
        <v>45353</v>
      </c>
      <c r="D3157" t="inlineStr">
        <is>
          <t>VÄRMLANDS LÄN</t>
        </is>
      </c>
      <c r="E3157" t="inlineStr">
        <is>
          <t>TORSBY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9385-2020</t>
        </is>
      </c>
      <c r="B3158" s="1" t="n">
        <v>43880</v>
      </c>
      <c r="C3158" s="1" t="n">
        <v>45353</v>
      </c>
      <c r="D3158" t="inlineStr">
        <is>
          <t>VÄRMLANDS LÄN</t>
        </is>
      </c>
      <c r="E3158" t="inlineStr">
        <is>
          <t>EDA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9395-2020</t>
        </is>
      </c>
      <c r="B3159" s="1" t="n">
        <v>43880</v>
      </c>
      <c r="C3159" s="1" t="n">
        <v>45353</v>
      </c>
      <c r="D3159" t="inlineStr">
        <is>
          <t>VÄRMLANDS LÄN</t>
        </is>
      </c>
      <c r="E3159" t="inlineStr">
        <is>
          <t>FILIPSTAD</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9496-2020</t>
        </is>
      </c>
      <c r="B3160" s="1" t="n">
        <v>43880</v>
      </c>
      <c r="C3160" s="1" t="n">
        <v>45353</v>
      </c>
      <c r="D3160" t="inlineStr">
        <is>
          <t>VÄRMLANDS LÄN</t>
        </is>
      </c>
      <c r="E3160" t="inlineStr">
        <is>
          <t>SUNNE</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9600-2020</t>
        </is>
      </c>
      <c r="B3161" s="1" t="n">
        <v>43881</v>
      </c>
      <c r="C3161" s="1" t="n">
        <v>45353</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9862-2020</t>
        </is>
      </c>
      <c r="B3162" s="1" t="n">
        <v>43881</v>
      </c>
      <c r="C3162" s="1" t="n">
        <v>45353</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9702-2020</t>
        </is>
      </c>
      <c r="B3163" s="1" t="n">
        <v>43881</v>
      </c>
      <c r="C3163" s="1" t="n">
        <v>45353</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9957-2020</t>
        </is>
      </c>
      <c r="B3164" s="1" t="n">
        <v>43882</v>
      </c>
      <c r="C3164" s="1" t="n">
        <v>45353</v>
      </c>
      <c r="D3164" t="inlineStr">
        <is>
          <t>VÄRMLANDS LÄN</t>
        </is>
      </c>
      <c r="E3164" t="inlineStr">
        <is>
          <t>SUNNE</t>
        </is>
      </c>
      <c r="F3164" t="inlineStr">
        <is>
          <t>Övriga Aktiebolag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9923-2020</t>
        </is>
      </c>
      <c r="B3165" s="1" t="n">
        <v>43882</v>
      </c>
      <c r="C3165" s="1" t="n">
        <v>45353</v>
      </c>
      <c r="D3165" t="inlineStr">
        <is>
          <t>VÄRMLANDS LÄN</t>
        </is>
      </c>
      <c r="E3165" t="inlineStr">
        <is>
          <t>KRISTINEHAMN</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9931-2020</t>
        </is>
      </c>
      <c r="B3166" s="1" t="n">
        <v>43882</v>
      </c>
      <c r="C3166" s="1" t="n">
        <v>45353</v>
      </c>
      <c r="D3166" t="inlineStr">
        <is>
          <t>VÄRMLANDS LÄN</t>
        </is>
      </c>
      <c r="E3166" t="inlineStr">
        <is>
          <t>FILIPSTAD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9942-2020</t>
        </is>
      </c>
      <c r="B3167" s="1" t="n">
        <v>43882</v>
      </c>
      <c r="C3167" s="1" t="n">
        <v>45353</v>
      </c>
      <c r="D3167" t="inlineStr">
        <is>
          <t>VÄRMLANDS LÄN</t>
        </is>
      </c>
      <c r="E3167" t="inlineStr">
        <is>
          <t>HAGFORS</t>
        </is>
      </c>
      <c r="F3167" t="inlineStr">
        <is>
          <t>Bergvik skog väst AB</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9939-2020</t>
        </is>
      </c>
      <c r="B3168" s="1" t="n">
        <v>43882</v>
      </c>
      <c r="C3168" s="1" t="n">
        <v>45353</v>
      </c>
      <c r="D3168" t="inlineStr">
        <is>
          <t>VÄRMLANDS LÄN</t>
        </is>
      </c>
      <c r="E3168" t="inlineStr">
        <is>
          <t>FILIPSTAD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10053-2020</t>
        </is>
      </c>
      <c r="B3169" s="1" t="n">
        <v>43882</v>
      </c>
      <c r="C3169" s="1" t="n">
        <v>45353</v>
      </c>
      <c r="D3169" t="inlineStr">
        <is>
          <t>VÄRMLANDS LÄN</t>
        </is>
      </c>
      <c r="E3169" t="inlineStr">
        <is>
          <t>KIL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10675-2020</t>
        </is>
      </c>
      <c r="B3170" s="1" t="n">
        <v>43883</v>
      </c>
      <c r="C3170" s="1" t="n">
        <v>45353</v>
      </c>
      <c r="D3170" t="inlineStr">
        <is>
          <t>VÄRMLANDS LÄN</t>
        </is>
      </c>
      <c r="E3170" t="inlineStr">
        <is>
          <t>SÄFFLE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10683-2020</t>
        </is>
      </c>
      <c r="B3171" s="1" t="n">
        <v>43883</v>
      </c>
      <c r="C3171" s="1" t="n">
        <v>45353</v>
      </c>
      <c r="D3171" t="inlineStr">
        <is>
          <t>VÄRMLANDS LÄN</t>
        </is>
      </c>
      <c r="E3171" t="inlineStr">
        <is>
          <t>SÄFFLE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10077-2020</t>
        </is>
      </c>
      <c r="B3172" s="1" t="n">
        <v>43884</v>
      </c>
      <c r="C3172" s="1" t="n">
        <v>45353</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10183-2020</t>
        </is>
      </c>
      <c r="B3173" s="1" t="n">
        <v>43885</v>
      </c>
      <c r="C3173" s="1" t="n">
        <v>45353</v>
      </c>
      <c r="D3173" t="inlineStr">
        <is>
          <t>VÄRMLANDS LÄN</t>
        </is>
      </c>
      <c r="E3173" t="inlineStr">
        <is>
          <t>ÅRJÄNG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10187-2020</t>
        </is>
      </c>
      <c r="B3174" s="1" t="n">
        <v>43885</v>
      </c>
      <c r="C3174" s="1" t="n">
        <v>45353</v>
      </c>
      <c r="D3174" t="inlineStr">
        <is>
          <t>VÄRMLANDS LÄN</t>
        </is>
      </c>
      <c r="E3174" t="inlineStr">
        <is>
          <t>EDA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10281-2020</t>
        </is>
      </c>
      <c r="B3175" s="1" t="n">
        <v>43885</v>
      </c>
      <c r="C3175" s="1" t="n">
        <v>45353</v>
      </c>
      <c r="D3175" t="inlineStr">
        <is>
          <t>VÄRMLANDS LÄN</t>
        </is>
      </c>
      <c r="E3175" t="inlineStr">
        <is>
          <t>SUNNE</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10289-2020</t>
        </is>
      </c>
      <c r="B3176" s="1" t="n">
        <v>43885</v>
      </c>
      <c r="C3176" s="1" t="n">
        <v>45353</v>
      </c>
      <c r="D3176" t="inlineStr">
        <is>
          <t>VÄRMLANDS LÄN</t>
        </is>
      </c>
      <c r="E3176" t="inlineStr">
        <is>
          <t>SUNNE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10184-2020</t>
        </is>
      </c>
      <c r="B3177" s="1" t="n">
        <v>43885</v>
      </c>
      <c r="C3177" s="1" t="n">
        <v>45353</v>
      </c>
      <c r="D3177" t="inlineStr">
        <is>
          <t>VÄRMLANDS LÄN</t>
        </is>
      </c>
      <c r="E3177" t="inlineStr">
        <is>
          <t>ÅRJÄNG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10272-2020</t>
        </is>
      </c>
      <c r="B3178" s="1" t="n">
        <v>43885</v>
      </c>
      <c r="C3178" s="1" t="n">
        <v>45353</v>
      </c>
      <c r="D3178" t="inlineStr">
        <is>
          <t>VÄRMLANDS LÄN</t>
        </is>
      </c>
      <c r="E3178" t="inlineStr">
        <is>
          <t>ÅRJÄNG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10899-2020</t>
        </is>
      </c>
      <c r="B3179" s="1" t="n">
        <v>43885</v>
      </c>
      <c r="C3179" s="1" t="n">
        <v>45353</v>
      </c>
      <c r="D3179" t="inlineStr">
        <is>
          <t>VÄRMLANDS LÄN</t>
        </is>
      </c>
      <c r="E3179" t="inlineStr">
        <is>
          <t>TORSBY</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10392-2020</t>
        </is>
      </c>
      <c r="B3180" s="1" t="n">
        <v>43885</v>
      </c>
      <c r="C3180" s="1" t="n">
        <v>45353</v>
      </c>
      <c r="D3180" t="inlineStr">
        <is>
          <t>VÄRMLANDS LÄN</t>
        </is>
      </c>
      <c r="E3180" t="inlineStr">
        <is>
          <t>SUNNE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10721-2020</t>
        </is>
      </c>
      <c r="B3181" s="1" t="n">
        <v>43885</v>
      </c>
      <c r="C3181" s="1" t="n">
        <v>45353</v>
      </c>
      <c r="D3181" t="inlineStr">
        <is>
          <t>VÄRMLANDS LÄN</t>
        </is>
      </c>
      <c r="E3181" t="inlineStr">
        <is>
          <t>FILIPSTAD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11203-2020</t>
        </is>
      </c>
      <c r="B3182" s="1" t="n">
        <v>43885</v>
      </c>
      <c r="C3182" s="1" t="n">
        <v>45353</v>
      </c>
      <c r="D3182" t="inlineStr">
        <is>
          <t>VÄRMLANDS LÄN</t>
        </is>
      </c>
      <c r="E3182" t="inlineStr">
        <is>
          <t>KRISTINEHAMN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11241-2020</t>
        </is>
      </c>
      <c r="B3183" s="1" t="n">
        <v>43885</v>
      </c>
      <c r="C3183" s="1" t="n">
        <v>45353</v>
      </c>
      <c r="D3183" t="inlineStr">
        <is>
          <t>VÄRMLANDS LÄN</t>
        </is>
      </c>
      <c r="E3183" t="inlineStr">
        <is>
          <t>KRISTINEHAMN</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10306-2020</t>
        </is>
      </c>
      <c r="B3184" s="1" t="n">
        <v>43886</v>
      </c>
      <c r="C3184" s="1" t="n">
        <v>45353</v>
      </c>
      <c r="D3184" t="inlineStr">
        <is>
          <t>VÄRMLANDS LÄN</t>
        </is>
      </c>
      <c r="E3184" t="inlineStr">
        <is>
          <t>SUNNE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10483-2020</t>
        </is>
      </c>
      <c r="B3185" s="1" t="n">
        <v>43886</v>
      </c>
      <c r="C3185" s="1" t="n">
        <v>45353</v>
      </c>
      <c r="D3185" t="inlineStr">
        <is>
          <t>VÄRMLANDS LÄN</t>
        </is>
      </c>
      <c r="E3185" t="inlineStr">
        <is>
          <t>ÅRJÄNG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10404-2020</t>
        </is>
      </c>
      <c r="B3186" s="1" t="n">
        <v>43886</v>
      </c>
      <c r="C3186" s="1" t="n">
        <v>45353</v>
      </c>
      <c r="D3186" t="inlineStr">
        <is>
          <t>VÄRMLANDS LÄN</t>
        </is>
      </c>
      <c r="E3186" t="inlineStr">
        <is>
          <t>HAGFORS</t>
        </is>
      </c>
      <c r="F3186" t="inlineStr">
        <is>
          <t>Bergvik skog väst AB</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10422-2020</t>
        </is>
      </c>
      <c r="B3187" s="1" t="n">
        <v>43886</v>
      </c>
      <c r="C3187" s="1" t="n">
        <v>45353</v>
      </c>
      <c r="D3187" t="inlineStr">
        <is>
          <t>VÄRMLANDS LÄN</t>
        </is>
      </c>
      <c r="E3187" t="inlineStr">
        <is>
          <t>TORSBY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10449-2020</t>
        </is>
      </c>
      <c r="B3188" s="1" t="n">
        <v>43886</v>
      </c>
      <c r="C3188" s="1" t="n">
        <v>45353</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10514-2020</t>
        </is>
      </c>
      <c r="B3189" s="1" t="n">
        <v>43886</v>
      </c>
      <c r="C3189" s="1" t="n">
        <v>45353</v>
      </c>
      <c r="D3189" t="inlineStr">
        <is>
          <t>VÄRMLANDS LÄN</t>
        </is>
      </c>
      <c r="E3189" t="inlineStr">
        <is>
          <t>SUNNE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10313-2020</t>
        </is>
      </c>
      <c r="B3190" s="1" t="n">
        <v>43886</v>
      </c>
      <c r="C3190" s="1" t="n">
        <v>45353</v>
      </c>
      <c r="D3190" t="inlineStr">
        <is>
          <t>VÄRMLANDS LÄN</t>
        </is>
      </c>
      <c r="E3190" t="inlineStr">
        <is>
          <t>SUNNE</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10420-2020</t>
        </is>
      </c>
      <c r="B3191" s="1" t="n">
        <v>43886</v>
      </c>
      <c r="C3191" s="1" t="n">
        <v>45353</v>
      </c>
      <c r="D3191" t="inlineStr">
        <is>
          <t>VÄRMLANDS LÄN</t>
        </is>
      </c>
      <c r="E3191" t="inlineStr">
        <is>
          <t>ÅRJÄNG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10424-2020</t>
        </is>
      </c>
      <c r="B3192" s="1" t="n">
        <v>43886</v>
      </c>
      <c r="C3192" s="1" t="n">
        <v>45353</v>
      </c>
      <c r="D3192" t="inlineStr">
        <is>
          <t>VÄRMLANDS LÄN</t>
        </is>
      </c>
      <c r="E3192" t="inlineStr">
        <is>
          <t>ARVIKA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10500-2020</t>
        </is>
      </c>
      <c r="B3193" s="1" t="n">
        <v>43886</v>
      </c>
      <c r="C3193" s="1" t="n">
        <v>45353</v>
      </c>
      <c r="D3193" t="inlineStr">
        <is>
          <t>VÄRMLANDS LÄN</t>
        </is>
      </c>
      <c r="E3193" t="inlineStr">
        <is>
          <t>FORSHAGA</t>
        </is>
      </c>
      <c r="F3193" t="inlineStr">
        <is>
          <t>Bergvik skog väst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10163-2020</t>
        </is>
      </c>
      <c r="B3194" s="1" t="n">
        <v>43886</v>
      </c>
      <c r="C3194" s="1" t="n">
        <v>45353</v>
      </c>
      <c r="D3194" t="inlineStr">
        <is>
          <t>VÄRMLANDS LÄN</t>
        </is>
      </c>
      <c r="E3194" t="inlineStr">
        <is>
          <t>FORSHAGA</t>
        </is>
      </c>
      <c r="F3194" t="inlineStr">
        <is>
          <t>Bergvik skog väst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10538-2020</t>
        </is>
      </c>
      <c r="B3195" s="1" t="n">
        <v>43886</v>
      </c>
      <c r="C3195" s="1" t="n">
        <v>45353</v>
      </c>
      <c r="D3195" t="inlineStr">
        <is>
          <t>VÄRMLANDS LÄN</t>
        </is>
      </c>
      <c r="E3195" t="inlineStr">
        <is>
          <t>ÅRJÄNG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11219-2020</t>
        </is>
      </c>
      <c r="B3196" s="1" t="n">
        <v>43886</v>
      </c>
      <c r="C3196" s="1" t="n">
        <v>45353</v>
      </c>
      <c r="D3196" t="inlineStr">
        <is>
          <t>VÄRMLANDS LÄN</t>
        </is>
      </c>
      <c r="E3196" t="inlineStr">
        <is>
          <t>FILIPSTAD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11355-2020</t>
        </is>
      </c>
      <c r="B3197" s="1" t="n">
        <v>43886</v>
      </c>
      <c r="C3197" s="1" t="n">
        <v>45353</v>
      </c>
      <c r="D3197" t="inlineStr">
        <is>
          <t>VÄRMLANDS LÄN</t>
        </is>
      </c>
      <c r="E3197" t="inlineStr">
        <is>
          <t>SUNNE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10139-2020</t>
        </is>
      </c>
      <c r="B3198" s="1" t="n">
        <v>43886</v>
      </c>
      <c r="C3198" s="1" t="n">
        <v>45353</v>
      </c>
      <c r="D3198" t="inlineStr">
        <is>
          <t>VÄRMLANDS LÄN</t>
        </is>
      </c>
      <c r="E3198" t="inlineStr">
        <is>
          <t>STORFORS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10464-2020</t>
        </is>
      </c>
      <c r="B3199" s="1" t="n">
        <v>43886</v>
      </c>
      <c r="C3199" s="1" t="n">
        <v>45353</v>
      </c>
      <c r="D3199" t="inlineStr">
        <is>
          <t>VÄRMLANDS LÄN</t>
        </is>
      </c>
      <c r="E3199" t="inlineStr">
        <is>
          <t>FILIPSTAD</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10497-2020</t>
        </is>
      </c>
      <c r="B3200" s="1" t="n">
        <v>43886</v>
      </c>
      <c r="C3200" s="1" t="n">
        <v>45353</v>
      </c>
      <c r="D3200" t="inlineStr">
        <is>
          <t>VÄRMLANDS LÄN</t>
        </is>
      </c>
      <c r="E3200" t="inlineStr">
        <is>
          <t>FILIPSTAD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10525-2020</t>
        </is>
      </c>
      <c r="B3201" s="1" t="n">
        <v>43886</v>
      </c>
      <c r="C3201" s="1" t="n">
        <v>45353</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10319-2020</t>
        </is>
      </c>
      <c r="B3202" s="1" t="n">
        <v>43887</v>
      </c>
      <c r="C3202" s="1" t="n">
        <v>45353</v>
      </c>
      <c r="D3202" t="inlineStr">
        <is>
          <t>VÄRMLANDS LÄN</t>
        </is>
      </c>
      <c r="E3202" t="inlineStr">
        <is>
          <t>FILIPSTAD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10131-2020</t>
        </is>
      </c>
      <c r="B3203" s="1" t="n">
        <v>43887</v>
      </c>
      <c r="C3203" s="1" t="n">
        <v>45353</v>
      </c>
      <c r="D3203" t="inlineStr">
        <is>
          <t>VÄRMLANDS LÄN</t>
        </is>
      </c>
      <c r="E3203" t="inlineStr">
        <is>
          <t>ÅRJÄNG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10560-2020</t>
        </is>
      </c>
      <c r="B3204" s="1" t="n">
        <v>43887</v>
      </c>
      <c r="C3204" s="1" t="n">
        <v>45353</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10269-2020</t>
        </is>
      </c>
      <c r="B3205" s="1" t="n">
        <v>43887</v>
      </c>
      <c r="C3205" s="1" t="n">
        <v>45353</v>
      </c>
      <c r="D3205" t="inlineStr">
        <is>
          <t>VÄRMLANDS LÄN</t>
        </is>
      </c>
      <c r="E3205" t="inlineStr">
        <is>
          <t>SUNNE</t>
        </is>
      </c>
      <c r="F3205" t="inlineStr">
        <is>
          <t>Övriga Aktiebolag</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11974-2020</t>
        </is>
      </c>
      <c r="B3206" s="1" t="n">
        <v>43887</v>
      </c>
      <c r="C3206" s="1" t="n">
        <v>45353</v>
      </c>
      <c r="D3206" t="inlineStr">
        <is>
          <t>VÄRMLANDS LÄN</t>
        </is>
      </c>
      <c r="E3206" t="inlineStr">
        <is>
          <t>HAGFORS</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10333-2020</t>
        </is>
      </c>
      <c r="B3207" s="1" t="n">
        <v>43887</v>
      </c>
      <c r="C3207" s="1" t="n">
        <v>45353</v>
      </c>
      <c r="D3207" t="inlineStr">
        <is>
          <t>VÄRMLANDS LÄN</t>
        </is>
      </c>
      <c r="E3207" t="inlineStr">
        <is>
          <t>HAGFORS</t>
        </is>
      </c>
      <c r="F3207" t="inlineStr">
        <is>
          <t>Bergvik skog väst AB</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10168-2020</t>
        </is>
      </c>
      <c r="B3208" s="1" t="n">
        <v>43887</v>
      </c>
      <c r="C3208" s="1" t="n">
        <v>45353</v>
      </c>
      <c r="D3208" t="inlineStr">
        <is>
          <t>VÄRMLANDS LÄN</t>
        </is>
      </c>
      <c r="E3208" t="inlineStr">
        <is>
          <t>SUNNE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10746-2020</t>
        </is>
      </c>
      <c r="B3209" s="1" t="n">
        <v>43888</v>
      </c>
      <c r="C3209" s="1" t="n">
        <v>45353</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10812-2020</t>
        </is>
      </c>
      <c r="B3210" s="1" t="n">
        <v>43888</v>
      </c>
      <c r="C3210" s="1" t="n">
        <v>45353</v>
      </c>
      <c r="D3210" t="inlineStr">
        <is>
          <t>VÄRMLANDS LÄN</t>
        </is>
      </c>
      <c r="E3210" t="inlineStr">
        <is>
          <t>SUNNE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10835-2020</t>
        </is>
      </c>
      <c r="B3211" s="1" t="n">
        <v>43888</v>
      </c>
      <c r="C3211" s="1" t="n">
        <v>45353</v>
      </c>
      <c r="D3211" t="inlineStr">
        <is>
          <t>VÄRMLANDS LÄN</t>
        </is>
      </c>
      <c r="E3211" t="inlineStr">
        <is>
          <t>HAGFORS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10818-2020</t>
        </is>
      </c>
      <c r="B3212" s="1" t="n">
        <v>43888</v>
      </c>
      <c r="C3212" s="1" t="n">
        <v>45353</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10827-2020</t>
        </is>
      </c>
      <c r="B3213" s="1" t="n">
        <v>43888</v>
      </c>
      <c r="C3213" s="1" t="n">
        <v>45353</v>
      </c>
      <c r="D3213" t="inlineStr">
        <is>
          <t>VÄRMLANDS LÄN</t>
        </is>
      </c>
      <c r="E3213" t="inlineStr">
        <is>
          <t>MUNKFORS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11741-2020</t>
        </is>
      </c>
      <c r="B3214" s="1" t="n">
        <v>43888</v>
      </c>
      <c r="C3214" s="1" t="n">
        <v>45353</v>
      </c>
      <c r="D3214" t="inlineStr">
        <is>
          <t>VÄRMLANDS LÄN</t>
        </is>
      </c>
      <c r="E3214" t="inlineStr">
        <is>
          <t>EDA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10658-2020</t>
        </is>
      </c>
      <c r="B3215" s="1" t="n">
        <v>43888</v>
      </c>
      <c r="C3215" s="1" t="n">
        <v>45353</v>
      </c>
      <c r="D3215" t="inlineStr">
        <is>
          <t>VÄRMLANDS LÄN</t>
        </is>
      </c>
      <c r="E3215" t="inlineStr">
        <is>
          <t>ÅRJÄNG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11873-2020</t>
        </is>
      </c>
      <c r="B3216" s="1" t="n">
        <v>43888</v>
      </c>
      <c r="C3216" s="1" t="n">
        <v>45353</v>
      </c>
      <c r="D3216" t="inlineStr">
        <is>
          <t>VÄRMLANDS LÄN</t>
        </is>
      </c>
      <c r="E3216" t="inlineStr">
        <is>
          <t>SÄFFLE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10853-2020</t>
        </is>
      </c>
      <c r="B3217" s="1" t="n">
        <v>43889</v>
      </c>
      <c r="C3217" s="1" t="n">
        <v>45353</v>
      </c>
      <c r="D3217" t="inlineStr">
        <is>
          <t>VÄRMLANDS LÄN</t>
        </is>
      </c>
      <c r="E3217" t="inlineStr">
        <is>
          <t>SÄFFLE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10912-2020</t>
        </is>
      </c>
      <c r="B3218" s="1" t="n">
        <v>43889</v>
      </c>
      <c r="C3218" s="1" t="n">
        <v>45353</v>
      </c>
      <c r="D3218" t="inlineStr">
        <is>
          <t>VÄRMLANDS LÄN</t>
        </is>
      </c>
      <c r="E3218" t="inlineStr">
        <is>
          <t>KARLSTAD</t>
        </is>
      </c>
      <c r="F3218" t="inlineStr">
        <is>
          <t>Kommuner</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10937-2020</t>
        </is>
      </c>
      <c r="B3219" s="1" t="n">
        <v>43889</v>
      </c>
      <c r="C3219" s="1" t="n">
        <v>45353</v>
      </c>
      <c r="D3219" t="inlineStr">
        <is>
          <t>VÄRMLANDS LÄN</t>
        </is>
      </c>
      <c r="E3219" t="inlineStr">
        <is>
          <t>ÅRJÄNG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10998-2020</t>
        </is>
      </c>
      <c r="B3220" s="1" t="n">
        <v>43889</v>
      </c>
      <c r="C3220" s="1" t="n">
        <v>45353</v>
      </c>
      <c r="D3220" t="inlineStr">
        <is>
          <t>VÄRMLANDS LÄN</t>
        </is>
      </c>
      <c r="E3220" t="inlineStr">
        <is>
          <t>HAGFORS</t>
        </is>
      </c>
      <c r="F3220" t="inlineStr">
        <is>
          <t>Bergvik skog väst AB</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11100-2020</t>
        </is>
      </c>
      <c r="B3221" s="1" t="n">
        <v>43889</v>
      </c>
      <c r="C3221" s="1" t="n">
        <v>45353</v>
      </c>
      <c r="D3221" t="inlineStr">
        <is>
          <t>VÄRMLANDS LÄN</t>
        </is>
      </c>
      <c r="E3221" t="inlineStr">
        <is>
          <t>KRISTINEHAMN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11031-2020</t>
        </is>
      </c>
      <c r="B3222" s="1" t="n">
        <v>43889</v>
      </c>
      <c r="C3222" s="1" t="n">
        <v>45353</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11033-2020</t>
        </is>
      </c>
      <c r="B3223" s="1" t="n">
        <v>43889</v>
      </c>
      <c r="C3223" s="1" t="n">
        <v>45353</v>
      </c>
      <c r="D3223" t="inlineStr">
        <is>
          <t>VÄRMLANDS LÄN</t>
        </is>
      </c>
      <c r="E3223" t="inlineStr">
        <is>
          <t>KARLSTAD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11944-2020</t>
        </is>
      </c>
      <c r="B3224" s="1" t="n">
        <v>43889</v>
      </c>
      <c r="C3224" s="1" t="n">
        <v>45353</v>
      </c>
      <c r="D3224" t="inlineStr">
        <is>
          <t>VÄRMLANDS LÄN</t>
        </is>
      </c>
      <c r="E3224" t="inlineStr">
        <is>
          <t>FILIPSTAD</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11143-2020</t>
        </is>
      </c>
      <c r="B3225" s="1" t="n">
        <v>43891</v>
      </c>
      <c r="C3225" s="1" t="n">
        <v>45353</v>
      </c>
      <c r="D3225" t="inlineStr">
        <is>
          <t>VÄRMLANDS LÄN</t>
        </is>
      </c>
      <c r="E3225" t="inlineStr">
        <is>
          <t>GRUMS</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11169-2020</t>
        </is>
      </c>
      <c r="B3226" s="1" t="n">
        <v>43891</v>
      </c>
      <c r="C3226" s="1" t="n">
        <v>45353</v>
      </c>
      <c r="D3226" t="inlineStr">
        <is>
          <t>VÄRMLANDS LÄN</t>
        </is>
      </c>
      <c r="E3226" t="inlineStr">
        <is>
          <t>SÄFFLE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12152-2020</t>
        </is>
      </c>
      <c r="B3227" s="1" t="n">
        <v>43891</v>
      </c>
      <c r="C3227" s="1" t="n">
        <v>45353</v>
      </c>
      <c r="D3227" t="inlineStr">
        <is>
          <t>VÄRMLANDS LÄN</t>
        </is>
      </c>
      <c r="E3227" t="inlineStr">
        <is>
          <t>GRUMS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11142-2020</t>
        </is>
      </c>
      <c r="B3228" s="1" t="n">
        <v>43891</v>
      </c>
      <c r="C3228" s="1" t="n">
        <v>45353</v>
      </c>
      <c r="D3228" t="inlineStr">
        <is>
          <t>VÄRMLANDS LÄN</t>
        </is>
      </c>
      <c r="E3228" t="inlineStr">
        <is>
          <t>GRUMS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11168-2020</t>
        </is>
      </c>
      <c r="B3229" s="1" t="n">
        <v>43891</v>
      </c>
      <c r="C3229" s="1" t="n">
        <v>45353</v>
      </c>
      <c r="D3229" t="inlineStr">
        <is>
          <t>VÄRMLANDS LÄN</t>
        </is>
      </c>
      <c r="E3229" t="inlineStr">
        <is>
          <t>SÄFFLE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12149-2020</t>
        </is>
      </c>
      <c r="B3230" s="1" t="n">
        <v>43891</v>
      </c>
      <c r="C3230" s="1" t="n">
        <v>45353</v>
      </c>
      <c r="D3230" t="inlineStr">
        <is>
          <t>VÄRMLANDS LÄN</t>
        </is>
      </c>
      <c r="E3230" t="inlineStr">
        <is>
          <t>GRUMS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11141-2020</t>
        </is>
      </c>
      <c r="B3231" s="1" t="n">
        <v>43891</v>
      </c>
      <c r="C3231" s="1" t="n">
        <v>45353</v>
      </c>
      <c r="D3231" t="inlineStr">
        <is>
          <t>VÄRMLANDS LÄN</t>
        </is>
      </c>
      <c r="E3231" t="inlineStr">
        <is>
          <t>GRUMS</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11160-2020</t>
        </is>
      </c>
      <c r="B3232" s="1" t="n">
        <v>43891</v>
      </c>
      <c r="C3232" s="1" t="n">
        <v>45353</v>
      </c>
      <c r="D3232" t="inlineStr">
        <is>
          <t>VÄRMLANDS LÄN</t>
        </is>
      </c>
      <c r="E3232" t="inlineStr">
        <is>
          <t>FILIPSTAD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11170-2020</t>
        </is>
      </c>
      <c r="B3233" s="1" t="n">
        <v>43891</v>
      </c>
      <c r="C3233" s="1" t="n">
        <v>45353</v>
      </c>
      <c r="D3233" t="inlineStr">
        <is>
          <t>VÄRMLANDS LÄN</t>
        </is>
      </c>
      <c r="E3233" t="inlineStr">
        <is>
          <t>ARVIKA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12155-2020</t>
        </is>
      </c>
      <c r="B3234" s="1" t="n">
        <v>43891</v>
      </c>
      <c r="C3234" s="1" t="n">
        <v>45353</v>
      </c>
      <c r="D3234" t="inlineStr">
        <is>
          <t>VÄRMLANDS LÄN</t>
        </is>
      </c>
      <c r="E3234" t="inlineStr">
        <is>
          <t>KIL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11206-2020</t>
        </is>
      </c>
      <c r="B3235" s="1" t="n">
        <v>43892</v>
      </c>
      <c r="C3235" s="1" t="n">
        <v>45353</v>
      </c>
      <c r="D3235" t="inlineStr">
        <is>
          <t>VÄRMLANDS LÄN</t>
        </is>
      </c>
      <c r="E3235" t="inlineStr">
        <is>
          <t>ÅRJÄNG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11224-2020</t>
        </is>
      </c>
      <c r="B3236" s="1" t="n">
        <v>43892</v>
      </c>
      <c r="C3236" s="1" t="n">
        <v>45353</v>
      </c>
      <c r="D3236" t="inlineStr">
        <is>
          <t>VÄRMLANDS LÄN</t>
        </is>
      </c>
      <c r="E3236" t="inlineStr">
        <is>
          <t>SUNNE</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12454-2020</t>
        </is>
      </c>
      <c r="B3237" s="1" t="n">
        <v>43892</v>
      </c>
      <c r="C3237" s="1" t="n">
        <v>45353</v>
      </c>
      <c r="D3237" t="inlineStr">
        <is>
          <t>VÄRMLANDS LÄN</t>
        </is>
      </c>
      <c r="E3237" t="inlineStr">
        <is>
          <t>KRISTINEHAMN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11205-2020</t>
        </is>
      </c>
      <c r="B3238" s="1" t="n">
        <v>43892</v>
      </c>
      <c r="C3238" s="1" t="n">
        <v>45353</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12575-2020</t>
        </is>
      </c>
      <c r="B3239" s="1" t="n">
        <v>43892</v>
      </c>
      <c r="C3239" s="1" t="n">
        <v>45353</v>
      </c>
      <c r="D3239" t="inlineStr">
        <is>
          <t>VÄRMLANDS LÄN</t>
        </is>
      </c>
      <c r="E3239" t="inlineStr">
        <is>
          <t>ÅRJÄNG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11398-2020</t>
        </is>
      </c>
      <c r="B3240" s="1" t="n">
        <v>43892</v>
      </c>
      <c r="C3240" s="1" t="n">
        <v>45353</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12573-2020</t>
        </is>
      </c>
      <c r="B3241" s="1" t="n">
        <v>43892</v>
      </c>
      <c r="C3241" s="1" t="n">
        <v>45353</v>
      </c>
      <c r="D3241" t="inlineStr">
        <is>
          <t>VÄRMLANDS LÄN</t>
        </is>
      </c>
      <c r="E3241" t="inlineStr">
        <is>
          <t>ÅRJÄNG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11313-2020</t>
        </is>
      </c>
      <c r="B3242" s="1" t="n">
        <v>43892</v>
      </c>
      <c r="C3242" s="1" t="n">
        <v>45353</v>
      </c>
      <c r="D3242" t="inlineStr">
        <is>
          <t>VÄRMLANDS LÄN</t>
        </is>
      </c>
      <c r="E3242" t="inlineStr">
        <is>
          <t>ARVIKA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11213-2020</t>
        </is>
      </c>
      <c r="B3243" s="1" t="n">
        <v>43892</v>
      </c>
      <c r="C3243" s="1" t="n">
        <v>45353</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11463-2020</t>
        </is>
      </c>
      <c r="B3244" s="1" t="n">
        <v>43893</v>
      </c>
      <c r="C3244" s="1" t="n">
        <v>45353</v>
      </c>
      <c r="D3244" t="inlineStr">
        <is>
          <t>VÄRMLANDS LÄN</t>
        </is>
      </c>
      <c r="E3244" t="inlineStr">
        <is>
          <t>ÅRJÄNG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11580-2020</t>
        </is>
      </c>
      <c r="B3245" s="1" t="n">
        <v>43893</v>
      </c>
      <c r="C3245" s="1" t="n">
        <v>45353</v>
      </c>
      <c r="D3245" t="inlineStr">
        <is>
          <t>VÄRMLANDS LÄN</t>
        </is>
      </c>
      <c r="E3245" t="inlineStr">
        <is>
          <t>GRUMS</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11660-2020</t>
        </is>
      </c>
      <c r="B3246" s="1" t="n">
        <v>43893</v>
      </c>
      <c r="C3246" s="1" t="n">
        <v>45353</v>
      </c>
      <c r="D3246" t="inlineStr">
        <is>
          <t>VÄRMLANDS LÄN</t>
        </is>
      </c>
      <c r="E3246" t="inlineStr">
        <is>
          <t>ARVIKA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11949-2020</t>
        </is>
      </c>
      <c r="B3247" s="1" t="n">
        <v>43894</v>
      </c>
      <c r="C3247" s="1" t="n">
        <v>45353</v>
      </c>
      <c r="D3247" t="inlineStr">
        <is>
          <t>VÄRMLANDS LÄN</t>
        </is>
      </c>
      <c r="E3247" t="inlineStr">
        <is>
          <t>SUNNE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11866-2020</t>
        </is>
      </c>
      <c r="B3248" s="1" t="n">
        <v>43894</v>
      </c>
      <c r="C3248" s="1" t="n">
        <v>45353</v>
      </c>
      <c r="D3248" t="inlineStr">
        <is>
          <t>VÄRMLANDS LÄN</t>
        </is>
      </c>
      <c r="E3248" t="inlineStr">
        <is>
          <t>SÄFFLE</t>
        </is>
      </c>
      <c r="F3248" t="inlineStr">
        <is>
          <t>Kyrkan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12022-2020</t>
        </is>
      </c>
      <c r="B3249" s="1" t="n">
        <v>43894</v>
      </c>
      <c r="C3249" s="1" t="n">
        <v>45353</v>
      </c>
      <c r="D3249" t="inlineStr">
        <is>
          <t>VÄRMLANDS LÄN</t>
        </is>
      </c>
      <c r="E3249" t="inlineStr">
        <is>
          <t>GRUMS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12009-2020</t>
        </is>
      </c>
      <c r="B3250" s="1" t="n">
        <v>43894</v>
      </c>
      <c r="C3250" s="1" t="n">
        <v>45353</v>
      </c>
      <c r="D3250" t="inlineStr">
        <is>
          <t>VÄRMLANDS LÄN</t>
        </is>
      </c>
      <c r="E3250" t="inlineStr">
        <is>
          <t>STORFORS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12053-2020</t>
        </is>
      </c>
      <c r="B3251" s="1" t="n">
        <v>43894</v>
      </c>
      <c r="C3251" s="1" t="n">
        <v>45353</v>
      </c>
      <c r="D3251" t="inlineStr">
        <is>
          <t>VÄRMLANDS LÄN</t>
        </is>
      </c>
      <c r="E3251" t="inlineStr">
        <is>
          <t>KRISTINEHAMN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12180-2020</t>
        </is>
      </c>
      <c r="B3252" s="1" t="n">
        <v>43895</v>
      </c>
      <c r="C3252" s="1" t="n">
        <v>45353</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12232-2020</t>
        </is>
      </c>
      <c r="B3253" s="1" t="n">
        <v>43895</v>
      </c>
      <c r="C3253" s="1" t="n">
        <v>45353</v>
      </c>
      <c r="D3253" t="inlineStr">
        <is>
          <t>VÄRMLANDS LÄN</t>
        </is>
      </c>
      <c r="E3253" t="inlineStr">
        <is>
          <t>EDA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12210-2020</t>
        </is>
      </c>
      <c r="B3254" s="1" t="n">
        <v>43895</v>
      </c>
      <c r="C3254" s="1" t="n">
        <v>45353</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12234-2020</t>
        </is>
      </c>
      <c r="B3255" s="1" t="n">
        <v>43895</v>
      </c>
      <c r="C3255" s="1" t="n">
        <v>45353</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12363-2020</t>
        </is>
      </c>
      <c r="B3256" s="1" t="n">
        <v>43896</v>
      </c>
      <c r="C3256" s="1" t="n">
        <v>45353</v>
      </c>
      <c r="D3256" t="inlineStr">
        <is>
          <t>VÄRMLANDS LÄN</t>
        </is>
      </c>
      <c r="E3256" t="inlineStr">
        <is>
          <t>EDA</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12372-2020</t>
        </is>
      </c>
      <c r="B3257" s="1" t="n">
        <v>43896</v>
      </c>
      <c r="C3257" s="1" t="n">
        <v>45353</v>
      </c>
      <c r="D3257" t="inlineStr">
        <is>
          <t>VÄRMLANDS LÄN</t>
        </is>
      </c>
      <c r="E3257" t="inlineStr">
        <is>
          <t>FILIPSTAD</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12417-2020</t>
        </is>
      </c>
      <c r="B3258" s="1" t="n">
        <v>43896</v>
      </c>
      <c r="C3258" s="1" t="n">
        <v>45353</v>
      </c>
      <c r="D3258" t="inlineStr">
        <is>
          <t>VÄRMLANDS LÄN</t>
        </is>
      </c>
      <c r="E3258" t="inlineStr">
        <is>
          <t>SÄFFLE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12425-2020</t>
        </is>
      </c>
      <c r="B3259" s="1" t="n">
        <v>43896</v>
      </c>
      <c r="C3259" s="1" t="n">
        <v>45353</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12399-2020</t>
        </is>
      </c>
      <c r="B3260" s="1" t="n">
        <v>43896</v>
      </c>
      <c r="C3260" s="1" t="n">
        <v>45353</v>
      </c>
      <c r="D3260" t="inlineStr">
        <is>
          <t>VÄRMLANDS LÄN</t>
        </is>
      </c>
      <c r="E3260" t="inlineStr">
        <is>
          <t>ARVIKA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12428-2020</t>
        </is>
      </c>
      <c r="B3261" s="1" t="n">
        <v>43896</v>
      </c>
      <c r="C3261" s="1" t="n">
        <v>45353</v>
      </c>
      <c r="D3261" t="inlineStr">
        <is>
          <t>VÄRMLANDS LÄN</t>
        </is>
      </c>
      <c r="E3261" t="inlineStr">
        <is>
          <t>TORSBY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12506-2020</t>
        </is>
      </c>
      <c r="B3262" s="1" t="n">
        <v>43896</v>
      </c>
      <c r="C3262" s="1" t="n">
        <v>45353</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13849-2020</t>
        </is>
      </c>
      <c r="B3263" s="1" t="n">
        <v>43896</v>
      </c>
      <c r="C3263" s="1" t="n">
        <v>45353</v>
      </c>
      <c r="D3263" t="inlineStr">
        <is>
          <t>VÄRMLANDS LÄN</t>
        </is>
      </c>
      <c r="E3263" t="inlineStr">
        <is>
          <t>SUNNE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12655-2020</t>
        </is>
      </c>
      <c r="B3264" s="1" t="n">
        <v>43897</v>
      </c>
      <c r="C3264" s="1" t="n">
        <v>45353</v>
      </c>
      <c r="D3264" t="inlineStr">
        <is>
          <t>VÄRMLANDS LÄN</t>
        </is>
      </c>
      <c r="E3264" t="inlineStr">
        <is>
          <t>KRISTINEHAMN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12547-2020</t>
        </is>
      </c>
      <c r="B3265" s="1" t="n">
        <v>43897</v>
      </c>
      <c r="C3265" s="1" t="n">
        <v>45353</v>
      </c>
      <c r="D3265" t="inlineStr">
        <is>
          <t>VÄRMLANDS LÄN</t>
        </is>
      </c>
      <c r="E3265" t="inlineStr">
        <is>
          <t>GRUMS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12659-2020</t>
        </is>
      </c>
      <c r="B3266" s="1" t="n">
        <v>43898</v>
      </c>
      <c r="C3266" s="1" t="n">
        <v>45353</v>
      </c>
      <c r="D3266" t="inlineStr">
        <is>
          <t>VÄRMLANDS LÄN</t>
        </is>
      </c>
      <c r="E3266" t="inlineStr">
        <is>
          <t>KRISTINEHAMN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12559-2020</t>
        </is>
      </c>
      <c r="B3267" s="1" t="n">
        <v>43898</v>
      </c>
      <c r="C3267" s="1" t="n">
        <v>45353</v>
      </c>
      <c r="D3267" t="inlineStr">
        <is>
          <t>VÄRMLANDS LÄN</t>
        </is>
      </c>
      <c r="E3267" t="inlineStr">
        <is>
          <t>ARVIKA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12662-2020</t>
        </is>
      </c>
      <c r="B3268" s="1" t="n">
        <v>43899</v>
      </c>
      <c r="C3268" s="1" t="n">
        <v>45353</v>
      </c>
      <c r="D3268" t="inlineStr">
        <is>
          <t>VÄRMLANDS LÄN</t>
        </is>
      </c>
      <c r="E3268" t="inlineStr">
        <is>
          <t>SÄFFLE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12665-2020</t>
        </is>
      </c>
      <c r="B3269" s="1" t="n">
        <v>43899</v>
      </c>
      <c r="C3269" s="1" t="n">
        <v>45353</v>
      </c>
      <c r="D3269" t="inlineStr">
        <is>
          <t>VÄRMLANDS LÄN</t>
        </is>
      </c>
      <c r="E3269" t="inlineStr">
        <is>
          <t>SUNNE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12737-2020</t>
        </is>
      </c>
      <c r="B3270" s="1" t="n">
        <v>43899</v>
      </c>
      <c r="C3270" s="1" t="n">
        <v>45353</v>
      </c>
      <c r="D3270" t="inlineStr">
        <is>
          <t>VÄRMLANDS LÄN</t>
        </is>
      </c>
      <c r="E3270" t="inlineStr">
        <is>
          <t>SÄFFLE</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12796-2020</t>
        </is>
      </c>
      <c r="B3271" s="1" t="n">
        <v>43899</v>
      </c>
      <c r="C3271" s="1" t="n">
        <v>45353</v>
      </c>
      <c r="D3271" t="inlineStr">
        <is>
          <t>VÄRMLANDS LÄN</t>
        </is>
      </c>
      <c r="E3271" t="inlineStr">
        <is>
          <t>STORFORS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12822-2020</t>
        </is>
      </c>
      <c r="B3272" s="1" t="n">
        <v>43899</v>
      </c>
      <c r="C3272" s="1" t="n">
        <v>45353</v>
      </c>
      <c r="D3272" t="inlineStr">
        <is>
          <t>VÄRMLANDS LÄN</t>
        </is>
      </c>
      <c r="E3272" t="inlineStr">
        <is>
          <t>KARLSTAD</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12855-2020</t>
        </is>
      </c>
      <c r="B3273" s="1" t="n">
        <v>43899</v>
      </c>
      <c r="C3273" s="1" t="n">
        <v>45353</v>
      </c>
      <c r="D3273" t="inlineStr">
        <is>
          <t>VÄRMLANDS LÄN</t>
        </is>
      </c>
      <c r="E3273" t="inlineStr">
        <is>
          <t>TORSBY</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14104-2020</t>
        </is>
      </c>
      <c r="B3274" s="1" t="n">
        <v>43899</v>
      </c>
      <c r="C3274" s="1" t="n">
        <v>45353</v>
      </c>
      <c r="D3274" t="inlineStr">
        <is>
          <t>VÄRMLANDS LÄN</t>
        </is>
      </c>
      <c r="E3274" t="inlineStr">
        <is>
          <t>ÅRJÄNG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13968-2020</t>
        </is>
      </c>
      <c r="B3275" s="1" t="n">
        <v>43899</v>
      </c>
      <c r="C3275" s="1" t="n">
        <v>45353</v>
      </c>
      <c r="D3275" t="inlineStr">
        <is>
          <t>VÄRMLANDS LÄN</t>
        </is>
      </c>
      <c r="E3275" t="inlineStr">
        <is>
          <t>SÄFFLE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14013-2020</t>
        </is>
      </c>
      <c r="B3276" s="1" t="n">
        <v>43899</v>
      </c>
      <c r="C3276" s="1" t="n">
        <v>45353</v>
      </c>
      <c r="D3276" t="inlineStr">
        <is>
          <t>VÄRMLANDS LÄN</t>
        </is>
      </c>
      <c r="E3276" t="inlineStr">
        <is>
          <t>KRISTINEHAMN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18662-2020</t>
        </is>
      </c>
      <c r="B3277" s="1" t="n">
        <v>43899</v>
      </c>
      <c r="C3277" s="1" t="n">
        <v>45353</v>
      </c>
      <c r="D3277" t="inlineStr">
        <is>
          <t>VÄRMLANDS LÄN</t>
        </is>
      </c>
      <c r="E3277" t="inlineStr">
        <is>
          <t>ÅRJÄNG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12881-2020</t>
        </is>
      </c>
      <c r="B3278" s="1" t="n">
        <v>43900</v>
      </c>
      <c r="C3278" s="1" t="n">
        <v>45353</v>
      </c>
      <c r="D3278" t="inlineStr">
        <is>
          <t>VÄRMLANDS LÄN</t>
        </is>
      </c>
      <c r="E3278" t="inlineStr">
        <is>
          <t>TORSBY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12995-2020</t>
        </is>
      </c>
      <c r="B3279" s="1" t="n">
        <v>43900</v>
      </c>
      <c r="C3279" s="1" t="n">
        <v>45353</v>
      </c>
      <c r="D3279" t="inlineStr">
        <is>
          <t>VÄRMLANDS LÄN</t>
        </is>
      </c>
      <c r="E3279" t="inlineStr">
        <is>
          <t>ARVIKA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14246-2020</t>
        </is>
      </c>
      <c r="B3280" s="1" t="n">
        <v>43900</v>
      </c>
      <c r="C3280" s="1" t="n">
        <v>45353</v>
      </c>
      <c r="D3280" t="inlineStr">
        <is>
          <t>VÄRMLANDS LÄN</t>
        </is>
      </c>
      <c r="E3280" t="inlineStr">
        <is>
          <t>TORSBY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12901-2020</t>
        </is>
      </c>
      <c r="B3281" s="1" t="n">
        <v>43900</v>
      </c>
      <c r="C3281" s="1" t="n">
        <v>45353</v>
      </c>
      <c r="D3281" t="inlineStr">
        <is>
          <t>VÄRMLANDS LÄN</t>
        </is>
      </c>
      <c r="E3281" t="inlineStr">
        <is>
          <t>SUNNE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13060-2020</t>
        </is>
      </c>
      <c r="B3282" s="1" t="n">
        <v>43900</v>
      </c>
      <c r="C3282" s="1" t="n">
        <v>45353</v>
      </c>
      <c r="D3282" t="inlineStr">
        <is>
          <t>VÄRMLANDS LÄN</t>
        </is>
      </c>
      <c r="E3282" t="inlineStr">
        <is>
          <t>ARVIKA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13007-2020</t>
        </is>
      </c>
      <c r="B3283" s="1" t="n">
        <v>43900</v>
      </c>
      <c r="C3283" s="1" t="n">
        <v>45353</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13091-2020</t>
        </is>
      </c>
      <c r="B3284" s="1" t="n">
        <v>43901</v>
      </c>
      <c r="C3284" s="1" t="n">
        <v>45353</v>
      </c>
      <c r="D3284" t="inlineStr">
        <is>
          <t>VÄRMLANDS LÄN</t>
        </is>
      </c>
      <c r="E3284" t="inlineStr">
        <is>
          <t>ÅRJÄNG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13275-2020</t>
        </is>
      </c>
      <c r="B3285" s="1" t="n">
        <v>43901</v>
      </c>
      <c r="C3285" s="1" t="n">
        <v>45353</v>
      </c>
      <c r="D3285" t="inlineStr">
        <is>
          <t>VÄRMLANDS LÄN</t>
        </is>
      </c>
      <c r="E3285" t="inlineStr">
        <is>
          <t>KRISTINEHAMN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13153-2020</t>
        </is>
      </c>
      <c r="B3286" s="1" t="n">
        <v>43901</v>
      </c>
      <c r="C3286" s="1" t="n">
        <v>45353</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13122-2020</t>
        </is>
      </c>
      <c r="B3287" s="1" t="n">
        <v>43901</v>
      </c>
      <c r="C3287" s="1" t="n">
        <v>45353</v>
      </c>
      <c r="D3287" t="inlineStr">
        <is>
          <t>VÄRMLANDS LÄN</t>
        </is>
      </c>
      <c r="E3287" t="inlineStr">
        <is>
          <t>EDA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13250-2020</t>
        </is>
      </c>
      <c r="B3288" s="1" t="n">
        <v>43901</v>
      </c>
      <c r="C3288" s="1" t="n">
        <v>45353</v>
      </c>
      <c r="D3288" t="inlineStr">
        <is>
          <t>VÄRMLANDS LÄN</t>
        </is>
      </c>
      <c r="E3288" t="inlineStr">
        <is>
          <t>TORSBY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13206-2020</t>
        </is>
      </c>
      <c r="B3289" s="1" t="n">
        <v>43901</v>
      </c>
      <c r="C3289" s="1" t="n">
        <v>45353</v>
      </c>
      <c r="D3289" t="inlineStr">
        <is>
          <t>VÄRMLANDS LÄN</t>
        </is>
      </c>
      <c r="E3289" t="inlineStr">
        <is>
          <t>SÄFFLE</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13211-2020</t>
        </is>
      </c>
      <c r="B3290" s="1" t="n">
        <v>43901</v>
      </c>
      <c r="C3290" s="1" t="n">
        <v>45353</v>
      </c>
      <c r="D3290" t="inlineStr">
        <is>
          <t>VÄRMLANDS LÄN</t>
        </is>
      </c>
      <c r="E3290" t="inlineStr">
        <is>
          <t>SÄFFLE</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13622-2020</t>
        </is>
      </c>
      <c r="B3291" s="1" t="n">
        <v>43901</v>
      </c>
      <c r="C3291" s="1" t="n">
        <v>45353</v>
      </c>
      <c r="D3291" t="inlineStr">
        <is>
          <t>VÄRMLANDS LÄN</t>
        </is>
      </c>
      <c r="E3291" t="inlineStr">
        <is>
          <t>SÄFFLE</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13094-2020</t>
        </is>
      </c>
      <c r="B3292" s="1" t="n">
        <v>43901</v>
      </c>
      <c r="C3292" s="1" t="n">
        <v>45353</v>
      </c>
      <c r="D3292" t="inlineStr">
        <is>
          <t>VÄRMLANDS LÄN</t>
        </is>
      </c>
      <c r="E3292" t="inlineStr">
        <is>
          <t>ÅRJÄNG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13318-2020</t>
        </is>
      </c>
      <c r="B3293" s="1" t="n">
        <v>43902</v>
      </c>
      <c r="C3293" s="1" t="n">
        <v>45353</v>
      </c>
      <c r="D3293" t="inlineStr">
        <is>
          <t>VÄRMLANDS LÄN</t>
        </is>
      </c>
      <c r="E3293" t="inlineStr">
        <is>
          <t>KARLSTAD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13357-2020</t>
        </is>
      </c>
      <c r="B3294" s="1" t="n">
        <v>43902</v>
      </c>
      <c r="C3294" s="1" t="n">
        <v>45353</v>
      </c>
      <c r="D3294" t="inlineStr">
        <is>
          <t>VÄRMLANDS LÄN</t>
        </is>
      </c>
      <c r="E3294" t="inlineStr">
        <is>
          <t>GRUMS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13369-2020</t>
        </is>
      </c>
      <c r="B3295" s="1" t="n">
        <v>43902</v>
      </c>
      <c r="C3295" s="1" t="n">
        <v>45353</v>
      </c>
      <c r="D3295" t="inlineStr">
        <is>
          <t>VÄRMLANDS LÄN</t>
        </is>
      </c>
      <c r="E3295" t="inlineStr">
        <is>
          <t>HAGFORS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13417-2020</t>
        </is>
      </c>
      <c r="B3296" s="1" t="n">
        <v>43902</v>
      </c>
      <c r="C3296" s="1" t="n">
        <v>45353</v>
      </c>
      <c r="D3296" t="inlineStr">
        <is>
          <t>VÄRMLANDS LÄN</t>
        </is>
      </c>
      <c r="E3296" t="inlineStr">
        <is>
          <t>EDA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13359-2020</t>
        </is>
      </c>
      <c r="B3297" s="1" t="n">
        <v>43902</v>
      </c>
      <c r="C3297" s="1" t="n">
        <v>45353</v>
      </c>
      <c r="D3297" t="inlineStr">
        <is>
          <t>VÄRMLANDS LÄN</t>
        </is>
      </c>
      <c r="E3297" t="inlineStr">
        <is>
          <t>GRUMS</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13549-2020</t>
        </is>
      </c>
      <c r="B3298" s="1" t="n">
        <v>43902</v>
      </c>
      <c r="C3298" s="1" t="n">
        <v>45353</v>
      </c>
      <c r="D3298" t="inlineStr">
        <is>
          <t>VÄRMLANDS LÄN</t>
        </is>
      </c>
      <c r="E3298" t="inlineStr">
        <is>
          <t>ÅRJÄNG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13459-2020</t>
        </is>
      </c>
      <c r="B3299" s="1" t="n">
        <v>43902</v>
      </c>
      <c r="C3299" s="1" t="n">
        <v>45353</v>
      </c>
      <c r="D3299" t="inlineStr">
        <is>
          <t>VÄRMLANDS LÄN</t>
        </is>
      </c>
      <c r="E3299" t="inlineStr">
        <is>
          <t>ARVIKA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13508-2020</t>
        </is>
      </c>
      <c r="B3300" s="1" t="n">
        <v>43902</v>
      </c>
      <c r="C3300" s="1" t="n">
        <v>45353</v>
      </c>
      <c r="D3300" t="inlineStr">
        <is>
          <t>VÄRMLANDS LÄN</t>
        </is>
      </c>
      <c r="E3300" t="inlineStr">
        <is>
          <t>KRISTINEHAMN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13543-2020</t>
        </is>
      </c>
      <c r="B3301" s="1" t="n">
        <v>43902</v>
      </c>
      <c r="C3301" s="1" t="n">
        <v>45353</v>
      </c>
      <c r="D3301" t="inlineStr">
        <is>
          <t>VÄRMLANDS LÄN</t>
        </is>
      </c>
      <c r="E3301" t="inlineStr">
        <is>
          <t>SUNNE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14608-2020</t>
        </is>
      </c>
      <c r="B3302" s="1" t="n">
        <v>43902</v>
      </c>
      <c r="C3302" s="1" t="n">
        <v>45353</v>
      </c>
      <c r="D3302" t="inlineStr">
        <is>
          <t>VÄRMLANDS LÄN</t>
        </is>
      </c>
      <c r="E3302" t="inlineStr">
        <is>
          <t>ÅRJÄNG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14759-2020</t>
        </is>
      </c>
      <c r="B3303" s="1" t="n">
        <v>43902</v>
      </c>
      <c r="C3303" s="1" t="n">
        <v>45353</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14709-2020</t>
        </is>
      </c>
      <c r="B3304" s="1" t="n">
        <v>43902</v>
      </c>
      <c r="C3304" s="1" t="n">
        <v>45353</v>
      </c>
      <c r="D3304" t="inlineStr">
        <is>
          <t>VÄRMLANDS LÄN</t>
        </is>
      </c>
      <c r="E3304" t="inlineStr">
        <is>
          <t>SUNNE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14605-2020</t>
        </is>
      </c>
      <c r="B3305" s="1" t="n">
        <v>43902</v>
      </c>
      <c r="C3305" s="1" t="n">
        <v>45353</v>
      </c>
      <c r="D3305" t="inlineStr">
        <is>
          <t>VÄRMLANDS LÄN</t>
        </is>
      </c>
      <c r="E3305" t="inlineStr">
        <is>
          <t>ÅRJÄNG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14399-2020</t>
        </is>
      </c>
      <c r="B3306" s="1" t="n">
        <v>43902</v>
      </c>
      <c r="C3306" s="1" t="n">
        <v>45353</v>
      </c>
      <c r="D3306" t="inlineStr">
        <is>
          <t>VÄRMLANDS LÄN</t>
        </is>
      </c>
      <c r="E3306" t="inlineStr">
        <is>
          <t>SÄFFLE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14619-2020</t>
        </is>
      </c>
      <c r="B3307" s="1" t="n">
        <v>43902</v>
      </c>
      <c r="C3307" s="1" t="n">
        <v>45353</v>
      </c>
      <c r="D3307" t="inlineStr">
        <is>
          <t>VÄRMLANDS LÄN</t>
        </is>
      </c>
      <c r="E3307" t="inlineStr">
        <is>
          <t>EDA</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13623-2020</t>
        </is>
      </c>
      <c r="B3308" s="1" t="n">
        <v>43903</v>
      </c>
      <c r="C3308" s="1" t="n">
        <v>45353</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13694-2020</t>
        </is>
      </c>
      <c r="B3309" s="1" t="n">
        <v>43903</v>
      </c>
      <c r="C3309" s="1" t="n">
        <v>45353</v>
      </c>
      <c r="D3309" t="inlineStr">
        <is>
          <t>VÄRMLANDS LÄN</t>
        </is>
      </c>
      <c r="E3309" t="inlineStr">
        <is>
          <t>SUNNE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14695-2020</t>
        </is>
      </c>
      <c r="B3310" s="1" t="n">
        <v>43903</v>
      </c>
      <c r="C3310" s="1" t="n">
        <v>45353</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14693-2020</t>
        </is>
      </c>
      <c r="B3311" s="1" t="n">
        <v>43903</v>
      </c>
      <c r="C3311" s="1" t="n">
        <v>45353</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13615-2020</t>
        </is>
      </c>
      <c r="B3312" s="1" t="n">
        <v>43903</v>
      </c>
      <c r="C3312" s="1" t="n">
        <v>45353</v>
      </c>
      <c r="D3312" t="inlineStr">
        <is>
          <t>VÄRMLANDS LÄN</t>
        </is>
      </c>
      <c r="E3312" t="inlineStr">
        <is>
          <t>ARVIKA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13630-2020</t>
        </is>
      </c>
      <c r="B3313" s="1" t="n">
        <v>43903</v>
      </c>
      <c r="C3313" s="1" t="n">
        <v>45353</v>
      </c>
      <c r="D3313" t="inlineStr">
        <is>
          <t>VÄRMLANDS LÄN</t>
        </is>
      </c>
      <c r="E3313" t="inlineStr">
        <is>
          <t>ÅRJÄNG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13740-2020</t>
        </is>
      </c>
      <c r="B3314" s="1" t="n">
        <v>43903</v>
      </c>
      <c r="C3314" s="1" t="n">
        <v>45353</v>
      </c>
      <c r="D3314" t="inlineStr">
        <is>
          <t>VÄRMLANDS LÄN</t>
        </is>
      </c>
      <c r="E3314" t="inlineStr">
        <is>
          <t>FILIPSTAD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13819-2020</t>
        </is>
      </c>
      <c r="B3315" s="1" t="n">
        <v>43905</v>
      </c>
      <c r="C3315" s="1" t="n">
        <v>45353</v>
      </c>
      <c r="D3315" t="inlineStr">
        <is>
          <t>VÄRMLANDS LÄN</t>
        </is>
      </c>
      <c r="E3315" t="inlineStr">
        <is>
          <t>KARLSTAD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13828-2020</t>
        </is>
      </c>
      <c r="B3316" s="1" t="n">
        <v>43905</v>
      </c>
      <c r="C3316" s="1" t="n">
        <v>45353</v>
      </c>
      <c r="D3316" t="inlineStr">
        <is>
          <t>VÄRMLANDS LÄN</t>
        </is>
      </c>
      <c r="E3316" t="inlineStr">
        <is>
          <t>ARVIKA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14879-2020</t>
        </is>
      </c>
      <c r="B3317" s="1" t="n">
        <v>43905</v>
      </c>
      <c r="C3317" s="1" t="n">
        <v>45353</v>
      </c>
      <c r="D3317" t="inlineStr">
        <is>
          <t>VÄRMLANDS LÄN</t>
        </is>
      </c>
      <c r="E3317" t="inlineStr">
        <is>
          <t>SÄFFLE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13818-2020</t>
        </is>
      </c>
      <c r="B3318" s="1" t="n">
        <v>43905</v>
      </c>
      <c r="C3318" s="1" t="n">
        <v>45353</v>
      </c>
      <c r="D3318" t="inlineStr">
        <is>
          <t>VÄRMLANDS LÄN</t>
        </is>
      </c>
      <c r="E3318" t="inlineStr">
        <is>
          <t>KARLSTAD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13824-2020</t>
        </is>
      </c>
      <c r="B3319" s="1" t="n">
        <v>43905</v>
      </c>
      <c r="C3319" s="1" t="n">
        <v>45353</v>
      </c>
      <c r="D3319" t="inlineStr">
        <is>
          <t>VÄRMLANDS LÄN</t>
        </is>
      </c>
      <c r="E3319" t="inlineStr">
        <is>
          <t>KRISTINEHAMN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13904-2020</t>
        </is>
      </c>
      <c r="B3320" s="1" t="n">
        <v>43906</v>
      </c>
      <c r="C3320" s="1" t="n">
        <v>45353</v>
      </c>
      <c r="D3320" t="inlineStr">
        <is>
          <t>VÄRMLANDS LÄN</t>
        </is>
      </c>
      <c r="E3320" t="inlineStr">
        <is>
          <t>SUNNE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13962-2020</t>
        </is>
      </c>
      <c r="B3321" s="1" t="n">
        <v>43906</v>
      </c>
      <c r="C3321" s="1" t="n">
        <v>45353</v>
      </c>
      <c r="D3321" t="inlineStr">
        <is>
          <t>VÄRMLANDS LÄN</t>
        </is>
      </c>
      <c r="E3321" t="inlineStr">
        <is>
          <t>KRISTINEHAMN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13973-2020</t>
        </is>
      </c>
      <c r="B3322" s="1" t="n">
        <v>43906</v>
      </c>
      <c r="C3322" s="1" t="n">
        <v>45353</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13926-2020</t>
        </is>
      </c>
      <c r="B3323" s="1" t="n">
        <v>43906</v>
      </c>
      <c r="C3323" s="1" t="n">
        <v>45353</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13833-2020</t>
        </is>
      </c>
      <c r="B3324" s="1" t="n">
        <v>43906</v>
      </c>
      <c r="C3324" s="1" t="n">
        <v>45353</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13903-2020</t>
        </is>
      </c>
      <c r="B3325" s="1" t="n">
        <v>43906</v>
      </c>
      <c r="C3325" s="1" t="n">
        <v>45353</v>
      </c>
      <c r="D3325" t="inlineStr">
        <is>
          <t>VÄRMLANDS LÄN</t>
        </is>
      </c>
      <c r="E3325" t="inlineStr">
        <is>
          <t>SUNNE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13929-2020</t>
        </is>
      </c>
      <c r="B3326" s="1" t="n">
        <v>43906</v>
      </c>
      <c r="C3326" s="1" t="n">
        <v>45353</v>
      </c>
      <c r="D3326" t="inlineStr">
        <is>
          <t>VÄRMLANDS LÄN</t>
        </is>
      </c>
      <c r="E3326" t="inlineStr">
        <is>
          <t>ÅRJÄNG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13853-2020</t>
        </is>
      </c>
      <c r="B3327" s="1" t="n">
        <v>43906</v>
      </c>
      <c r="C3327" s="1" t="n">
        <v>45353</v>
      </c>
      <c r="D3327" t="inlineStr">
        <is>
          <t>VÄRMLANDS LÄN</t>
        </is>
      </c>
      <c r="E3327" t="inlineStr">
        <is>
          <t>EDA</t>
        </is>
      </c>
      <c r="G3327" t="n">
        <v>14.9</v>
      </c>
      <c r="H3327" t="n">
        <v>0</v>
      </c>
      <c r="I3327" t="n">
        <v>0</v>
      </c>
      <c r="J3327" t="n">
        <v>0</v>
      </c>
      <c r="K3327" t="n">
        <v>0</v>
      </c>
      <c r="L3327" t="n">
        <v>0</v>
      </c>
      <c r="M3327" t="n">
        <v>0</v>
      </c>
      <c r="N3327" t="n">
        <v>0</v>
      </c>
      <c r="O3327" t="n">
        <v>0</v>
      </c>
      <c r="P3327" t="n">
        <v>0</v>
      </c>
      <c r="Q3327" t="n">
        <v>0</v>
      </c>
      <c r="R3327" s="2" t="inlineStr"/>
    </row>
    <row r="3328" ht="15" customHeight="1">
      <c r="A3328" t="inlineStr">
        <is>
          <t>A 14057-2020</t>
        </is>
      </c>
      <c r="B3328" s="1" t="n">
        <v>43906</v>
      </c>
      <c r="C3328" s="1" t="n">
        <v>45353</v>
      </c>
      <c r="D3328" t="inlineStr">
        <is>
          <t>VÄRMLANDS LÄN</t>
        </is>
      </c>
      <c r="E3328" t="inlineStr">
        <is>
          <t>ÅRJÄNG</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14892-2020</t>
        </is>
      </c>
      <c r="B3329" s="1" t="n">
        <v>43906</v>
      </c>
      <c r="C3329" s="1" t="n">
        <v>45353</v>
      </c>
      <c r="D3329" t="inlineStr">
        <is>
          <t>VÄRMLANDS LÄN</t>
        </is>
      </c>
      <c r="E3329" t="inlineStr">
        <is>
          <t>ÅRJÄNG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14943-2020</t>
        </is>
      </c>
      <c r="B3330" s="1" t="n">
        <v>43906</v>
      </c>
      <c r="C3330" s="1" t="n">
        <v>45353</v>
      </c>
      <c r="D3330" t="inlineStr">
        <is>
          <t>VÄRMLANDS LÄN</t>
        </is>
      </c>
      <c r="E3330" t="inlineStr">
        <is>
          <t>FORSHAGA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14015-2020</t>
        </is>
      </c>
      <c r="B3331" s="1" t="n">
        <v>43906</v>
      </c>
      <c r="C3331" s="1" t="n">
        <v>45353</v>
      </c>
      <c r="D3331" t="inlineStr">
        <is>
          <t>VÄRMLANDS LÄN</t>
        </is>
      </c>
      <c r="E3331" t="inlineStr">
        <is>
          <t>SUNNE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15011-2020</t>
        </is>
      </c>
      <c r="B3332" s="1" t="n">
        <v>43906</v>
      </c>
      <c r="C3332" s="1" t="n">
        <v>45353</v>
      </c>
      <c r="D3332" t="inlineStr">
        <is>
          <t>VÄRMLANDS LÄN</t>
        </is>
      </c>
      <c r="E3332" t="inlineStr">
        <is>
          <t>GRUMS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14933-2020</t>
        </is>
      </c>
      <c r="B3333" s="1" t="n">
        <v>43906</v>
      </c>
      <c r="C3333" s="1" t="n">
        <v>45353</v>
      </c>
      <c r="D3333" t="inlineStr">
        <is>
          <t>VÄRMLANDS LÄN</t>
        </is>
      </c>
      <c r="E3333" t="inlineStr">
        <is>
          <t>KARLSTAD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14059-2020</t>
        </is>
      </c>
      <c r="B3334" s="1" t="n">
        <v>43906</v>
      </c>
      <c r="C3334" s="1" t="n">
        <v>45353</v>
      </c>
      <c r="D3334" t="inlineStr">
        <is>
          <t>VÄRMLANDS LÄN</t>
        </is>
      </c>
      <c r="E3334" t="inlineStr">
        <is>
          <t>ÅRJÄNG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14058-2020</t>
        </is>
      </c>
      <c r="B3335" s="1" t="n">
        <v>43906</v>
      </c>
      <c r="C3335" s="1" t="n">
        <v>45353</v>
      </c>
      <c r="D3335" t="inlineStr">
        <is>
          <t>VÄRMLANDS LÄN</t>
        </is>
      </c>
      <c r="E3335" t="inlineStr">
        <is>
          <t>ÅRJÄNG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13931-2020</t>
        </is>
      </c>
      <c r="B3336" s="1" t="n">
        <v>43906</v>
      </c>
      <c r="C3336" s="1" t="n">
        <v>45353</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14052-2020</t>
        </is>
      </c>
      <c r="B3337" s="1" t="n">
        <v>43906</v>
      </c>
      <c r="C3337" s="1" t="n">
        <v>45353</v>
      </c>
      <c r="D3337" t="inlineStr">
        <is>
          <t>VÄRMLANDS LÄN</t>
        </is>
      </c>
      <c r="E3337" t="inlineStr">
        <is>
          <t>ARVIKA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14061-2020</t>
        </is>
      </c>
      <c r="B3338" s="1" t="n">
        <v>43906</v>
      </c>
      <c r="C3338" s="1" t="n">
        <v>45353</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15586-2020</t>
        </is>
      </c>
      <c r="B3339" s="1" t="n">
        <v>43907</v>
      </c>
      <c r="C3339" s="1" t="n">
        <v>45353</v>
      </c>
      <c r="D3339" t="inlineStr">
        <is>
          <t>VÄRMLANDS LÄN</t>
        </is>
      </c>
      <c r="E3339" t="inlineStr">
        <is>
          <t>SÄFFLE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14973-2020</t>
        </is>
      </c>
      <c r="B3340" s="1" t="n">
        <v>43907</v>
      </c>
      <c r="C3340" s="1" t="n">
        <v>45353</v>
      </c>
      <c r="D3340" t="inlineStr">
        <is>
          <t>VÄRMLANDS LÄN</t>
        </is>
      </c>
      <c r="E3340" t="inlineStr">
        <is>
          <t>EDA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15564-2020</t>
        </is>
      </c>
      <c r="B3341" s="1" t="n">
        <v>43907</v>
      </c>
      <c r="C3341" s="1" t="n">
        <v>45353</v>
      </c>
      <c r="D3341" t="inlineStr">
        <is>
          <t>VÄRMLANDS LÄN</t>
        </is>
      </c>
      <c r="E3341" t="inlineStr">
        <is>
          <t>FORSHAGA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14238-2020</t>
        </is>
      </c>
      <c r="B3342" s="1" t="n">
        <v>43907</v>
      </c>
      <c r="C3342" s="1" t="n">
        <v>45353</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14962-2020</t>
        </is>
      </c>
      <c r="B3343" s="1" t="n">
        <v>43907</v>
      </c>
      <c r="C3343" s="1" t="n">
        <v>45353</v>
      </c>
      <c r="D3343" t="inlineStr">
        <is>
          <t>VÄRMLANDS LÄN</t>
        </is>
      </c>
      <c r="E3343" t="inlineStr">
        <is>
          <t>TORSBY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15028-2020</t>
        </is>
      </c>
      <c r="B3344" s="1" t="n">
        <v>43907</v>
      </c>
      <c r="C3344" s="1" t="n">
        <v>45353</v>
      </c>
      <c r="D3344" t="inlineStr">
        <is>
          <t>VÄRMLANDS LÄN</t>
        </is>
      </c>
      <c r="E3344" t="inlineStr">
        <is>
          <t>GRUMS</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15583-2020</t>
        </is>
      </c>
      <c r="B3345" s="1" t="n">
        <v>43907</v>
      </c>
      <c r="C3345" s="1" t="n">
        <v>45353</v>
      </c>
      <c r="D3345" t="inlineStr">
        <is>
          <t>VÄRMLANDS LÄN</t>
        </is>
      </c>
      <c r="E3345" t="inlineStr">
        <is>
          <t>SÄFFLE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16322-2020</t>
        </is>
      </c>
      <c r="B3346" s="1" t="n">
        <v>43907</v>
      </c>
      <c r="C3346" s="1" t="n">
        <v>45353</v>
      </c>
      <c r="D3346" t="inlineStr">
        <is>
          <t>VÄRMLANDS LÄN</t>
        </is>
      </c>
      <c r="E3346" t="inlineStr">
        <is>
          <t>FILIPSTAD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16305-2020</t>
        </is>
      </c>
      <c r="B3347" s="1" t="n">
        <v>43907</v>
      </c>
      <c r="C3347" s="1" t="n">
        <v>45353</v>
      </c>
      <c r="D3347" t="inlineStr">
        <is>
          <t>VÄRMLANDS LÄN</t>
        </is>
      </c>
      <c r="E3347" t="inlineStr">
        <is>
          <t>FILIPSTAD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14128-2020</t>
        </is>
      </c>
      <c r="B3348" s="1" t="n">
        <v>43907</v>
      </c>
      <c r="C3348" s="1" t="n">
        <v>45353</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14222-2020</t>
        </is>
      </c>
      <c r="B3349" s="1" t="n">
        <v>43907</v>
      </c>
      <c r="C3349" s="1" t="n">
        <v>45353</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14270-2020</t>
        </is>
      </c>
      <c r="B3350" s="1" t="n">
        <v>43907</v>
      </c>
      <c r="C3350" s="1" t="n">
        <v>45353</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15536-2020</t>
        </is>
      </c>
      <c r="B3351" s="1" t="n">
        <v>43907</v>
      </c>
      <c r="C3351" s="1" t="n">
        <v>45353</v>
      </c>
      <c r="D3351" t="inlineStr">
        <is>
          <t>VÄRMLANDS LÄN</t>
        </is>
      </c>
      <c r="E3351" t="inlineStr">
        <is>
          <t>FORSHAGA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15013-2020</t>
        </is>
      </c>
      <c r="B3352" s="1" t="n">
        <v>43907</v>
      </c>
      <c r="C3352" s="1" t="n">
        <v>45353</v>
      </c>
      <c r="D3352" t="inlineStr">
        <is>
          <t>VÄRMLANDS LÄN</t>
        </is>
      </c>
      <c r="E3352" t="inlineStr">
        <is>
          <t>KRISTINEHAMN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14968-2020</t>
        </is>
      </c>
      <c r="B3353" s="1" t="n">
        <v>43907</v>
      </c>
      <c r="C3353" s="1" t="n">
        <v>45353</v>
      </c>
      <c r="D3353" t="inlineStr">
        <is>
          <t>VÄRMLANDS LÄN</t>
        </is>
      </c>
      <c r="E3353" t="inlineStr">
        <is>
          <t>TORSBY</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14132-2020</t>
        </is>
      </c>
      <c r="B3354" s="1" t="n">
        <v>43907</v>
      </c>
      <c r="C3354" s="1" t="n">
        <v>45353</v>
      </c>
      <c r="D3354" t="inlineStr">
        <is>
          <t>VÄRMLANDS LÄN</t>
        </is>
      </c>
      <c r="E3354" t="inlineStr">
        <is>
          <t>ÅRJÄNG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14341-2020</t>
        </is>
      </c>
      <c r="B3355" s="1" t="n">
        <v>43908</v>
      </c>
      <c r="C3355" s="1" t="n">
        <v>45353</v>
      </c>
      <c r="D3355" t="inlineStr">
        <is>
          <t>VÄRMLANDS LÄN</t>
        </is>
      </c>
      <c r="E3355" t="inlineStr">
        <is>
          <t>EDA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14445-2020</t>
        </is>
      </c>
      <c r="B3356" s="1" t="n">
        <v>43908</v>
      </c>
      <c r="C3356" s="1" t="n">
        <v>45353</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14455-2020</t>
        </is>
      </c>
      <c r="B3357" s="1" t="n">
        <v>43908</v>
      </c>
      <c r="C3357" s="1" t="n">
        <v>45353</v>
      </c>
      <c r="D3357" t="inlineStr">
        <is>
          <t>VÄRMLANDS LÄN</t>
        </is>
      </c>
      <c r="E3357" t="inlineStr">
        <is>
          <t>SUNNE</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14353-2020</t>
        </is>
      </c>
      <c r="B3358" s="1" t="n">
        <v>43908</v>
      </c>
      <c r="C3358" s="1" t="n">
        <v>45353</v>
      </c>
      <c r="D3358" t="inlineStr">
        <is>
          <t>VÄRMLANDS LÄN</t>
        </is>
      </c>
      <c r="E3358" t="inlineStr">
        <is>
          <t>ARVIKA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14501-2020</t>
        </is>
      </c>
      <c r="B3359" s="1" t="n">
        <v>43908</v>
      </c>
      <c r="C3359" s="1" t="n">
        <v>45353</v>
      </c>
      <c r="D3359" t="inlineStr">
        <is>
          <t>VÄRMLANDS LÄN</t>
        </is>
      </c>
      <c r="E3359" t="inlineStr">
        <is>
          <t>FILIPSTAD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16344-2020</t>
        </is>
      </c>
      <c r="B3360" s="1" t="n">
        <v>43908</v>
      </c>
      <c r="C3360" s="1" t="n">
        <v>45353</v>
      </c>
      <c r="D3360" t="inlineStr">
        <is>
          <t>VÄRMLANDS LÄN</t>
        </is>
      </c>
      <c r="E3360" t="inlineStr">
        <is>
          <t>GRUMS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14702-2020</t>
        </is>
      </c>
      <c r="B3361" s="1" t="n">
        <v>43909</v>
      </c>
      <c r="C3361" s="1" t="n">
        <v>45353</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14798-2020</t>
        </is>
      </c>
      <c r="B3362" s="1" t="n">
        <v>43909</v>
      </c>
      <c r="C3362" s="1" t="n">
        <v>45353</v>
      </c>
      <c r="D3362" t="inlineStr">
        <is>
          <t>VÄRMLANDS LÄN</t>
        </is>
      </c>
      <c r="E3362" t="inlineStr">
        <is>
          <t>FORSHAGA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14593-2020</t>
        </is>
      </c>
      <c r="B3363" s="1" t="n">
        <v>43909</v>
      </c>
      <c r="C3363" s="1" t="n">
        <v>45353</v>
      </c>
      <c r="D3363" t="inlineStr">
        <is>
          <t>VÄRMLANDS LÄN</t>
        </is>
      </c>
      <c r="E3363" t="inlineStr">
        <is>
          <t>KARLSTAD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14661-2020</t>
        </is>
      </c>
      <c r="B3364" s="1" t="n">
        <v>43909</v>
      </c>
      <c r="C3364" s="1" t="n">
        <v>45353</v>
      </c>
      <c r="D3364" t="inlineStr">
        <is>
          <t>VÄRMLANDS LÄN</t>
        </is>
      </c>
      <c r="E3364" t="inlineStr">
        <is>
          <t>ARVIKA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14694-2020</t>
        </is>
      </c>
      <c r="B3365" s="1" t="n">
        <v>43909</v>
      </c>
      <c r="C3365" s="1" t="n">
        <v>45353</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14851-2020</t>
        </is>
      </c>
      <c r="B3366" s="1" t="n">
        <v>43909</v>
      </c>
      <c r="C3366" s="1" t="n">
        <v>45353</v>
      </c>
      <c r="D3366" t="inlineStr">
        <is>
          <t>VÄRMLANDS LÄN</t>
        </is>
      </c>
      <c r="E3366" t="inlineStr">
        <is>
          <t>TORSBY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16457-2020</t>
        </is>
      </c>
      <c r="B3367" s="1" t="n">
        <v>43909</v>
      </c>
      <c r="C3367" s="1" t="n">
        <v>45353</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16455-2020</t>
        </is>
      </c>
      <c r="B3368" s="1" t="n">
        <v>43909</v>
      </c>
      <c r="C3368" s="1" t="n">
        <v>45353</v>
      </c>
      <c r="D3368" t="inlineStr">
        <is>
          <t>VÄRMLANDS LÄN</t>
        </is>
      </c>
      <c r="E3368" t="inlineStr">
        <is>
          <t>KIL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16576-2020</t>
        </is>
      </c>
      <c r="B3369" s="1" t="n">
        <v>43909</v>
      </c>
      <c r="C3369" s="1" t="n">
        <v>45353</v>
      </c>
      <c r="D3369" t="inlineStr">
        <is>
          <t>VÄRMLANDS LÄN</t>
        </is>
      </c>
      <c r="E3369" t="inlineStr">
        <is>
          <t>KARLSTAD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16512-2020</t>
        </is>
      </c>
      <c r="B3370" s="1" t="n">
        <v>43909</v>
      </c>
      <c r="C3370" s="1" t="n">
        <v>45353</v>
      </c>
      <c r="D3370" t="inlineStr">
        <is>
          <t>VÄRMLANDS LÄN</t>
        </is>
      </c>
      <c r="E3370" t="inlineStr">
        <is>
          <t>SUNNE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14606-2020</t>
        </is>
      </c>
      <c r="B3371" s="1" t="n">
        <v>43909</v>
      </c>
      <c r="C3371" s="1" t="n">
        <v>45353</v>
      </c>
      <c r="D3371" t="inlineStr">
        <is>
          <t>VÄRMLANDS LÄN</t>
        </is>
      </c>
      <c r="E3371" t="inlineStr">
        <is>
          <t>ARVIKA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16557-2020</t>
        </is>
      </c>
      <c r="B3372" s="1" t="n">
        <v>43909</v>
      </c>
      <c r="C3372" s="1" t="n">
        <v>45353</v>
      </c>
      <c r="D3372" t="inlineStr">
        <is>
          <t>VÄRMLANDS LÄN</t>
        </is>
      </c>
      <c r="E3372" t="inlineStr">
        <is>
          <t>KRISTINEHAMN</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16560-2020</t>
        </is>
      </c>
      <c r="B3373" s="1" t="n">
        <v>43909</v>
      </c>
      <c r="C3373" s="1" t="n">
        <v>45353</v>
      </c>
      <c r="D3373" t="inlineStr">
        <is>
          <t>VÄRMLANDS LÄN</t>
        </is>
      </c>
      <c r="E3373" t="inlineStr">
        <is>
          <t>KRISTINEHAMN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16503-2020</t>
        </is>
      </c>
      <c r="B3374" s="1" t="n">
        <v>43909</v>
      </c>
      <c r="C3374" s="1" t="n">
        <v>45353</v>
      </c>
      <c r="D3374" t="inlineStr">
        <is>
          <t>VÄRMLANDS LÄN</t>
        </is>
      </c>
      <c r="E3374" t="inlineStr">
        <is>
          <t>KIL</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14916-2020</t>
        </is>
      </c>
      <c r="B3375" s="1" t="n">
        <v>43910</v>
      </c>
      <c r="C3375" s="1" t="n">
        <v>45353</v>
      </c>
      <c r="D3375" t="inlineStr">
        <is>
          <t>VÄRMLANDS LÄN</t>
        </is>
      </c>
      <c r="E3375" t="inlineStr">
        <is>
          <t>KIL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15019-2020</t>
        </is>
      </c>
      <c r="B3376" s="1" t="n">
        <v>43910</v>
      </c>
      <c r="C3376" s="1" t="n">
        <v>45353</v>
      </c>
      <c r="D3376" t="inlineStr">
        <is>
          <t>VÄRMLANDS LÄN</t>
        </is>
      </c>
      <c r="E3376" t="inlineStr">
        <is>
          <t>SUNNE</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14928-2020</t>
        </is>
      </c>
      <c r="B3377" s="1" t="n">
        <v>43910</v>
      </c>
      <c r="C3377" s="1" t="n">
        <v>45353</v>
      </c>
      <c r="D3377" t="inlineStr">
        <is>
          <t>VÄRMLANDS LÄN</t>
        </is>
      </c>
      <c r="E3377" t="inlineStr">
        <is>
          <t>ÅRJÄNG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14948-2020</t>
        </is>
      </c>
      <c r="B3378" s="1" t="n">
        <v>43910</v>
      </c>
      <c r="C3378" s="1" t="n">
        <v>45353</v>
      </c>
      <c r="D3378" t="inlineStr">
        <is>
          <t>VÄRMLANDS LÄN</t>
        </is>
      </c>
      <c r="E3378" t="inlineStr">
        <is>
          <t>KARLSTAD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14961-2020</t>
        </is>
      </c>
      <c r="B3379" s="1" t="n">
        <v>43910</v>
      </c>
      <c r="C3379" s="1" t="n">
        <v>45353</v>
      </c>
      <c r="D3379" t="inlineStr">
        <is>
          <t>VÄRMLANDS LÄN</t>
        </is>
      </c>
      <c r="E3379" t="inlineStr">
        <is>
          <t>KARLSTAD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15022-2020</t>
        </is>
      </c>
      <c r="B3380" s="1" t="n">
        <v>43910</v>
      </c>
      <c r="C3380" s="1" t="n">
        <v>45353</v>
      </c>
      <c r="D3380" t="inlineStr">
        <is>
          <t>VÄRMLANDS LÄN</t>
        </is>
      </c>
      <c r="E3380" t="inlineStr">
        <is>
          <t>ARVIKA</t>
        </is>
      </c>
      <c r="G3380" t="n">
        <v>29.3</v>
      </c>
      <c r="H3380" t="n">
        <v>0</v>
      </c>
      <c r="I3380" t="n">
        <v>0</v>
      </c>
      <c r="J3380" t="n">
        <v>0</v>
      </c>
      <c r="K3380" t="n">
        <v>0</v>
      </c>
      <c r="L3380" t="n">
        <v>0</v>
      </c>
      <c r="M3380" t="n">
        <v>0</v>
      </c>
      <c r="N3380" t="n">
        <v>0</v>
      </c>
      <c r="O3380" t="n">
        <v>0</v>
      </c>
      <c r="P3380" t="n">
        <v>0</v>
      </c>
      <c r="Q3380" t="n">
        <v>0</v>
      </c>
      <c r="R3380" s="2" t="inlineStr"/>
    </row>
    <row r="3381" ht="15" customHeight="1">
      <c r="A3381" t="inlineStr">
        <is>
          <t>A 14965-2020</t>
        </is>
      </c>
      <c r="B3381" s="1" t="n">
        <v>43910</v>
      </c>
      <c r="C3381" s="1" t="n">
        <v>45353</v>
      </c>
      <c r="D3381" t="inlineStr">
        <is>
          <t>VÄRMLANDS LÄN</t>
        </is>
      </c>
      <c r="E3381" t="inlineStr">
        <is>
          <t>KARLSTAD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15064-2020</t>
        </is>
      </c>
      <c r="B3382" s="1" t="n">
        <v>43910</v>
      </c>
      <c r="C3382" s="1" t="n">
        <v>45353</v>
      </c>
      <c r="D3382" t="inlineStr">
        <is>
          <t>VÄRMLANDS LÄN</t>
        </is>
      </c>
      <c r="E3382" t="inlineStr">
        <is>
          <t>HAGFORS</t>
        </is>
      </c>
      <c r="F3382" t="inlineStr">
        <is>
          <t>Bergvik skog väst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14955-2020</t>
        </is>
      </c>
      <c r="B3383" s="1" t="n">
        <v>43910</v>
      </c>
      <c r="C3383" s="1" t="n">
        <v>45353</v>
      </c>
      <c r="D3383" t="inlineStr">
        <is>
          <t>VÄRMLANDS LÄN</t>
        </is>
      </c>
      <c r="E3383" t="inlineStr">
        <is>
          <t>SÄFFLE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14964-2020</t>
        </is>
      </c>
      <c r="B3384" s="1" t="n">
        <v>43910</v>
      </c>
      <c r="C3384" s="1" t="n">
        <v>45353</v>
      </c>
      <c r="D3384" t="inlineStr">
        <is>
          <t>VÄRMLANDS LÄN</t>
        </is>
      </c>
      <c r="E3384" t="inlineStr">
        <is>
          <t>KARLSTAD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15044-2020</t>
        </is>
      </c>
      <c r="B3385" s="1" t="n">
        <v>43910</v>
      </c>
      <c r="C3385" s="1" t="n">
        <v>45353</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15046-2020</t>
        </is>
      </c>
      <c r="B3386" s="1" t="n">
        <v>43910</v>
      </c>
      <c r="C3386" s="1" t="n">
        <v>45353</v>
      </c>
      <c r="D3386" t="inlineStr">
        <is>
          <t>VÄRMLANDS LÄN</t>
        </is>
      </c>
      <c r="E3386" t="inlineStr">
        <is>
          <t>HAGFORS</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15144-2020</t>
        </is>
      </c>
      <c r="B3387" s="1" t="n">
        <v>43911</v>
      </c>
      <c r="C3387" s="1" t="n">
        <v>45353</v>
      </c>
      <c r="D3387" t="inlineStr">
        <is>
          <t>VÄRMLANDS LÄN</t>
        </is>
      </c>
      <c r="E3387" t="inlineStr">
        <is>
          <t>KIL</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15143-2020</t>
        </is>
      </c>
      <c r="B3388" s="1" t="n">
        <v>43911</v>
      </c>
      <c r="C3388" s="1" t="n">
        <v>45353</v>
      </c>
      <c r="D3388" t="inlineStr">
        <is>
          <t>VÄRMLANDS LÄN</t>
        </is>
      </c>
      <c r="E3388" t="inlineStr">
        <is>
          <t>KIL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15142-2020</t>
        </is>
      </c>
      <c r="B3389" s="1" t="n">
        <v>43911</v>
      </c>
      <c r="C3389" s="1" t="n">
        <v>45353</v>
      </c>
      <c r="D3389" t="inlineStr">
        <is>
          <t>VÄRMLANDS LÄN</t>
        </is>
      </c>
      <c r="E3389" t="inlineStr">
        <is>
          <t>KIL</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15146-2020</t>
        </is>
      </c>
      <c r="B3390" s="1" t="n">
        <v>43911</v>
      </c>
      <c r="C3390" s="1" t="n">
        <v>45353</v>
      </c>
      <c r="D3390" t="inlineStr">
        <is>
          <t>VÄRMLANDS LÄN</t>
        </is>
      </c>
      <c r="E3390" t="inlineStr">
        <is>
          <t>KIL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15140-2020</t>
        </is>
      </c>
      <c r="B3391" s="1" t="n">
        <v>43911</v>
      </c>
      <c r="C3391" s="1" t="n">
        <v>45353</v>
      </c>
      <c r="D3391" t="inlineStr">
        <is>
          <t>VÄRMLANDS LÄN</t>
        </is>
      </c>
      <c r="E3391" t="inlineStr">
        <is>
          <t>KIL</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15145-2020</t>
        </is>
      </c>
      <c r="B3392" s="1" t="n">
        <v>43911</v>
      </c>
      <c r="C3392" s="1" t="n">
        <v>45353</v>
      </c>
      <c r="D3392" t="inlineStr">
        <is>
          <t>VÄRMLANDS LÄN</t>
        </is>
      </c>
      <c r="E3392" t="inlineStr">
        <is>
          <t>KIL</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15162-2020</t>
        </is>
      </c>
      <c r="B3393" s="1" t="n">
        <v>43912</v>
      </c>
      <c r="C3393" s="1" t="n">
        <v>45353</v>
      </c>
      <c r="D3393" t="inlineStr">
        <is>
          <t>VÄRMLANDS LÄN</t>
        </is>
      </c>
      <c r="E3393" t="inlineStr">
        <is>
          <t>SUNNE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15161-2020</t>
        </is>
      </c>
      <c r="B3394" s="1" t="n">
        <v>43912</v>
      </c>
      <c r="C3394" s="1" t="n">
        <v>45353</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15290-2020</t>
        </is>
      </c>
      <c r="B3395" s="1" t="n">
        <v>43913</v>
      </c>
      <c r="C3395" s="1" t="n">
        <v>45353</v>
      </c>
      <c r="D3395" t="inlineStr">
        <is>
          <t>VÄRMLANDS LÄN</t>
        </is>
      </c>
      <c r="E3395" t="inlineStr">
        <is>
          <t>MUNKFORS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15346-2020</t>
        </is>
      </c>
      <c r="B3396" s="1" t="n">
        <v>43913</v>
      </c>
      <c r="C3396" s="1" t="n">
        <v>45353</v>
      </c>
      <c r="D3396" t="inlineStr">
        <is>
          <t>VÄRMLANDS LÄN</t>
        </is>
      </c>
      <c r="E3396" t="inlineStr">
        <is>
          <t>SUNNE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15256-2020</t>
        </is>
      </c>
      <c r="B3397" s="1" t="n">
        <v>43913</v>
      </c>
      <c r="C3397" s="1" t="n">
        <v>45353</v>
      </c>
      <c r="D3397" t="inlineStr">
        <is>
          <t>VÄRMLANDS LÄN</t>
        </is>
      </c>
      <c r="E3397" t="inlineStr">
        <is>
          <t>ARVIKA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15259-2020</t>
        </is>
      </c>
      <c r="B3398" s="1" t="n">
        <v>43913</v>
      </c>
      <c r="C3398" s="1" t="n">
        <v>45353</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15283-2020</t>
        </is>
      </c>
      <c r="B3399" s="1" t="n">
        <v>43913</v>
      </c>
      <c r="C3399" s="1" t="n">
        <v>45353</v>
      </c>
      <c r="D3399" t="inlineStr">
        <is>
          <t>VÄRMLANDS LÄN</t>
        </is>
      </c>
      <c r="E3399" t="inlineStr">
        <is>
          <t>HAGFORS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15339-2020</t>
        </is>
      </c>
      <c r="B3400" s="1" t="n">
        <v>43913</v>
      </c>
      <c r="C3400" s="1" t="n">
        <v>45353</v>
      </c>
      <c r="D3400" t="inlineStr">
        <is>
          <t>VÄRMLANDS LÄN</t>
        </is>
      </c>
      <c r="E3400" t="inlineStr">
        <is>
          <t>ARVIKA</t>
        </is>
      </c>
      <c r="G3400" t="n">
        <v>21.4</v>
      </c>
      <c r="H3400" t="n">
        <v>0</v>
      </c>
      <c r="I3400" t="n">
        <v>0</v>
      </c>
      <c r="J3400" t="n">
        <v>0</v>
      </c>
      <c r="K3400" t="n">
        <v>0</v>
      </c>
      <c r="L3400" t="n">
        <v>0</v>
      </c>
      <c r="M3400" t="n">
        <v>0</v>
      </c>
      <c r="N3400" t="n">
        <v>0</v>
      </c>
      <c r="O3400" t="n">
        <v>0</v>
      </c>
      <c r="P3400" t="n">
        <v>0</v>
      </c>
      <c r="Q3400" t="n">
        <v>0</v>
      </c>
      <c r="R3400" s="2" t="inlineStr"/>
    </row>
    <row r="3401" ht="15" customHeight="1">
      <c r="A3401" t="inlineStr">
        <is>
          <t>A 15278-2020</t>
        </is>
      </c>
      <c r="B3401" s="1" t="n">
        <v>43913</v>
      </c>
      <c r="C3401" s="1" t="n">
        <v>45353</v>
      </c>
      <c r="D3401" t="inlineStr">
        <is>
          <t>VÄRMLANDS LÄN</t>
        </is>
      </c>
      <c r="E3401" t="inlineStr">
        <is>
          <t>STORFORS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15280-2020</t>
        </is>
      </c>
      <c r="B3402" s="1" t="n">
        <v>43913</v>
      </c>
      <c r="C3402" s="1" t="n">
        <v>45353</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15316-2020</t>
        </is>
      </c>
      <c r="B3403" s="1" t="n">
        <v>43913</v>
      </c>
      <c r="C3403" s="1" t="n">
        <v>45353</v>
      </c>
      <c r="D3403" t="inlineStr">
        <is>
          <t>VÄRMLANDS LÄN</t>
        </is>
      </c>
      <c r="E3403" t="inlineStr">
        <is>
          <t>KIL</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15385-2020</t>
        </is>
      </c>
      <c r="B3404" s="1" t="n">
        <v>43913</v>
      </c>
      <c r="C3404" s="1" t="n">
        <v>45353</v>
      </c>
      <c r="D3404" t="inlineStr">
        <is>
          <t>VÄRMLANDS LÄN</t>
        </is>
      </c>
      <c r="E3404" t="inlineStr">
        <is>
          <t>HAGFORS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16440-2020</t>
        </is>
      </c>
      <c r="B3405" s="1" t="n">
        <v>43913</v>
      </c>
      <c r="C3405" s="1" t="n">
        <v>45353</v>
      </c>
      <c r="D3405" t="inlineStr">
        <is>
          <t>VÄRMLANDS LÄN</t>
        </is>
      </c>
      <c r="E3405" t="inlineStr">
        <is>
          <t>SÄFFLE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16712-2020</t>
        </is>
      </c>
      <c r="B3406" s="1" t="n">
        <v>43913</v>
      </c>
      <c r="C3406" s="1" t="n">
        <v>45353</v>
      </c>
      <c r="D3406" t="inlineStr">
        <is>
          <t>VÄRMLANDS LÄN</t>
        </is>
      </c>
      <c r="E3406" t="inlineStr">
        <is>
          <t>SÄFFLE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16706-2020</t>
        </is>
      </c>
      <c r="B3407" s="1" t="n">
        <v>43913</v>
      </c>
      <c r="C3407" s="1" t="n">
        <v>45353</v>
      </c>
      <c r="D3407" t="inlineStr">
        <is>
          <t>VÄRMLANDS LÄN</t>
        </is>
      </c>
      <c r="E3407" t="inlineStr">
        <is>
          <t>SÄFFLE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16702-2020</t>
        </is>
      </c>
      <c r="B3408" s="1" t="n">
        <v>43913</v>
      </c>
      <c r="C3408" s="1" t="n">
        <v>45353</v>
      </c>
      <c r="D3408" t="inlineStr">
        <is>
          <t>VÄRMLANDS LÄN</t>
        </is>
      </c>
      <c r="E3408" t="inlineStr">
        <is>
          <t>SÄFFLE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16715-2020</t>
        </is>
      </c>
      <c r="B3409" s="1" t="n">
        <v>43913</v>
      </c>
      <c r="C3409" s="1" t="n">
        <v>45353</v>
      </c>
      <c r="D3409" t="inlineStr">
        <is>
          <t>VÄRMLANDS LÄN</t>
        </is>
      </c>
      <c r="E3409" t="inlineStr">
        <is>
          <t>SÄFFLE</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16788-2020</t>
        </is>
      </c>
      <c r="B3410" s="1" t="n">
        <v>43913</v>
      </c>
      <c r="C3410" s="1" t="n">
        <v>45353</v>
      </c>
      <c r="D3410" t="inlineStr">
        <is>
          <t>VÄRMLANDS LÄN</t>
        </is>
      </c>
      <c r="E3410" t="inlineStr">
        <is>
          <t>SÄFFLE</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16708-2020</t>
        </is>
      </c>
      <c r="B3411" s="1" t="n">
        <v>43913</v>
      </c>
      <c r="C3411" s="1" t="n">
        <v>45353</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15569-2020</t>
        </is>
      </c>
      <c r="B3412" s="1" t="n">
        <v>43914</v>
      </c>
      <c r="C3412" s="1" t="n">
        <v>45353</v>
      </c>
      <c r="D3412" t="inlineStr">
        <is>
          <t>VÄRMLANDS LÄN</t>
        </is>
      </c>
      <c r="E3412" t="inlineStr">
        <is>
          <t>KARLSTAD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15578-2020</t>
        </is>
      </c>
      <c r="B3413" s="1" t="n">
        <v>43914</v>
      </c>
      <c r="C3413" s="1" t="n">
        <v>45353</v>
      </c>
      <c r="D3413" t="inlineStr">
        <is>
          <t>VÄRMLANDS LÄN</t>
        </is>
      </c>
      <c r="E3413" t="inlineStr">
        <is>
          <t>KRISTINEHAMN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15589-2020</t>
        </is>
      </c>
      <c r="B3414" s="1" t="n">
        <v>43914</v>
      </c>
      <c r="C3414" s="1" t="n">
        <v>45353</v>
      </c>
      <c r="D3414" t="inlineStr">
        <is>
          <t>VÄRMLANDS LÄN</t>
        </is>
      </c>
      <c r="E3414" t="inlineStr">
        <is>
          <t>TORSBY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15535-2020</t>
        </is>
      </c>
      <c r="B3415" s="1" t="n">
        <v>43914</v>
      </c>
      <c r="C3415" s="1" t="n">
        <v>45353</v>
      </c>
      <c r="D3415" t="inlineStr">
        <is>
          <t>VÄRMLANDS LÄN</t>
        </is>
      </c>
      <c r="E3415" t="inlineStr">
        <is>
          <t>KARLSTAD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15598-2020</t>
        </is>
      </c>
      <c r="B3416" s="1" t="n">
        <v>43914</v>
      </c>
      <c r="C3416" s="1" t="n">
        <v>45353</v>
      </c>
      <c r="D3416" t="inlineStr">
        <is>
          <t>VÄRMLANDS LÄN</t>
        </is>
      </c>
      <c r="E3416" t="inlineStr">
        <is>
          <t>FILIPSTAD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15426-2020</t>
        </is>
      </c>
      <c r="B3417" s="1" t="n">
        <v>43914</v>
      </c>
      <c r="C3417" s="1" t="n">
        <v>45353</v>
      </c>
      <c r="D3417" t="inlineStr">
        <is>
          <t>VÄRMLANDS LÄN</t>
        </is>
      </c>
      <c r="E3417" t="inlineStr">
        <is>
          <t>EDA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15538-2020</t>
        </is>
      </c>
      <c r="B3418" s="1" t="n">
        <v>43914</v>
      </c>
      <c r="C3418" s="1" t="n">
        <v>45353</v>
      </c>
      <c r="D3418" t="inlineStr">
        <is>
          <t>VÄRMLANDS LÄN</t>
        </is>
      </c>
      <c r="E3418" t="inlineStr">
        <is>
          <t>KARLSTAD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15575-2020</t>
        </is>
      </c>
      <c r="B3419" s="1" t="n">
        <v>43914</v>
      </c>
      <c r="C3419" s="1" t="n">
        <v>45353</v>
      </c>
      <c r="D3419" t="inlineStr">
        <is>
          <t>VÄRMLANDS LÄN</t>
        </is>
      </c>
      <c r="E3419" t="inlineStr">
        <is>
          <t>KRISTINEHAMN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15539-2020</t>
        </is>
      </c>
      <c r="B3420" s="1" t="n">
        <v>43914</v>
      </c>
      <c r="C3420" s="1" t="n">
        <v>45353</v>
      </c>
      <c r="D3420" t="inlineStr">
        <is>
          <t>VÄRMLANDS LÄN</t>
        </is>
      </c>
      <c r="E3420" t="inlineStr">
        <is>
          <t>SUNNE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15627-2020</t>
        </is>
      </c>
      <c r="B3421" s="1" t="n">
        <v>43914</v>
      </c>
      <c r="C3421" s="1" t="n">
        <v>45353</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15864-2020</t>
        </is>
      </c>
      <c r="B3422" s="1" t="n">
        <v>43915</v>
      </c>
      <c r="C3422" s="1" t="n">
        <v>45353</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15657-2020</t>
        </is>
      </c>
      <c r="B3423" s="1" t="n">
        <v>43915</v>
      </c>
      <c r="C3423" s="1" t="n">
        <v>45353</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15701-2020</t>
        </is>
      </c>
      <c r="B3424" s="1" t="n">
        <v>43915</v>
      </c>
      <c r="C3424" s="1" t="n">
        <v>45353</v>
      </c>
      <c r="D3424" t="inlineStr">
        <is>
          <t>VÄRMLANDS LÄN</t>
        </is>
      </c>
      <c r="E3424" t="inlineStr">
        <is>
          <t>TORSBY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17152-2020</t>
        </is>
      </c>
      <c r="B3425" s="1" t="n">
        <v>43915</v>
      </c>
      <c r="C3425" s="1" t="n">
        <v>45353</v>
      </c>
      <c r="D3425" t="inlineStr">
        <is>
          <t>VÄRMLANDS LÄN</t>
        </is>
      </c>
      <c r="E3425" t="inlineStr">
        <is>
          <t>KRISTINEHAMN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15967-2020</t>
        </is>
      </c>
      <c r="B3426" s="1" t="n">
        <v>43915</v>
      </c>
      <c r="C3426" s="1" t="n">
        <v>45353</v>
      </c>
      <c r="D3426" t="inlineStr">
        <is>
          <t>VÄRMLANDS LÄN</t>
        </is>
      </c>
      <c r="E3426" t="inlineStr">
        <is>
          <t>KRISTINEHAMN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15674-2020</t>
        </is>
      </c>
      <c r="B3427" s="1" t="n">
        <v>43915</v>
      </c>
      <c r="C3427" s="1" t="n">
        <v>45353</v>
      </c>
      <c r="D3427" t="inlineStr">
        <is>
          <t>VÄRMLANDS LÄN</t>
        </is>
      </c>
      <c r="E3427" t="inlineStr">
        <is>
          <t>ÅRJÄNG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15817-2020</t>
        </is>
      </c>
      <c r="B3428" s="1" t="n">
        <v>43915</v>
      </c>
      <c r="C3428" s="1" t="n">
        <v>45353</v>
      </c>
      <c r="D3428" t="inlineStr">
        <is>
          <t>VÄRMLANDS LÄN</t>
        </is>
      </c>
      <c r="E3428" t="inlineStr">
        <is>
          <t>SUNNE</t>
        </is>
      </c>
      <c r="F3428" t="inlineStr">
        <is>
          <t>Övriga Aktiebolag</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15853-2020</t>
        </is>
      </c>
      <c r="B3429" s="1" t="n">
        <v>43915</v>
      </c>
      <c r="C3429" s="1" t="n">
        <v>45353</v>
      </c>
      <c r="D3429" t="inlineStr">
        <is>
          <t>VÄRMLANDS LÄN</t>
        </is>
      </c>
      <c r="E3429" t="inlineStr">
        <is>
          <t>ARVIKA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15953-2020</t>
        </is>
      </c>
      <c r="B3430" s="1" t="n">
        <v>43915</v>
      </c>
      <c r="C3430" s="1" t="n">
        <v>45353</v>
      </c>
      <c r="D3430" t="inlineStr">
        <is>
          <t>VÄRMLANDS LÄN</t>
        </is>
      </c>
      <c r="E3430" t="inlineStr">
        <is>
          <t>SUNNE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15969-2020</t>
        </is>
      </c>
      <c r="B3431" s="1" t="n">
        <v>43915</v>
      </c>
      <c r="C3431" s="1" t="n">
        <v>45353</v>
      </c>
      <c r="D3431" t="inlineStr">
        <is>
          <t>VÄRMLANDS LÄN</t>
        </is>
      </c>
      <c r="E3431" t="inlineStr">
        <is>
          <t>KRISTINEHAMN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15768-2020</t>
        </is>
      </c>
      <c r="B3432" s="1" t="n">
        <v>43915</v>
      </c>
      <c r="C3432" s="1" t="n">
        <v>45353</v>
      </c>
      <c r="D3432" t="inlineStr">
        <is>
          <t>VÄRMLANDS LÄN</t>
        </is>
      </c>
      <c r="E3432" t="inlineStr">
        <is>
          <t>TORSBY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15702-2020</t>
        </is>
      </c>
      <c r="B3433" s="1" t="n">
        <v>43915</v>
      </c>
      <c r="C3433" s="1" t="n">
        <v>45353</v>
      </c>
      <c r="D3433" t="inlineStr">
        <is>
          <t>VÄRMLANDS LÄN</t>
        </is>
      </c>
      <c r="E3433" t="inlineStr">
        <is>
          <t>FILIPSTAD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15962-2020</t>
        </is>
      </c>
      <c r="B3434" s="1" t="n">
        <v>43915</v>
      </c>
      <c r="C3434" s="1" t="n">
        <v>45353</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17151-2020</t>
        </is>
      </c>
      <c r="B3435" s="1" t="n">
        <v>43915</v>
      </c>
      <c r="C3435" s="1" t="n">
        <v>45353</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17289-2020</t>
        </is>
      </c>
      <c r="B3436" s="1" t="n">
        <v>43915</v>
      </c>
      <c r="C3436" s="1" t="n">
        <v>45353</v>
      </c>
      <c r="D3436" t="inlineStr">
        <is>
          <t>VÄRMLANDS LÄN</t>
        </is>
      </c>
      <c r="E3436" t="inlineStr">
        <is>
          <t>KARLSTAD</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15669-2020</t>
        </is>
      </c>
      <c r="B3437" s="1" t="n">
        <v>43915</v>
      </c>
      <c r="C3437" s="1" t="n">
        <v>45353</v>
      </c>
      <c r="D3437" t="inlineStr">
        <is>
          <t>VÄRMLANDS LÄN</t>
        </is>
      </c>
      <c r="E3437" t="inlineStr">
        <is>
          <t>ÅRJÄNG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15944-2020</t>
        </is>
      </c>
      <c r="B3438" s="1" t="n">
        <v>43916</v>
      </c>
      <c r="C3438" s="1" t="n">
        <v>45353</v>
      </c>
      <c r="D3438" t="inlineStr">
        <is>
          <t>VÄRMLANDS LÄN</t>
        </is>
      </c>
      <c r="E3438" t="inlineStr">
        <is>
          <t>SÄFFLE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16032-2020</t>
        </is>
      </c>
      <c r="B3439" s="1" t="n">
        <v>43916</v>
      </c>
      <c r="C3439" s="1" t="n">
        <v>45353</v>
      </c>
      <c r="D3439" t="inlineStr">
        <is>
          <t>VÄRMLANDS LÄN</t>
        </is>
      </c>
      <c r="E3439" t="inlineStr">
        <is>
          <t>KARLSTAD</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15927-2020</t>
        </is>
      </c>
      <c r="B3440" s="1" t="n">
        <v>43916</v>
      </c>
      <c r="C3440" s="1" t="n">
        <v>45353</v>
      </c>
      <c r="D3440" t="inlineStr">
        <is>
          <t>VÄRMLANDS LÄN</t>
        </is>
      </c>
      <c r="E3440" t="inlineStr">
        <is>
          <t>SUNNE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15941-2020</t>
        </is>
      </c>
      <c r="B3441" s="1" t="n">
        <v>43916</v>
      </c>
      <c r="C3441" s="1" t="n">
        <v>45353</v>
      </c>
      <c r="D3441" t="inlineStr">
        <is>
          <t>VÄRMLANDS LÄN</t>
        </is>
      </c>
      <c r="E3441" t="inlineStr">
        <is>
          <t>SÄFFLE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16030-2020</t>
        </is>
      </c>
      <c r="B3442" s="1" t="n">
        <v>43916</v>
      </c>
      <c r="C3442" s="1" t="n">
        <v>45353</v>
      </c>
      <c r="D3442" t="inlineStr">
        <is>
          <t>VÄRMLANDS LÄN</t>
        </is>
      </c>
      <c r="E3442" t="inlineStr">
        <is>
          <t>ARVIKA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16037-2020</t>
        </is>
      </c>
      <c r="B3443" s="1" t="n">
        <v>43916</v>
      </c>
      <c r="C3443" s="1" t="n">
        <v>45353</v>
      </c>
      <c r="D3443" t="inlineStr">
        <is>
          <t>VÄRMLANDS LÄN</t>
        </is>
      </c>
      <c r="E3443" t="inlineStr">
        <is>
          <t>FORSHAGA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16079-2020</t>
        </is>
      </c>
      <c r="B3444" s="1" t="n">
        <v>43916</v>
      </c>
      <c r="C3444" s="1" t="n">
        <v>45353</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15912-2020</t>
        </is>
      </c>
      <c r="B3445" s="1" t="n">
        <v>43916</v>
      </c>
      <c r="C3445" s="1" t="n">
        <v>45353</v>
      </c>
      <c r="D3445" t="inlineStr">
        <is>
          <t>VÄRMLANDS LÄN</t>
        </is>
      </c>
      <c r="E3445" t="inlineStr">
        <is>
          <t>SÄFFLE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16027-2020</t>
        </is>
      </c>
      <c r="B3446" s="1" t="n">
        <v>43916</v>
      </c>
      <c r="C3446" s="1" t="n">
        <v>45353</v>
      </c>
      <c r="D3446" t="inlineStr">
        <is>
          <t>VÄRMLANDS LÄN</t>
        </is>
      </c>
      <c r="E3446" t="inlineStr">
        <is>
          <t>FORSHAGA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16035-2020</t>
        </is>
      </c>
      <c r="B3447" s="1" t="n">
        <v>43916</v>
      </c>
      <c r="C3447" s="1" t="n">
        <v>45353</v>
      </c>
      <c r="D3447" t="inlineStr">
        <is>
          <t>VÄRMLANDS LÄN</t>
        </is>
      </c>
      <c r="E3447" t="inlineStr">
        <is>
          <t>ARVIKA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16064-2020</t>
        </is>
      </c>
      <c r="B3448" s="1" t="n">
        <v>43916</v>
      </c>
      <c r="C3448" s="1" t="n">
        <v>45353</v>
      </c>
      <c r="D3448" t="inlineStr">
        <is>
          <t>VÄRMLANDS LÄN</t>
        </is>
      </c>
      <c r="E3448" t="inlineStr">
        <is>
          <t>ARVIKA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16101-2020</t>
        </is>
      </c>
      <c r="B3449" s="1" t="n">
        <v>43916</v>
      </c>
      <c r="C3449" s="1" t="n">
        <v>45353</v>
      </c>
      <c r="D3449" t="inlineStr">
        <is>
          <t>VÄRMLANDS LÄN</t>
        </is>
      </c>
      <c r="E3449" t="inlineStr">
        <is>
          <t>TORSBY</t>
        </is>
      </c>
      <c r="G3449" t="n">
        <v>14.6</v>
      </c>
      <c r="H3449" t="n">
        <v>0</v>
      </c>
      <c r="I3449" t="n">
        <v>0</v>
      </c>
      <c r="J3449" t="n">
        <v>0</v>
      </c>
      <c r="K3449" t="n">
        <v>0</v>
      </c>
      <c r="L3449" t="n">
        <v>0</v>
      </c>
      <c r="M3449" t="n">
        <v>0</v>
      </c>
      <c r="N3449" t="n">
        <v>0</v>
      </c>
      <c r="O3449" t="n">
        <v>0</v>
      </c>
      <c r="P3449" t="n">
        <v>0</v>
      </c>
      <c r="Q3449" t="n">
        <v>0</v>
      </c>
      <c r="R3449" s="2" t="inlineStr"/>
    </row>
    <row r="3450" ht="15" customHeight="1">
      <c r="A3450" t="inlineStr">
        <is>
          <t>A 16072-2020</t>
        </is>
      </c>
      <c r="B3450" s="1" t="n">
        <v>43916</v>
      </c>
      <c r="C3450" s="1" t="n">
        <v>45353</v>
      </c>
      <c r="D3450" t="inlineStr">
        <is>
          <t>VÄRMLANDS LÄN</t>
        </is>
      </c>
      <c r="E3450" t="inlineStr">
        <is>
          <t>HAGFORS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16215-2020</t>
        </is>
      </c>
      <c r="B3451" s="1" t="n">
        <v>43917</v>
      </c>
      <c r="C3451" s="1" t="n">
        <v>45353</v>
      </c>
      <c r="D3451" t="inlineStr">
        <is>
          <t>VÄRMLANDS LÄN</t>
        </is>
      </c>
      <c r="E3451" t="inlineStr">
        <is>
          <t>KRISTINEHAMN</t>
        </is>
      </c>
      <c r="F3451" t="inlineStr">
        <is>
          <t>Bergvik skog väst AB</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16299-2020</t>
        </is>
      </c>
      <c r="B3452" s="1" t="n">
        <v>43917</v>
      </c>
      <c r="C3452" s="1" t="n">
        <v>45353</v>
      </c>
      <c r="D3452" t="inlineStr">
        <is>
          <t>VÄRMLANDS LÄN</t>
        </is>
      </c>
      <c r="E3452" t="inlineStr">
        <is>
          <t>KRISTINEHAMN</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16239-2020</t>
        </is>
      </c>
      <c r="B3453" s="1" t="n">
        <v>43917</v>
      </c>
      <c r="C3453" s="1" t="n">
        <v>45353</v>
      </c>
      <c r="D3453" t="inlineStr">
        <is>
          <t>VÄRMLANDS LÄN</t>
        </is>
      </c>
      <c r="E3453" t="inlineStr">
        <is>
          <t>HAGFORS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16329-2020</t>
        </is>
      </c>
      <c r="B3454" s="1" t="n">
        <v>43917</v>
      </c>
      <c r="C3454" s="1" t="n">
        <v>45353</v>
      </c>
      <c r="D3454" t="inlineStr">
        <is>
          <t>VÄRMLANDS LÄN</t>
        </is>
      </c>
      <c r="E3454" t="inlineStr">
        <is>
          <t>ARVIKA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16241-2020</t>
        </is>
      </c>
      <c r="B3455" s="1" t="n">
        <v>43917</v>
      </c>
      <c r="C3455" s="1" t="n">
        <v>45353</v>
      </c>
      <c r="D3455" t="inlineStr">
        <is>
          <t>VÄRMLANDS LÄN</t>
        </is>
      </c>
      <c r="E3455" t="inlineStr">
        <is>
          <t>HAGFORS</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16280-2020</t>
        </is>
      </c>
      <c r="B3456" s="1" t="n">
        <v>43917</v>
      </c>
      <c r="C3456" s="1" t="n">
        <v>45353</v>
      </c>
      <c r="D3456" t="inlineStr">
        <is>
          <t>VÄRMLANDS LÄN</t>
        </is>
      </c>
      <c r="E3456" t="inlineStr">
        <is>
          <t>KARLSTAD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16244-2020</t>
        </is>
      </c>
      <c r="B3457" s="1" t="n">
        <v>43917</v>
      </c>
      <c r="C3457" s="1" t="n">
        <v>45353</v>
      </c>
      <c r="D3457" t="inlineStr">
        <is>
          <t>VÄRMLANDS LÄN</t>
        </is>
      </c>
      <c r="E3457" t="inlineStr">
        <is>
          <t>STORFORS</t>
        </is>
      </c>
      <c r="F3457" t="inlineStr">
        <is>
          <t>Bergvik skog väst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16364-2020</t>
        </is>
      </c>
      <c r="B3458" s="1" t="n">
        <v>43917</v>
      </c>
      <c r="C3458" s="1" t="n">
        <v>45353</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17534-2020</t>
        </is>
      </c>
      <c r="B3459" s="1" t="n">
        <v>43917</v>
      </c>
      <c r="C3459" s="1" t="n">
        <v>45353</v>
      </c>
      <c r="D3459" t="inlineStr">
        <is>
          <t>VÄRMLANDS LÄN</t>
        </is>
      </c>
      <c r="E3459" t="inlineStr">
        <is>
          <t>KRISTINEHAMN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17456-2020</t>
        </is>
      </c>
      <c r="B3460" s="1" t="n">
        <v>43918</v>
      </c>
      <c r="C3460" s="1" t="n">
        <v>45353</v>
      </c>
      <c r="D3460" t="inlineStr">
        <is>
          <t>VÄRMLANDS LÄN</t>
        </is>
      </c>
      <c r="E3460" t="inlineStr">
        <is>
          <t>GRUMS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16437-2020</t>
        </is>
      </c>
      <c r="B3461" s="1" t="n">
        <v>43919</v>
      </c>
      <c r="C3461" s="1" t="n">
        <v>45353</v>
      </c>
      <c r="D3461" t="inlineStr">
        <is>
          <t>VÄRMLANDS LÄN</t>
        </is>
      </c>
      <c r="E3461" t="inlineStr">
        <is>
          <t>TORSBY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16501-2020</t>
        </is>
      </c>
      <c r="B3462" s="1" t="n">
        <v>43920</v>
      </c>
      <c r="C3462" s="1" t="n">
        <v>45353</v>
      </c>
      <c r="D3462" t="inlineStr">
        <is>
          <t>VÄRMLANDS LÄN</t>
        </is>
      </c>
      <c r="E3462" t="inlineStr">
        <is>
          <t>EDA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16751-2020</t>
        </is>
      </c>
      <c r="B3463" s="1" t="n">
        <v>43920</v>
      </c>
      <c r="C3463" s="1" t="n">
        <v>45353</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16697-2020</t>
        </is>
      </c>
      <c r="B3464" s="1" t="n">
        <v>43920</v>
      </c>
      <c r="C3464" s="1" t="n">
        <v>45353</v>
      </c>
      <c r="D3464" t="inlineStr">
        <is>
          <t>VÄRMLANDS LÄN</t>
        </is>
      </c>
      <c r="E3464" t="inlineStr">
        <is>
          <t>KRISTINEHAMN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16718-2020</t>
        </is>
      </c>
      <c r="B3465" s="1" t="n">
        <v>43920</v>
      </c>
      <c r="C3465" s="1" t="n">
        <v>45353</v>
      </c>
      <c r="D3465" t="inlineStr">
        <is>
          <t>VÄRMLANDS LÄN</t>
        </is>
      </c>
      <c r="E3465" t="inlineStr">
        <is>
          <t>SUNNE</t>
        </is>
      </c>
      <c r="F3465" t="inlineStr">
        <is>
          <t>Övriga statliga verk och myndigheter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16749-2020</t>
        </is>
      </c>
      <c r="B3466" s="1" t="n">
        <v>43920</v>
      </c>
      <c r="C3466" s="1" t="n">
        <v>45353</v>
      </c>
      <c r="D3466" t="inlineStr">
        <is>
          <t>VÄRMLANDS LÄN</t>
        </is>
      </c>
      <c r="E3466" t="inlineStr">
        <is>
          <t>KRISTINEHAMN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16745-2020</t>
        </is>
      </c>
      <c r="B3467" s="1" t="n">
        <v>43920</v>
      </c>
      <c r="C3467" s="1" t="n">
        <v>45353</v>
      </c>
      <c r="D3467" t="inlineStr">
        <is>
          <t>VÄRMLANDS LÄN</t>
        </is>
      </c>
      <c r="E3467" t="inlineStr">
        <is>
          <t>KRISTINEHAMN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17514-2020</t>
        </is>
      </c>
      <c r="B3468" s="1" t="n">
        <v>43920</v>
      </c>
      <c r="C3468" s="1" t="n">
        <v>45353</v>
      </c>
      <c r="D3468" t="inlineStr">
        <is>
          <t>VÄRMLANDS LÄN</t>
        </is>
      </c>
      <c r="E3468" t="inlineStr">
        <is>
          <t>SÄFFLE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17544-2020</t>
        </is>
      </c>
      <c r="B3469" s="1" t="n">
        <v>43920</v>
      </c>
      <c r="C3469" s="1" t="n">
        <v>45353</v>
      </c>
      <c r="D3469" t="inlineStr">
        <is>
          <t>VÄRMLANDS LÄN</t>
        </is>
      </c>
      <c r="E3469" t="inlineStr">
        <is>
          <t>KRISTINEHAMN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16454-2020</t>
        </is>
      </c>
      <c r="B3470" s="1" t="n">
        <v>43920</v>
      </c>
      <c r="C3470" s="1" t="n">
        <v>45353</v>
      </c>
      <c r="D3470" t="inlineStr">
        <is>
          <t>VÄRMLANDS LÄN</t>
        </is>
      </c>
      <c r="E3470" t="inlineStr">
        <is>
          <t>ÅRJÄNG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17545-2020</t>
        </is>
      </c>
      <c r="B3471" s="1" t="n">
        <v>43920</v>
      </c>
      <c r="C3471" s="1" t="n">
        <v>45353</v>
      </c>
      <c r="D3471" t="inlineStr">
        <is>
          <t>VÄRMLANDS LÄN</t>
        </is>
      </c>
      <c r="E3471" t="inlineStr">
        <is>
          <t>KARLSTAD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16798-2020</t>
        </is>
      </c>
      <c r="B3472" s="1" t="n">
        <v>43921</v>
      </c>
      <c r="C3472" s="1" t="n">
        <v>45353</v>
      </c>
      <c r="D3472" t="inlineStr">
        <is>
          <t>VÄRMLANDS LÄN</t>
        </is>
      </c>
      <c r="E3472" t="inlineStr">
        <is>
          <t>HAGFORS</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16833-2020</t>
        </is>
      </c>
      <c r="B3473" s="1" t="n">
        <v>43921</v>
      </c>
      <c r="C3473" s="1" t="n">
        <v>45353</v>
      </c>
      <c r="D3473" t="inlineStr">
        <is>
          <t>VÄRMLANDS LÄN</t>
        </is>
      </c>
      <c r="E3473" t="inlineStr">
        <is>
          <t>MUNKFORS</t>
        </is>
      </c>
      <c r="F3473" t="inlineStr">
        <is>
          <t>Kyrkan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16963-2020</t>
        </is>
      </c>
      <c r="B3474" s="1" t="n">
        <v>43921</v>
      </c>
      <c r="C3474" s="1" t="n">
        <v>45353</v>
      </c>
      <c r="D3474" t="inlineStr">
        <is>
          <t>VÄRMLANDS LÄN</t>
        </is>
      </c>
      <c r="E3474" t="inlineStr">
        <is>
          <t>SÄFFLE</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17021-2020</t>
        </is>
      </c>
      <c r="B3475" s="1" t="n">
        <v>43921</v>
      </c>
      <c r="C3475" s="1" t="n">
        <v>45353</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16792-2020</t>
        </is>
      </c>
      <c r="B3476" s="1" t="n">
        <v>43921</v>
      </c>
      <c r="C3476" s="1" t="n">
        <v>45353</v>
      </c>
      <c r="D3476" t="inlineStr">
        <is>
          <t>VÄRMLANDS LÄN</t>
        </is>
      </c>
      <c r="E3476" t="inlineStr">
        <is>
          <t>EDA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16930-2020</t>
        </is>
      </c>
      <c r="B3477" s="1" t="n">
        <v>43921</v>
      </c>
      <c r="C3477" s="1" t="n">
        <v>45353</v>
      </c>
      <c r="D3477" t="inlineStr">
        <is>
          <t>VÄRMLANDS LÄN</t>
        </is>
      </c>
      <c r="E3477" t="inlineStr">
        <is>
          <t>STORFORS</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16999-2020</t>
        </is>
      </c>
      <c r="B3478" s="1" t="n">
        <v>43921</v>
      </c>
      <c r="C3478" s="1" t="n">
        <v>45353</v>
      </c>
      <c r="D3478" t="inlineStr">
        <is>
          <t>VÄRMLANDS LÄN</t>
        </is>
      </c>
      <c r="E3478" t="inlineStr">
        <is>
          <t>TORSBY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17036-2020</t>
        </is>
      </c>
      <c r="B3479" s="1" t="n">
        <v>43921</v>
      </c>
      <c r="C3479" s="1" t="n">
        <v>45353</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17596-2020</t>
        </is>
      </c>
      <c r="B3480" s="1" t="n">
        <v>43921</v>
      </c>
      <c r="C3480" s="1" t="n">
        <v>45353</v>
      </c>
      <c r="D3480" t="inlineStr">
        <is>
          <t>VÄRMLANDS LÄN</t>
        </is>
      </c>
      <c r="E3480" t="inlineStr">
        <is>
          <t>ÅRJÄNG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16799-2020</t>
        </is>
      </c>
      <c r="B3481" s="1" t="n">
        <v>43921</v>
      </c>
      <c r="C3481" s="1" t="n">
        <v>45353</v>
      </c>
      <c r="D3481" t="inlineStr">
        <is>
          <t>VÄRMLANDS LÄN</t>
        </is>
      </c>
      <c r="E3481" t="inlineStr">
        <is>
          <t>EDA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16895-2020</t>
        </is>
      </c>
      <c r="B3482" s="1" t="n">
        <v>43921</v>
      </c>
      <c r="C3482" s="1" t="n">
        <v>45353</v>
      </c>
      <c r="D3482" t="inlineStr">
        <is>
          <t>VÄRMLANDS LÄN</t>
        </is>
      </c>
      <c r="E3482" t="inlineStr">
        <is>
          <t>STORFORS</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17009-2020</t>
        </is>
      </c>
      <c r="B3483" s="1" t="n">
        <v>43921</v>
      </c>
      <c r="C3483" s="1" t="n">
        <v>45353</v>
      </c>
      <c r="D3483" t="inlineStr">
        <is>
          <t>VÄRMLANDS LÄN</t>
        </is>
      </c>
      <c r="E3483" t="inlineStr">
        <is>
          <t>TORSBY</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17627-2020</t>
        </is>
      </c>
      <c r="B3484" s="1" t="n">
        <v>43921</v>
      </c>
      <c r="C3484" s="1" t="n">
        <v>45353</v>
      </c>
      <c r="D3484" t="inlineStr">
        <is>
          <t>VÄRMLANDS LÄN</t>
        </is>
      </c>
      <c r="E3484" t="inlineStr">
        <is>
          <t>KRISTINEHAMN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17553-2020</t>
        </is>
      </c>
      <c r="B3485" s="1" t="n">
        <v>43921</v>
      </c>
      <c r="C3485" s="1" t="n">
        <v>45353</v>
      </c>
      <c r="D3485" t="inlineStr">
        <is>
          <t>VÄRMLANDS LÄN</t>
        </is>
      </c>
      <c r="E3485" t="inlineStr">
        <is>
          <t>HAGFORS</t>
        </is>
      </c>
      <c r="G3485" t="n">
        <v>13.1</v>
      </c>
      <c r="H3485" t="n">
        <v>0</v>
      </c>
      <c r="I3485" t="n">
        <v>0</v>
      </c>
      <c r="J3485" t="n">
        <v>0</v>
      </c>
      <c r="K3485" t="n">
        <v>0</v>
      </c>
      <c r="L3485" t="n">
        <v>0</v>
      </c>
      <c r="M3485" t="n">
        <v>0</v>
      </c>
      <c r="N3485" t="n">
        <v>0</v>
      </c>
      <c r="O3485" t="n">
        <v>0</v>
      </c>
      <c r="P3485" t="n">
        <v>0</v>
      </c>
      <c r="Q3485" t="n">
        <v>0</v>
      </c>
      <c r="R3485" s="2" t="inlineStr"/>
    </row>
    <row r="3486" ht="15" customHeight="1">
      <c r="A3486" t="inlineStr">
        <is>
          <t>A 17158-2020</t>
        </is>
      </c>
      <c r="B3486" s="1" t="n">
        <v>43922</v>
      </c>
      <c r="C3486" s="1" t="n">
        <v>45353</v>
      </c>
      <c r="D3486" t="inlineStr">
        <is>
          <t>VÄRMLANDS LÄN</t>
        </is>
      </c>
      <c r="E3486" t="inlineStr">
        <is>
          <t>SUNNE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17249-2020</t>
        </is>
      </c>
      <c r="B3487" s="1" t="n">
        <v>43922</v>
      </c>
      <c r="C3487" s="1" t="n">
        <v>45353</v>
      </c>
      <c r="D3487" t="inlineStr">
        <is>
          <t>VÄRMLANDS LÄN</t>
        </is>
      </c>
      <c r="E3487" t="inlineStr">
        <is>
          <t>SÄFFLE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17320-2020</t>
        </is>
      </c>
      <c r="B3488" s="1" t="n">
        <v>43922</v>
      </c>
      <c r="C3488" s="1" t="n">
        <v>45353</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17475-2020</t>
        </is>
      </c>
      <c r="B3489" s="1" t="n">
        <v>43923</v>
      </c>
      <c r="C3489" s="1" t="n">
        <v>45353</v>
      </c>
      <c r="D3489" t="inlineStr">
        <is>
          <t>VÄRMLANDS LÄN</t>
        </is>
      </c>
      <c r="E3489" t="inlineStr">
        <is>
          <t>ÅRJÄNG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17525-2020</t>
        </is>
      </c>
      <c r="B3490" s="1" t="n">
        <v>43923</v>
      </c>
      <c r="C3490" s="1" t="n">
        <v>45353</v>
      </c>
      <c r="D3490" t="inlineStr">
        <is>
          <t>VÄRMLANDS LÄN</t>
        </is>
      </c>
      <c r="E3490" t="inlineStr">
        <is>
          <t>SUNNE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17573-2020</t>
        </is>
      </c>
      <c r="B3491" s="1" t="n">
        <v>43923</v>
      </c>
      <c r="C3491" s="1" t="n">
        <v>45353</v>
      </c>
      <c r="D3491" t="inlineStr">
        <is>
          <t>VÄRMLANDS LÄN</t>
        </is>
      </c>
      <c r="E3491" t="inlineStr">
        <is>
          <t>SÄFFLE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17543-2020</t>
        </is>
      </c>
      <c r="B3492" s="1" t="n">
        <v>43923</v>
      </c>
      <c r="C3492" s="1" t="n">
        <v>45353</v>
      </c>
      <c r="D3492" t="inlineStr">
        <is>
          <t>VÄRMLANDS LÄN</t>
        </is>
      </c>
      <c r="E3492" t="inlineStr">
        <is>
          <t>SUNNE</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17519-2020</t>
        </is>
      </c>
      <c r="B3493" s="1" t="n">
        <v>43923</v>
      </c>
      <c r="C3493" s="1" t="n">
        <v>45353</v>
      </c>
      <c r="D3493" t="inlineStr">
        <is>
          <t>VÄRMLANDS LÄN</t>
        </is>
      </c>
      <c r="E3493" t="inlineStr">
        <is>
          <t>SÄFFLE</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17842-2020</t>
        </is>
      </c>
      <c r="B3494" s="1" t="n">
        <v>43923</v>
      </c>
      <c r="C3494" s="1" t="n">
        <v>45353</v>
      </c>
      <c r="D3494" t="inlineStr">
        <is>
          <t>VÄRMLANDS LÄN</t>
        </is>
      </c>
      <c r="E3494" t="inlineStr">
        <is>
          <t>GRUMS</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17908-2020</t>
        </is>
      </c>
      <c r="B3495" s="1" t="n">
        <v>43924</v>
      </c>
      <c r="C3495" s="1" t="n">
        <v>45353</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17915-2020</t>
        </is>
      </c>
      <c r="B3496" s="1" t="n">
        <v>43924</v>
      </c>
      <c r="C3496" s="1" t="n">
        <v>45353</v>
      </c>
      <c r="D3496" t="inlineStr">
        <is>
          <t>VÄRMLANDS LÄN</t>
        </is>
      </c>
      <c r="E3496" t="inlineStr">
        <is>
          <t>KIL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17732-2020</t>
        </is>
      </c>
      <c r="B3497" s="1" t="n">
        <v>43924</v>
      </c>
      <c r="C3497" s="1" t="n">
        <v>45353</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17751-2020</t>
        </is>
      </c>
      <c r="B3498" s="1" t="n">
        <v>43924</v>
      </c>
      <c r="C3498" s="1" t="n">
        <v>45353</v>
      </c>
      <c r="D3498" t="inlineStr">
        <is>
          <t>VÄRMLANDS LÄN</t>
        </is>
      </c>
      <c r="E3498" t="inlineStr">
        <is>
          <t>ÅRJÄNG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17922-2020</t>
        </is>
      </c>
      <c r="B3499" s="1" t="n">
        <v>43924</v>
      </c>
      <c r="C3499" s="1" t="n">
        <v>45353</v>
      </c>
      <c r="D3499" t="inlineStr">
        <is>
          <t>VÄRMLANDS LÄN</t>
        </is>
      </c>
      <c r="E3499" t="inlineStr">
        <is>
          <t>ÅRJÄNG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17892-2020</t>
        </is>
      </c>
      <c r="B3500" s="1" t="n">
        <v>43924</v>
      </c>
      <c r="C3500" s="1" t="n">
        <v>45353</v>
      </c>
      <c r="D3500" t="inlineStr">
        <is>
          <t>VÄRMLANDS LÄN</t>
        </is>
      </c>
      <c r="E3500" t="inlineStr">
        <is>
          <t>FILIPSTAD</t>
        </is>
      </c>
      <c r="F3500" t="inlineStr">
        <is>
          <t>Bergvik skog väst AB</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17879-2020</t>
        </is>
      </c>
      <c r="B3501" s="1" t="n">
        <v>43924</v>
      </c>
      <c r="C3501" s="1" t="n">
        <v>45353</v>
      </c>
      <c r="D3501" t="inlineStr">
        <is>
          <t>VÄRMLANDS LÄN</t>
        </is>
      </c>
      <c r="E3501" t="inlineStr">
        <is>
          <t>FILIPSTAD</t>
        </is>
      </c>
      <c r="F3501" t="inlineStr">
        <is>
          <t>Bergvik skog väst AB</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17970-2020</t>
        </is>
      </c>
      <c r="B3502" s="1" t="n">
        <v>43925</v>
      </c>
      <c r="C3502" s="1" t="n">
        <v>45353</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17958-2020</t>
        </is>
      </c>
      <c r="B3503" s="1" t="n">
        <v>43925</v>
      </c>
      <c r="C3503" s="1" t="n">
        <v>45353</v>
      </c>
      <c r="D3503" t="inlineStr">
        <is>
          <t>VÄRMLANDS LÄN</t>
        </is>
      </c>
      <c r="E3503" t="inlineStr">
        <is>
          <t>KARLSTAD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17964-2020</t>
        </is>
      </c>
      <c r="B3504" s="1" t="n">
        <v>43925</v>
      </c>
      <c r="C3504" s="1" t="n">
        <v>45353</v>
      </c>
      <c r="D3504" t="inlineStr">
        <is>
          <t>VÄRMLANDS LÄN</t>
        </is>
      </c>
      <c r="E3504" t="inlineStr">
        <is>
          <t>KRISTINEHAMN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17997-2020</t>
        </is>
      </c>
      <c r="B3505" s="1" t="n">
        <v>43926</v>
      </c>
      <c r="C3505" s="1" t="n">
        <v>45353</v>
      </c>
      <c r="D3505" t="inlineStr">
        <is>
          <t>VÄRMLANDS LÄN</t>
        </is>
      </c>
      <c r="E3505" t="inlineStr">
        <is>
          <t>SUNNE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17999-2020</t>
        </is>
      </c>
      <c r="B3506" s="1" t="n">
        <v>43927</v>
      </c>
      <c r="C3506" s="1" t="n">
        <v>45353</v>
      </c>
      <c r="D3506" t="inlineStr">
        <is>
          <t>VÄRMLANDS LÄN</t>
        </is>
      </c>
      <c r="E3506" t="inlineStr">
        <is>
          <t>SUNNE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18025-2020</t>
        </is>
      </c>
      <c r="B3507" s="1" t="n">
        <v>43927</v>
      </c>
      <c r="C3507" s="1" t="n">
        <v>45353</v>
      </c>
      <c r="D3507" t="inlineStr">
        <is>
          <t>VÄRMLANDS LÄN</t>
        </is>
      </c>
      <c r="E3507" t="inlineStr">
        <is>
          <t>FORSHAGA</t>
        </is>
      </c>
      <c r="F3507" t="inlineStr">
        <is>
          <t>Bergvik skog väst AB</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18157-2020</t>
        </is>
      </c>
      <c r="B3508" s="1" t="n">
        <v>43927</v>
      </c>
      <c r="C3508" s="1" t="n">
        <v>45353</v>
      </c>
      <c r="D3508" t="inlineStr">
        <is>
          <t>VÄRMLANDS LÄN</t>
        </is>
      </c>
      <c r="E3508" t="inlineStr">
        <is>
          <t>KARLSTAD</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18155-2020</t>
        </is>
      </c>
      <c r="B3509" s="1" t="n">
        <v>43927</v>
      </c>
      <c r="C3509" s="1" t="n">
        <v>45353</v>
      </c>
      <c r="D3509" t="inlineStr">
        <is>
          <t>VÄRMLANDS LÄN</t>
        </is>
      </c>
      <c r="E3509" t="inlineStr">
        <is>
          <t>TORSBY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18070-2020</t>
        </is>
      </c>
      <c r="B3510" s="1" t="n">
        <v>43927</v>
      </c>
      <c r="C3510" s="1" t="n">
        <v>45353</v>
      </c>
      <c r="D3510" t="inlineStr">
        <is>
          <t>VÄRMLANDS LÄN</t>
        </is>
      </c>
      <c r="E3510" t="inlineStr">
        <is>
          <t>HAGFORS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18263-2020</t>
        </is>
      </c>
      <c r="B3511" s="1" t="n">
        <v>43928</v>
      </c>
      <c r="C3511" s="1" t="n">
        <v>45353</v>
      </c>
      <c r="D3511" t="inlineStr">
        <is>
          <t>VÄRMLANDS LÄN</t>
        </is>
      </c>
      <c r="E3511" t="inlineStr">
        <is>
          <t>FORSHAGA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18229-2020</t>
        </is>
      </c>
      <c r="B3512" s="1" t="n">
        <v>43928</v>
      </c>
      <c r="C3512" s="1" t="n">
        <v>45353</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18258-2020</t>
        </is>
      </c>
      <c r="B3513" s="1" t="n">
        <v>43928</v>
      </c>
      <c r="C3513" s="1" t="n">
        <v>45353</v>
      </c>
      <c r="D3513" t="inlineStr">
        <is>
          <t>VÄRMLANDS LÄN</t>
        </is>
      </c>
      <c r="E3513" t="inlineStr">
        <is>
          <t>FORSHAGA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18641-2020</t>
        </is>
      </c>
      <c r="B3514" s="1" t="n">
        <v>43928</v>
      </c>
      <c r="C3514" s="1" t="n">
        <v>45353</v>
      </c>
      <c r="D3514" t="inlineStr">
        <is>
          <t>VÄRMLANDS LÄN</t>
        </is>
      </c>
      <c r="E3514" t="inlineStr">
        <is>
          <t>TORSBY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18473-2020</t>
        </is>
      </c>
      <c r="B3515" s="1" t="n">
        <v>43929</v>
      </c>
      <c r="C3515" s="1" t="n">
        <v>45353</v>
      </c>
      <c r="D3515" t="inlineStr">
        <is>
          <t>VÄRMLANDS LÄN</t>
        </is>
      </c>
      <c r="E3515" t="inlineStr">
        <is>
          <t>SUNNE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18523-2020</t>
        </is>
      </c>
      <c r="B3516" s="1" t="n">
        <v>43929</v>
      </c>
      <c r="C3516" s="1" t="n">
        <v>45353</v>
      </c>
      <c r="D3516" t="inlineStr">
        <is>
          <t>VÄRMLANDS LÄN</t>
        </is>
      </c>
      <c r="E3516" t="inlineStr">
        <is>
          <t>KIL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18456-2020</t>
        </is>
      </c>
      <c r="B3517" s="1" t="n">
        <v>43929</v>
      </c>
      <c r="C3517" s="1" t="n">
        <v>45353</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18483-2020</t>
        </is>
      </c>
      <c r="B3518" s="1" t="n">
        <v>43929</v>
      </c>
      <c r="C3518" s="1" t="n">
        <v>45353</v>
      </c>
      <c r="D3518" t="inlineStr">
        <is>
          <t>VÄRMLANDS LÄN</t>
        </is>
      </c>
      <c r="E3518" t="inlineStr">
        <is>
          <t>SUNNE</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18600-2020</t>
        </is>
      </c>
      <c r="B3519" s="1" t="n">
        <v>43929</v>
      </c>
      <c r="C3519" s="1" t="n">
        <v>45353</v>
      </c>
      <c r="D3519" t="inlineStr">
        <is>
          <t>VÄRMLANDS LÄN</t>
        </is>
      </c>
      <c r="E3519" t="inlineStr">
        <is>
          <t>HAGFORS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18942-2020</t>
        </is>
      </c>
      <c r="B3520" s="1" t="n">
        <v>43929</v>
      </c>
      <c r="C3520" s="1" t="n">
        <v>45353</v>
      </c>
      <c r="D3520" t="inlineStr">
        <is>
          <t>VÄRMLANDS LÄN</t>
        </is>
      </c>
      <c r="E3520" t="inlineStr">
        <is>
          <t>KIL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18657-2020</t>
        </is>
      </c>
      <c r="B3521" s="1" t="n">
        <v>43930</v>
      </c>
      <c r="C3521" s="1" t="n">
        <v>45353</v>
      </c>
      <c r="D3521" t="inlineStr">
        <is>
          <t>VÄRMLANDS LÄN</t>
        </is>
      </c>
      <c r="E3521" t="inlineStr">
        <is>
          <t>KRISTINEHAMN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18665-2020</t>
        </is>
      </c>
      <c r="B3522" s="1" t="n">
        <v>43930</v>
      </c>
      <c r="C3522" s="1" t="n">
        <v>45353</v>
      </c>
      <c r="D3522" t="inlineStr">
        <is>
          <t>VÄRMLANDS LÄN</t>
        </is>
      </c>
      <c r="E3522" t="inlineStr">
        <is>
          <t>GRUMS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18675-2020</t>
        </is>
      </c>
      <c r="B3523" s="1" t="n">
        <v>43930</v>
      </c>
      <c r="C3523" s="1" t="n">
        <v>45353</v>
      </c>
      <c r="D3523" t="inlineStr">
        <is>
          <t>VÄRMLANDS LÄN</t>
        </is>
      </c>
      <c r="E3523" t="inlineStr">
        <is>
          <t>SUNNE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18618-2020</t>
        </is>
      </c>
      <c r="B3524" s="1" t="n">
        <v>43930</v>
      </c>
      <c r="C3524" s="1" t="n">
        <v>45353</v>
      </c>
      <c r="D3524" t="inlineStr">
        <is>
          <t>VÄRMLANDS LÄN</t>
        </is>
      </c>
      <c r="E3524" t="inlineStr">
        <is>
          <t>EDA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18707-2020</t>
        </is>
      </c>
      <c r="B3525" s="1" t="n">
        <v>43930</v>
      </c>
      <c r="C3525" s="1" t="n">
        <v>45353</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18659-2020</t>
        </is>
      </c>
      <c r="B3526" s="1" t="n">
        <v>43930</v>
      </c>
      <c r="C3526" s="1" t="n">
        <v>45353</v>
      </c>
      <c r="D3526" t="inlineStr">
        <is>
          <t>VÄRMLANDS LÄN</t>
        </is>
      </c>
      <c r="E3526" t="inlineStr">
        <is>
          <t>KRISTINEHAMN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18670-2020</t>
        </is>
      </c>
      <c r="B3527" s="1" t="n">
        <v>43930</v>
      </c>
      <c r="C3527" s="1" t="n">
        <v>45353</v>
      </c>
      <c r="D3527" t="inlineStr">
        <is>
          <t>VÄRMLANDS LÄN</t>
        </is>
      </c>
      <c r="E3527" t="inlineStr">
        <is>
          <t>SUNNE</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18688-2020</t>
        </is>
      </c>
      <c r="B3528" s="1" t="n">
        <v>43930</v>
      </c>
      <c r="C3528" s="1" t="n">
        <v>45353</v>
      </c>
      <c r="D3528" t="inlineStr">
        <is>
          <t>VÄRMLANDS LÄN</t>
        </is>
      </c>
      <c r="E3528" t="inlineStr">
        <is>
          <t>KRISTINEHAMN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18769-2020</t>
        </is>
      </c>
      <c r="B3529" s="1" t="n">
        <v>43930</v>
      </c>
      <c r="C3529" s="1" t="n">
        <v>45353</v>
      </c>
      <c r="D3529" t="inlineStr">
        <is>
          <t>VÄRMLANDS LÄN</t>
        </is>
      </c>
      <c r="E3529" t="inlineStr">
        <is>
          <t>TORSBY</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18770-2020</t>
        </is>
      </c>
      <c r="B3530" s="1" t="n">
        <v>43930</v>
      </c>
      <c r="C3530" s="1" t="n">
        <v>45353</v>
      </c>
      <c r="D3530" t="inlineStr">
        <is>
          <t>VÄRMLANDS LÄN</t>
        </is>
      </c>
      <c r="E3530" t="inlineStr">
        <is>
          <t>TORSBY</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18768-2020</t>
        </is>
      </c>
      <c r="B3531" s="1" t="n">
        <v>43930</v>
      </c>
      <c r="C3531" s="1" t="n">
        <v>45353</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18793-2020</t>
        </is>
      </c>
      <c r="B3532" s="1" t="n">
        <v>43932</v>
      </c>
      <c r="C3532" s="1" t="n">
        <v>45353</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18804-2020</t>
        </is>
      </c>
      <c r="B3533" s="1" t="n">
        <v>43933</v>
      </c>
      <c r="C3533" s="1" t="n">
        <v>45353</v>
      </c>
      <c r="D3533" t="inlineStr">
        <is>
          <t>VÄRMLANDS LÄN</t>
        </is>
      </c>
      <c r="E3533" t="inlineStr">
        <is>
          <t>FILIPSTAD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18890-2020</t>
        </is>
      </c>
      <c r="B3534" s="1" t="n">
        <v>43935</v>
      </c>
      <c r="C3534" s="1" t="n">
        <v>45353</v>
      </c>
      <c r="D3534" t="inlineStr">
        <is>
          <t>VÄRMLANDS LÄN</t>
        </is>
      </c>
      <c r="E3534" t="inlineStr">
        <is>
          <t>SUNNE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18972-2020</t>
        </is>
      </c>
      <c r="B3535" s="1" t="n">
        <v>43935</v>
      </c>
      <c r="C3535" s="1" t="n">
        <v>45353</v>
      </c>
      <c r="D3535" t="inlineStr">
        <is>
          <t>VÄRMLANDS LÄN</t>
        </is>
      </c>
      <c r="E3535" t="inlineStr">
        <is>
          <t>TORSBY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19007-2020</t>
        </is>
      </c>
      <c r="B3536" s="1" t="n">
        <v>43936</v>
      </c>
      <c r="C3536" s="1" t="n">
        <v>45353</v>
      </c>
      <c r="D3536" t="inlineStr">
        <is>
          <t>VÄRMLANDS LÄN</t>
        </is>
      </c>
      <c r="E3536" t="inlineStr">
        <is>
          <t>EDA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19032-2020</t>
        </is>
      </c>
      <c r="B3537" s="1" t="n">
        <v>43936</v>
      </c>
      <c r="C3537" s="1" t="n">
        <v>45353</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19133-2020</t>
        </is>
      </c>
      <c r="B3538" s="1" t="n">
        <v>43936</v>
      </c>
      <c r="C3538" s="1" t="n">
        <v>45353</v>
      </c>
      <c r="D3538" t="inlineStr">
        <is>
          <t>VÄRMLANDS LÄN</t>
        </is>
      </c>
      <c r="E3538" t="inlineStr">
        <is>
          <t>KIL</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19282-2020</t>
        </is>
      </c>
      <c r="B3539" s="1" t="n">
        <v>43937</v>
      </c>
      <c r="C3539" s="1" t="n">
        <v>45353</v>
      </c>
      <c r="D3539" t="inlineStr">
        <is>
          <t>VÄRMLANDS LÄN</t>
        </is>
      </c>
      <c r="E3539" t="inlineStr">
        <is>
          <t>FILIPSTAD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19296-2020</t>
        </is>
      </c>
      <c r="B3540" s="1" t="n">
        <v>43937</v>
      </c>
      <c r="C3540" s="1" t="n">
        <v>45353</v>
      </c>
      <c r="D3540" t="inlineStr">
        <is>
          <t>VÄRMLANDS LÄN</t>
        </is>
      </c>
      <c r="E3540" t="inlineStr">
        <is>
          <t>SUNNE</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19181-2020</t>
        </is>
      </c>
      <c r="B3541" s="1" t="n">
        <v>43937</v>
      </c>
      <c r="C3541" s="1" t="n">
        <v>45353</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19376-2020</t>
        </is>
      </c>
      <c r="B3542" s="1" t="n">
        <v>43938</v>
      </c>
      <c r="C3542" s="1" t="n">
        <v>45353</v>
      </c>
      <c r="D3542" t="inlineStr">
        <is>
          <t>VÄRMLANDS LÄN</t>
        </is>
      </c>
      <c r="E3542" t="inlineStr">
        <is>
          <t>SUNNE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19486-2020</t>
        </is>
      </c>
      <c r="B3543" s="1" t="n">
        <v>43938</v>
      </c>
      <c r="C3543" s="1" t="n">
        <v>45353</v>
      </c>
      <c r="D3543" t="inlineStr">
        <is>
          <t>VÄRMLANDS LÄN</t>
        </is>
      </c>
      <c r="E3543" t="inlineStr">
        <is>
          <t>GRUMS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19384-2020</t>
        </is>
      </c>
      <c r="B3544" s="1" t="n">
        <v>43938</v>
      </c>
      <c r="C3544" s="1" t="n">
        <v>45353</v>
      </c>
      <c r="D3544" t="inlineStr">
        <is>
          <t>VÄRMLANDS LÄN</t>
        </is>
      </c>
      <c r="E3544" t="inlineStr">
        <is>
          <t>TORSBY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19483-2020</t>
        </is>
      </c>
      <c r="B3545" s="1" t="n">
        <v>43938</v>
      </c>
      <c r="C3545" s="1" t="n">
        <v>45353</v>
      </c>
      <c r="D3545" t="inlineStr">
        <is>
          <t>VÄRMLANDS LÄN</t>
        </is>
      </c>
      <c r="E3545" t="inlineStr">
        <is>
          <t>GRUMS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19462-2020</t>
        </is>
      </c>
      <c r="B3546" s="1" t="n">
        <v>43938</v>
      </c>
      <c r="C3546" s="1" t="n">
        <v>45353</v>
      </c>
      <c r="D3546" t="inlineStr">
        <is>
          <t>VÄRMLANDS LÄN</t>
        </is>
      </c>
      <c r="E3546" t="inlineStr">
        <is>
          <t>HAGFORS</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19519-2020</t>
        </is>
      </c>
      <c r="B3547" s="1" t="n">
        <v>43939</v>
      </c>
      <c r="C3547" s="1" t="n">
        <v>45353</v>
      </c>
      <c r="D3547" t="inlineStr">
        <is>
          <t>VÄRMLANDS LÄN</t>
        </is>
      </c>
      <c r="E3547" t="inlineStr">
        <is>
          <t>ARVIKA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19835-2020</t>
        </is>
      </c>
      <c r="B3548" s="1" t="n">
        <v>43940</v>
      </c>
      <c r="C3548" s="1" t="n">
        <v>45353</v>
      </c>
      <c r="D3548" t="inlineStr">
        <is>
          <t>VÄRMLANDS LÄN</t>
        </is>
      </c>
      <c r="E3548" t="inlineStr">
        <is>
          <t>KIL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19887-2020</t>
        </is>
      </c>
      <c r="B3549" s="1" t="n">
        <v>43941</v>
      </c>
      <c r="C3549" s="1" t="n">
        <v>45353</v>
      </c>
      <c r="D3549" t="inlineStr">
        <is>
          <t>VÄRMLANDS LÄN</t>
        </is>
      </c>
      <c r="E3549" t="inlineStr">
        <is>
          <t>MUNKFORS</t>
        </is>
      </c>
      <c r="F3549" t="inlineStr">
        <is>
          <t>Bergvik skog väst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19963-2020</t>
        </is>
      </c>
      <c r="B3550" s="1" t="n">
        <v>43941</v>
      </c>
      <c r="C3550" s="1" t="n">
        <v>45353</v>
      </c>
      <c r="D3550" t="inlineStr">
        <is>
          <t>VÄRMLANDS LÄN</t>
        </is>
      </c>
      <c r="E3550" t="inlineStr">
        <is>
          <t>TORSBY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20025-2020</t>
        </is>
      </c>
      <c r="B3551" s="1" t="n">
        <v>43943</v>
      </c>
      <c r="C3551" s="1" t="n">
        <v>45353</v>
      </c>
      <c r="D3551" t="inlineStr">
        <is>
          <t>VÄRMLANDS LÄN</t>
        </is>
      </c>
      <c r="E3551" t="inlineStr">
        <is>
          <t>TORSBY</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20094-2020</t>
        </is>
      </c>
      <c r="B3552" s="1" t="n">
        <v>43943</v>
      </c>
      <c r="C3552" s="1" t="n">
        <v>45353</v>
      </c>
      <c r="D3552" t="inlineStr">
        <is>
          <t>VÄRMLANDS LÄN</t>
        </is>
      </c>
      <c r="E3552" t="inlineStr">
        <is>
          <t>KIL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19965-2020</t>
        </is>
      </c>
      <c r="B3553" s="1" t="n">
        <v>43943</v>
      </c>
      <c r="C3553" s="1" t="n">
        <v>45353</v>
      </c>
      <c r="D3553" t="inlineStr">
        <is>
          <t>VÄRMLANDS LÄN</t>
        </is>
      </c>
      <c r="E3553" t="inlineStr">
        <is>
          <t>KRISTINEHAMN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20107-2020</t>
        </is>
      </c>
      <c r="B3554" s="1" t="n">
        <v>43944</v>
      </c>
      <c r="C3554" s="1" t="n">
        <v>45353</v>
      </c>
      <c r="D3554" t="inlineStr">
        <is>
          <t>VÄRMLANDS LÄN</t>
        </is>
      </c>
      <c r="E3554" t="inlineStr">
        <is>
          <t>HAGFORS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20123-2020</t>
        </is>
      </c>
      <c r="B3555" s="1" t="n">
        <v>43944</v>
      </c>
      <c r="C3555" s="1" t="n">
        <v>45353</v>
      </c>
      <c r="D3555" t="inlineStr">
        <is>
          <t>VÄRMLANDS LÄN</t>
        </is>
      </c>
      <c r="E3555" t="inlineStr">
        <is>
          <t>HAGFORS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20235-2020</t>
        </is>
      </c>
      <c r="B3556" s="1" t="n">
        <v>43944</v>
      </c>
      <c r="C3556" s="1" t="n">
        <v>45353</v>
      </c>
      <c r="D3556" t="inlineStr">
        <is>
          <t>VÄRMLANDS LÄN</t>
        </is>
      </c>
      <c r="E3556" t="inlineStr">
        <is>
          <t>ARVIKA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20299-2020</t>
        </is>
      </c>
      <c r="B3557" s="1" t="n">
        <v>43944</v>
      </c>
      <c r="C3557" s="1" t="n">
        <v>45353</v>
      </c>
      <c r="D3557" t="inlineStr">
        <is>
          <t>VÄRMLANDS LÄN</t>
        </is>
      </c>
      <c r="E3557" t="inlineStr">
        <is>
          <t>HAGFORS</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20280-2020</t>
        </is>
      </c>
      <c r="B3558" s="1" t="n">
        <v>43945</v>
      </c>
      <c r="C3558" s="1" t="n">
        <v>45353</v>
      </c>
      <c r="D3558" t="inlineStr">
        <is>
          <t>VÄRMLANDS LÄN</t>
        </is>
      </c>
      <c r="E3558" t="inlineStr">
        <is>
          <t>TORSBY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20310-2020</t>
        </is>
      </c>
      <c r="B3559" s="1" t="n">
        <v>43945</v>
      </c>
      <c r="C3559" s="1" t="n">
        <v>45353</v>
      </c>
      <c r="D3559" t="inlineStr">
        <is>
          <t>VÄRMLANDS LÄN</t>
        </is>
      </c>
      <c r="E3559" t="inlineStr">
        <is>
          <t>SUNNE</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20452-2020</t>
        </is>
      </c>
      <c r="B3560" s="1" t="n">
        <v>43945</v>
      </c>
      <c r="C3560" s="1" t="n">
        <v>45353</v>
      </c>
      <c r="D3560" t="inlineStr">
        <is>
          <t>VÄRMLANDS LÄN</t>
        </is>
      </c>
      <c r="E3560" t="inlineStr">
        <is>
          <t>SUNNE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20789-2020</t>
        </is>
      </c>
      <c r="B3561" s="1" t="n">
        <v>43945</v>
      </c>
      <c r="C3561" s="1" t="n">
        <v>45353</v>
      </c>
      <c r="D3561" t="inlineStr">
        <is>
          <t>VÄRMLANDS LÄN</t>
        </is>
      </c>
      <c r="E3561" t="inlineStr">
        <is>
          <t>SÄFFLE</t>
        </is>
      </c>
      <c r="F3561" t="inlineStr">
        <is>
          <t>Bergvik skog väst AB</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20791-2020</t>
        </is>
      </c>
      <c r="B3562" s="1" t="n">
        <v>43945</v>
      </c>
      <c r="C3562" s="1" t="n">
        <v>45353</v>
      </c>
      <c r="D3562" t="inlineStr">
        <is>
          <t>VÄRMLANDS LÄN</t>
        </is>
      </c>
      <c r="E3562" t="inlineStr">
        <is>
          <t>SÄFFLE</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20564-2020</t>
        </is>
      </c>
      <c r="B3563" s="1" t="n">
        <v>43948</v>
      </c>
      <c r="C3563" s="1" t="n">
        <v>45353</v>
      </c>
      <c r="D3563" t="inlineStr">
        <is>
          <t>VÄRMLANDS LÄN</t>
        </is>
      </c>
      <c r="E3563" t="inlineStr">
        <is>
          <t>ARVIKA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20872-2020</t>
        </is>
      </c>
      <c r="B3564" s="1" t="n">
        <v>43948</v>
      </c>
      <c r="C3564" s="1" t="n">
        <v>45353</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20870-2020</t>
        </is>
      </c>
      <c r="B3565" s="1" t="n">
        <v>43948</v>
      </c>
      <c r="C3565" s="1" t="n">
        <v>45353</v>
      </c>
      <c r="D3565" t="inlineStr">
        <is>
          <t>VÄRMLANDS LÄN</t>
        </is>
      </c>
      <c r="E3565" t="inlineStr">
        <is>
          <t>STORFORS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20464-2020</t>
        </is>
      </c>
      <c r="B3566" s="1" t="n">
        <v>43948</v>
      </c>
      <c r="C3566" s="1" t="n">
        <v>45353</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20706-2020</t>
        </is>
      </c>
      <c r="B3567" s="1" t="n">
        <v>43949</v>
      </c>
      <c r="C3567" s="1" t="n">
        <v>45353</v>
      </c>
      <c r="D3567" t="inlineStr">
        <is>
          <t>VÄRMLANDS LÄN</t>
        </is>
      </c>
      <c r="E3567" t="inlineStr">
        <is>
          <t>FILIPSTAD</t>
        </is>
      </c>
      <c r="F3567" t="inlineStr">
        <is>
          <t>Bergvik skog väst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20735-2020</t>
        </is>
      </c>
      <c r="B3568" s="1" t="n">
        <v>43949</v>
      </c>
      <c r="C3568" s="1" t="n">
        <v>45353</v>
      </c>
      <c r="D3568" t="inlineStr">
        <is>
          <t>VÄRMLANDS LÄN</t>
        </is>
      </c>
      <c r="E3568" t="inlineStr">
        <is>
          <t>FILIPSTAD</t>
        </is>
      </c>
      <c r="F3568" t="inlineStr">
        <is>
          <t>Bergvik skog väst AB</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20671-2020</t>
        </is>
      </c>
      <c r="B3569" s="1" t="n">
        <v>43949</v>
      </c>
      <c r="C3569" s="1" t="n">
        <v>45353</v>
      </c>
      <c r="D3569" t="inlineStr">
        <is>
          <t>VÄRMLANDS LÄN</t>
        </is>
      </c>
      <c r="E3569" t="inlineStr">
        <is>
          <t>FILIPSTAD</t>
        </is>
      </c>
      <c r="F3569" t="inlineStr">
        <is>
          <t>Bergvik skog väst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20744-2020</t>
        </is>
      </c>
      <c r="B3570" s="1" t="n">
        <v>43949</v>
      </c>
      <c r="C3570" s="1" t="n">
        <v>45353</v>
      </c>
      <c r="D3570" t="inlineStr">
        <is>
          <t>VÄRMLANDS LÄN</t>
        </is>
      </c>
      <c r="E3570" t="inlineStr">
        <is>
          <t>FILIPSTAD</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20753-2020</t>
        </is>
      </c>
      <c r="B3571" s="1" t="n">
        <v>43949</v>
      </c>
      <c r="C3571" s="1" t="n">
        <v>45353</v>
      </c>
      <c r="D3571" t="inlineStr">
        <is>
          <t>VÄRMLANDS LÄN</t>
        </is>
      </c>
      <c r="E3571" t="inlineStr">
        <is>
          <t>FILIPSTAD</t>
        </is>
      </c>
      <c r="F3571" t="inlineStr">
        <is>
          <t>Bergvik skog väst AB</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20670-2020</t>
        </is>
      </c>
      <c r="B3572" s="1" t="n">
        <v>43949</v>
      </c>
      <c r="C3572" s="1" t="n">
        <v>45353</v>
      </c>
      <c r="D3572" t="inlineStr">
        <is>
          <t>VÄRMLANDS LÄN</t>
        </is>
      </c>
      <c r="E3572" t="inlineStr">
        <is>
          <t>FILIPSTAD</t>
        </is>
      </c>
      <c r="F3572" t="inlineStr">
        <is>
          <t>Bergvik skog väst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20702-2020</t>
        </is>
      </c>
      <c r="B3573" s="1" t="n">
        <v>43949</v>
      </c>
      <c r="C3573" s="1" t="n">
        <v>45353</v>
      </c>
      <c r="D3573" t="inlineStr">
        <is>
          <t>VÄRMLANDS LÄN</t>
        </is>
      </c>
      <c r="E3573" t="inlineStr">
        <is>
          <t>FILIPSTAD</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20709-2020</t>
        </is>
      </c>
      <c r="B3574" s="1" t="n">
        <v>43949</v>
      </c>
      <c r="C3574" s="1" t="n">
        <v>45353</v>
      </c>
      <c r="D3574" t="inlineStr">
        <is>
          <t>VÄRMLANDS LÄN</t>
        </is>
      </c>
      <c r="E3574" t="inlineStr">
        <is>
          <t>FILIPSTAD</t>
        </is>
      </c>
      <c r="F3574" t="inlineStr">
        <is>
          <t>Bergvik skog väst AB</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20726-2020</t>
        </is>
      </c>
      <c r="B3575" s="1" t="n">
        <v>43949</v>
      </c>
      <c r="C3575" s="1" t="n">
        <v>45353</v>
      </c>
      <c r="D3575" t="inlineStr">
        <is>
          <t>VÄRMLANDS LÄN</t>
        </is>
      </c>
      <c r="E3575" t="inlineStr">
        <is>
          <t>FILIPSTAD</t>
        </is>
      </c>
      <c r="F3575" t="inlineStr">
        <is>
          <t>Bergvik skog väst AB</t>
        </is>
      </c>
      <c r="G3575" t="n">
        <v>16.6</v>
      </c>
      <c r="H3575" t="n">
        <v>0</v>
      </c>
      <c r="I3575" t="n">
        <v>0</v>
      </c>
      <c r="J3575" t="n">
        <v>0</v>
      </c>
      <c r="K3575" t="n">
        <v>0</v>
      </c>
      <c r="L3575" t="n">
        <v>0</v>
      </c>
      <c r="M3575" t="n">
        <v>0</v>
      </c>
      <c r="N3575" t="n">
        <v>0</v>
      </c>
      <c r="O3575" t="n">
        <v>0</v>
      </c>
      <c r="P3575" t="n">
        <v>0</v>
      </c>
      <c r="Q3575" t="n">
        <v>0</v>
      </c>
      <c r="R3575" s="2" t="inlineStr"/>
    </row>
    <row r="3576" ht="15" customHeight="1">
      <c r="A3576" t="inlineStr">
        <is>
          <t>A 20751-2020</t>
        </is>
      </c>
      <c r="B3576" s="1" t="n">
        <v>43949</v>
      </c>
      <c r="C3576" s="1" t="n">
        <v>45353</v>
      </c>
      <c r="D3576" t="inlineStr">
        <is>
          <t>VÄRMLANDS LÄN</t>
        </is>
      </c>
      <c r="E3576" t="inlineStr">
        <is>
          <t>FILIPSTAD</t>
        </is>
      </c>
      <c r="F3576" t="inlineStr">
        <is>
          <t>Bergvik skog väst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20720-2020</t>
        </is>
      </c>
      <c r="B3577" s="1" t="n">
        <v>43949</v>
      </c>
      <c r="C3577" s="1" t="n">
        <v>45353</v>
      </c>
      <c r="D3577" t="inlineStr">
        <is>
          <t>VÄRMLANDS LÄN</t>
        </is>
      </c>
      <c r="E3577" t="inlineStr">
        <is>
          <t>EDA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20734-2020</t>
        </is>
      </c>
      <c r="B3578" s="1" t="n">
        <v>43949</v>
      </c>
      <c r="C3578" s="1" t="n">
        <v>45353</v>
      </c>
      <c r="D3578" t="inlineStr">
        <is>
          <t>VÄRMLANDS LÄN</t>
        </is>
      </c>
      <c r="E3578" t="inlineStr">
        <is>
          <t>EDA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20741-2020</t>
        </is>
      </c>
      <c r="B3579" s="1" t="n">
        <v>43949</v>
      </c>
      <c r="C3579" s="1" t="n">
        <v>45353</v>
      </c>
      <c r="D3579" t="inlineStr">
        <is>
          <t>VÄRMLANDS LÄN</t>
        </is>
      </c>
      <c r="E3579" t="inlineStr">
        <is>
          <t>FILIPSTAD</t>
        </is>
      </c>
      <c r="F3579" t="inlineStr">
        <is>
          <t>Bergvik skog väst AB</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20756-2020</t>
        </is>
      </c>
      <c r="B3580" s="1" t="n">
        <v>43949</v>
      </c>
      <c r="C3580" s="1" t="n">
        <v>45353</v>
      </c>
      <c r="D3580" t="inlineStr">
        <is>
          <t>VÄRMLANDS LÄN</t>
        </is>
      </c>
      <c r="E3580" t="inlineStr">
        <is>
          <t>HAGFORS</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21000-2020</t>
        </is>
      </c>
      <c r="B3581" s="1" t="n">
        <v>43949</v>
      </c>
      <c r="C3581" s="1" t="n">
        <v>45353</v>
      </c>
      <c r="D3581" t="inlineStr">
        <is>
          <t>VÄRMLANDS LÄN</t>
        </is>
      </c>
      <c r="E3581" t="inlineStr">
        <is>
          <t>KRISTINEHAMN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20798-2020</t>
        </is>
      </c>
      <c r="B3582" s="1" t="n">
        <v>43949</v>
      </c>
      <c r="C3582" s="1" t="n">
        <v>45353</v>
      </c>
      <c r="D3582" t="inlineStr">
        <is>
          <t>VÄRMLANDS LÄN</t>
        </is>
      </c>
      <c r="E3582" t="inlineStr">
        <is>
          <t>ARVIKA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20729-2020</t>
        </is>
      </c>
      <c r="B3583" s="1" t="n">
        <v>43949</v>
      </c>
      <c r="C3583" s="1" t="n">
        <v>45353</v>
      </c>
      <c r="D3583" t="inlineStr">
        <is>
          <t>VÄRMLANDS LÄN</t>
        </is>
      </c>
      <c r="E3583" t="inlineStr">
        <is>
          <t>FILIPSTAD</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20999-2020</t>
        </is>
      </c>
      <c r="B3584" s="1" t="n">
        <v>43949</v>
      </c>
      <c r="C3584" s="1" t="n">
        <v>45353</v>
      </c>
      <c r="D3584" t="inlineStr">
        <is>
          <t>VÄRMLANDS LÄN</t>
        </is>
      </c>
      <c r="E3584" t="inlineStr">
        <is>
          <t>SUNNE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20886-2020</t>
        </is>
      </c>
      <c r="B3585" s="1" t="n">
        <v>43950</v>
      </c>
      <c r="C3585" s="1" t="n">
        <v>45353</v>
      </c>
      <c r="D3585" t="inlineStr">
        <is>
          <t>VÄRMLANDS LÄN</t>
        </is>
      </c>
      <c r="E3585" t="inlineStr">
        <is>
          <t>SUNNE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20914-2020</t>
        </is>
      </c>
      <c r="B3586" s="1" t="n">
        <v>43950</v>
      </c>
      <c r="C3586" s="1" t="n">
        <v>45353</v>
      </c>
      <c r="D3586" t="inlineStr">
        <is>
          <t>VÄRMLANDS LÄN</t>
        </is>
      </c>
      <c r="E3586" t="inlineStr">
        <is>
          <t>SUNNE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20945-2020</t>
        </is>
      </c>
      <c r="B3587" s="1" t="n">
        <v>43950</v>
      </c>
      <c r="C3587" s="1" t="n">
        <v>45353</v>
      </c>
      <c r="D3587" t="inlineStr">
        <is>
          <t>VÄRMLANDS LÄN</t>
        </is>
      </c>
      <c r="E3587" t="inlineStr">
        <is>
          <t>KARLSTAD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20910-2020</t>
        </is>
      </c>
      <c r="B3588" s="1" t="n">
        <v>43950</v>
      </c>
      <c r="C3588" s="1" t="n">
        <v>45353</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20959-2020</t>
        </is>
      </c>
      <c r="B3589" s="1" t="n">
        <v>43950</v>
      </c>
      <c r="C3589" s="1" t="n">
        <v>45353</v>
      </c>
      <c r="D3589" t="inlineStr">
        <is>
          <t>VÄRMLANDS LÄN</t>
        </is>
      </c>
      <c r="E3589" t="inlineStr">
        <is>
          <t>KARLSTAD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21103-2020</t>
        </is>
      </c>
      <c r="B3590" s="1" t="n">
        <v>43950</v>
      </c>
      <c r="C3590" s="1" t="n">
        <v>45353</v>
      </c>
      <c r="D3590" t="inlineStr">
        <is>
          <t>VÄRMLANDS LÄN</t>
        </is>
      </c>
      <c r="E3590" t="inlineStr">
        <is>
          <t>GRUMS</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20898-2020</t>
        </is>
      </c>
      <c r="B3591" s="1" t="n">
        <v>43950</v>
      </c>
      <c r="C3591" s="1" t="n">
        <v>45353</v>
      </c>
      <c r="D3591" t="inlineStr">
        <is>
          <t>VÄRMLANDS LÄN</t>
        </is>
      </c>
      <c r="E3591" t="inlineStr">
        <is>
          <t>ARVIKA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21099-2020</t>
        </is>
      </c>
      <c r="B3592" s="1" t="n">
        <v>43951</v>
      </c>
      <c r="C3592" s="1" t="n">
        <v>45353</v>
      </c>
      <c r="D3592" t="inlineStr">
        <is>
          <t>VÄRMLANDS LÄN</t>
        </is>
      </c>
      <c r="E3592" t="inlineStr">
        <is>
          <t>TORSBY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21335-2020</t>
        </is>
      </c>
      <c r="B3593" s="1" t="n">
        <v>43951</v>
      </c>
      <c r="C3593" s="1" t="n">
        <v>45353</v>
      </c>
      <c r="D3593" t="inlineStr">
        <is>
          <t>VÄRMLANDS LÄN</t>
        </is>
      </c>
      <c r="E3593" t="inlineStr">
        <is>
          <t>TORSBY</t>
        </is>
      </c>
      <c r="F3593" t="inlineStr">
        <is>
          <t>Övriga Aktiebolag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21369-2020</t>
        </is>
      </c>
      <c r="B3594" s="1" t="n">
        <v>43951</v>
      </c>
      <c r="C3594" s="1" t="n">
        <v>45353</v>
      </c>
      <c r="D3594" t="inlineStr">
        <is>
          <t>VÄRMLANDS LÄN</t>
        </is>
      </c>
      <c r="E3594" t="inlineStr">
        <is>
          <t>TORSBY</t>
        </is>
      </c>
      <c r="F3594" t="inlineStr">
        <is>
          <t>Övriga Aktiebolag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21045-2020</t>
        </is>
      </c>
      <c r="B3595" s="1" t="n">
        <v>43951</v>
      </c>
      <c r="C3595" s="1" t="n">
        <v>45353</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21347-2020</t>
        </is>
      </c>
      <c r="B3596" s="1" t="n">
        <v>43951</v>
      </c>
      <c r="C3596" s="1" t="n">
        <v>45353</v>
      </c>
      <c r="D3596" t="inlineStr">
        <is>
          <t>VÄRMLANDS LÄN</t>
        </is>
      </c>
      <c r="E3596" t="inlineStr">
        <is>
          <t>TORSBY</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21479-2020</t>
        </is>
      </c>
      <c r="B3597" s="1" t="n">
        <v>43951</v>
      </c>
      <c r="C3597" s="1" t="n">
        <v>45353</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21230-2020</t>
        </is>
      </c>
      <c r="B3598" s="1" t="n">
        <v>43952</v>
      </c>
      <c r="C3598" s="1" t="n">
        <v>45353</v>
      </c>
      <c r="D3598" t="inlineStr">
        <is>
          <t>VÄRMLANDS LÄN</t>
        </is>
      </c>
      <c r="E3598" t="inlineStr">
        <is>
          <t>GRUMS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21346-2020</t>
        </is>
      </c>
      <c r="B3599" s="1" t="n">
        <v>43955</v>
      </c>
      <c r="C3599" s="1" t="n">
        <v>45353</v>
      </c>
      <c r="D3599" t="inlineStr">
        <is>
          <t>VÄRMLANDS LÄN</t>
        </is>
      </c>
      <c r="E3599" t="inlineStr">
        <is>
          <t>SUNNE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21386-2020</t>
        </is>
      </c>
      <c r="B3600" s="1" t="n">
        <v>43955</v>
      </c>
      <c r="C3600" s="1" t="n">
        <v>45353</v>
      </c>
      <c r="D3600" t="inlineStr">
        <is>
          <t>VÄRMLANDS LÄN</t>
        </is>
      </c>
      <c r="E3600" t="inlineStr">
        <is>
          <t>KIL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21900-2020</t>
        </is>
      </c>
      <c r="B3601" s="1" t="n">
        <v>43955</v>
      </c>
      <c r="C3601" s="1" t="n">
        <v>45353</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22211-2020</t>
        </is>
      </c>
      <c r="B3602" s="1" t="n">
        <v>43955</v>
      </c>
      <c r="C3602" s="1" t="n">
        <v>45353</v>
      </c>
      <c r="D3602" t="inlineStr">
        <is>
          <t>VÄRMLANDS LÄN</t>
        </is>
      </c>
      <c r="E3602" t="inlineStr">
        <is>
          <t>KRISTINEHAMN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21256-2020</t>
        </is>
      </c>
      <c r="B3603" s="1" t="n">
        <v>43955</v>
      </c>
      <c r="C3603" s="1" t="n">
        <v>45353</v>
      </c>
      <c r="D3603" t="inlineStr">
        <is>
          <t>VÄRMLANDS LÄN</t>
        </is>
      </c>
      <c r="E3603" t="inlineStr">
        <is>
          <t>ÅRJÄNG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21397-2020</t>
        </is>
      </c>
      <c r="B3604" s="1" t="n">
        <v>43955</v>
      </c>
      <c r="C3604" s="1" t="n">
        <v>45353</v>
      </c>
      <c r="D3604" t="inlineStr">
        <is>
          <t>VÄRMLANDS LÄN</t>
        </is>
      </c>
      <c r="E3604" t="inlineStr">
        <is>
          <t>KIL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21943-2020</t>
        </is>
      </c>
      <c r="B3605" s="1" t="n">
        <v>43955</v>
      </c>
      <c r="C3605" s="1" t="n">
        <v>45353</v>
      </c>
      <c r="D3605" t="inlineStr">
        <is>
          <t>VÄRMLANDS LÄN</t>
        </is>
      </c>
      <c r="E3605" t="inlineStr">
        <is>
          <t>KRISTINEHAMN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22215-2020</t>
        </is>
      </c>
      <c r="B3606" s="1" t="n">
        <v>43955</v>
      </c>
      <c r="C3606" s="1" t="n">
        <v>45353</v>
      </c>
      <c r="D3606" t="inlineStr">
        <is>
          <t>VÄRMLANDS LÄN</t>
        </is>
      </c>
      <c r="E3606" t="inlineStr">
        <is>
          <t>KRISTINEHAMN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22223-2020</t>
        </is>
      </c>
      <c r="B3607" s="1" t="n">
        <v>43955</v>
      </c>
      <c r="C3607" s="1" t="n">
        <v>45353</v>
      </c>
      <c r="D3607" t="inlineStr">
        <is>
          <t>VÄRMLANDS LÄN</t>
        </is>
      </c>
      <c r="E3607" t="inlineStr">
        <is>
          <t>KRISTINEHAMN</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21540-2020</t>
        </is>
      </c>
      <c r="B3608" s="1" t="n">
        <v>43956</v>
      </c>
      <c r="C3608" s="1" t="n">
        <v>45353</v>
      </c>
      <c r="D3608" t="inlineStr">
        <is>
          <t>VÄRMLANDS LÄN</t>
        </is>
      </c>
      <c r="E3608" t="inlineStr">
        <is>
          <t>STORFORS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21439-2020</t>
        </is>
      </c>
      <c r="B3609" s="1" t="n">
        <v>43956</v>
      </c>
      <c r="C3609" s="1" t="n">
        <v>45353</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21585-2020</t>
        </is>
      </c>
      <c r="B3610" s="1" t="n">
        <v>43956</v>
      </c>
      <c r="C3610" s="1" t="n">
        <v>45353</v>
      </c>
      <c r="D3610" t="inlineStr">
        <is>
          <t>VÄRMLANDS LÄN</t>
        </is>
      </c>
      <c r="E3610" t="inlineStr">
        <is>
          <t>SÄFFLE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21578-2020</t>
        </is>
      </c>
      <c r="B3611" s="1" t="n">
        <v>43956</v>
      </c>
      <c r="C3611" s="1" t="n">
        <v>45353</v>
      </c>
      <c r="D3611" t="inlineStr">
        <is>
          <t>VÄRMLANDS LÄN</t>
        </is>
      </c>
      <c r="E3611" t="inlineStr">
        <is>
          <t>KRISTINEHAMN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21659-2020</t>
        </is>
      </c>
      <c r="B3612" s="1" t="n">
        <v>43957</v>
      </c>
      <c r="C3612" s="1" t="n">
        <v>45353</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21672-2020</t>
        </is>
      </c>
      <c r="B3613" s="1" t="n">
        <v>43957</v>
      </c>
      <c r="C3613" s="1" t="n">
        <v>45353</v>
      </c>
      <c r="D3613" t="inlineStr">
        <is>
          <t>VÄRMLANDS LÄN</t>
        </is>
      </c>
      <c r="E3613" t="inlineStr">
        <is>
          <t>TORSBY</t>
        </is>
      </c>
      <c r="F3613" t="inlineStr">
        <is>
          <t>Bergvik skog väst AB</t>
        </is>
      </c>
      <c r="G3613" t="n">
        <v>44.1</v>
      </c>
      <c r="H3613" t="n">
        <v>0</v>
      </c>
      <c r="I3613" t="n">
        <v>0</v>
      </c>
      <c r="J3613" t="n">
        <v>0</v>
      </c>
      <c r="K3613" t="n">
        <v>0</v>
      </c>
      <c r="L3613" t="n">
        <v>0</v>
      </c>
      <c r="M3613" t="n">
        <v>0</v>
      </c>
      <c r="N3613" t="n">
        <v>0</v>
      </c>
      <c r="O3613" t="n">
        <v>0</v>
      </c>
      <c r="P3613" t="n">
        <v>0</v>
      </c>
      <c r="Q3613" t="n">
        <v>0</v>
      </c>
      <c r="R3613" s="2" t="inlineStr"/>
    </row>
    <row r="3614" ht="15" customHeight="1">
      <c r="A3614" t="inlineStr">
        <is>
          <t>A 21790-2020</t>
        </is>
      </c>
      <c r="B3614" s="1" t="n">
        <v>43958</v>
      </c>
      <c r="C3614" s="1" t="n">
        <v>45353</v>
      </c>
      <c r="D3614" t="inlineStr">
        <is>
          <t>VÄRMLANDS LÄN</t>
        </is>
      </c>
      <c r="E3614" t="inlineStr">
        <is>
          <t>GRUMS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21872-2020</t>
        </is>
      </c>
      <c r="B3615" s="1" t="n">
        <v>43958</v>
      </c>
      <c r="C3615" s="1" t="n">
        <v>45353</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22424-2020</t>
        </is>
      </c>
      <c r="B3616" s="1" t="n">
        <v>43958</v>
      </c>
      <c r="C3616" s="1" t="n">
        <v>45353</v>
      </c>
      <c r="D3616" t="inlineStr">
        <is>
          <t>VÄRMLANDS LÄN</t>
        </is>
      </c>
      <c r="E3616" t="inlineStr">
        <is>
          <t>SUNNE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22086-2020</t>
        </is>
      </c>
      <c r="B3617" s="1" t="n">
        <v>43959</v>
      </c>
      <c r="C3617" s="1" t="n">
        <v>45353</v>
      </c>
      <c r="D3617" t="inlineStr">
        <is>
          <t>VÄRMLANDS LÄN</t>
        </is>
      </c>
      <c r="E3617" t="inlineStr">
        <is>
          <t>FILIPSTAD</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22125-2020</t>
        </is>
      </c>
      <c r="B3618" s="1" t="n">
        <v>43960</v>
      </c>
      <c r="C3618" s="1" t="n">
        <v>45353</v>
      </c>
      <c r="D3618" t="inlineStr">
        <is>
          <t>VÄRMLANDS LÄN</t>
        </is>
      </c>
      <c r="E3618" t="inlineStr">
        <is>
          <t>FILIPSTAD</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22134-2020</t>
        </is>
      </c>
      <c r="B3619" s="1" t="n">
        <v>43961</v>
      </c>
      <c r="C3619" s="1" t="n">
        <v>45353</v>
      </c>
      <c r="D3619" t="inlineStr">
        <is>
          <t>VÄRMLANDS LÄN</t>
        </is>
      </c>
      <c r="E3619" t="inlineStr">
        <is>
          <t>SUNNE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22194-2020</t>
        </is>
      </c>
      <c r="B3620" s="1" t="n">
        <v>43962</v>
      </c>
      <c r="C3620" s="1" t="n">
        <v>45353</v>
      </c>
      <c r="D3620" t="inlineStr">
        <is>
          <t>VÄRMLANDS LÄN</t>
        </is>
      </c>
      <c r="E3620" t="inlineStr">
        <is>
          <t>TORSBY</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22200-2020</t>
        </is>
      </c>
      <c r="B3621" s="1" t="n">
        <v>43962</v>
      </c>
      <c r="C3621" s="1" t="n">
        <v>45353</v>
      </c>
      <c r="D3621" t="inlineStr">
        <is>
          <t>VÄRMLANDS LÄN</t>
        </is>
      </c>
      <c r="E3621" t="inlineStr">
        <is>
          <t>KARLSTAD</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22198-2020</t>
        </is>
      </c>
      <c r="B3622" s="1" t="n">
        <v>43962</v>
      </c>
      <c r="C3622" s="1" t="n">
        <v>45353</v>
      </c>
      <c r="D3622" t="inlineStr">
        <is>
          <t>VÄRMLANDS LÄN</t>
        </is>
      </c>
      <c r="E3622" t="inlineStr">
        <is>
          <t>KARLSTAD</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22209-2020</t>
        </is>
      </c>
      <c r="B3623" s="1" t="n">
        <v>43962</v>
      </c>
      <c r="C3623" s="1" t="n">
        <v>45353</v>
      </c>
      <c r="D3623" t="inlineStr">
        <is>
          <t>VÄRMLANDS LÄN</t>
        </is>
      </c>
      <c r="E3623" t="inlineStr">
        <is>
          <t>TORSBY</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22725-2020</t>
        </is>
      </c>
      <c r="B3624" s="1" t="n">
        <v>43962</v>
      </c>
      <c r="C3624" s="1" t="n">
        <v>45353</v>
      </c>
      <c r="D3624" t="inlineStr">
        <is>
          <t>VÄRMLANDS LÄN</t>
        </is>
      </c>
      <c r="E3624" t="inlineStr">
        <is>
          <t>HAGFORS</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22724-2020</t>
        </is>
      </c>
      <c r="B3625" s="1" t="n">
        <v>43962</v>
      </c>
      <c r="C3625" s="1" t="n">
        <v>45353</v>
      </c>
      <c r="D3625" t="inlineStr">
        <is>
          <t>VÄRMLANDS LÄN</t>
        </is>
      </c>
      <c r="E3625" t="inlineStr">
        <is>
          <t>HAGFORS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22527-2020</t>
        </is>
      </c>
      <c r="B3626" s="1" t="n">
        <v>43963</v>
      </c>
      <c r="C3626" s="1" t="n">
        <v>45353</v>
      </c>
      <c r="D3626" t="inlineStr">
        <is>
          <t>VÄRMLANDS LÄN</t>
        </is>
      </c>
      <c r="E3626" t="inlineStr">
        <is>
          <t>STORFORS</t>
        </is>
      </c>
      <c r="F3626" t="inlineStr">
        <is>
          <t>Bergvik skog väst AB</t>
        </is>
      </c>
      <c r="G3626" t="n">
        <v>64.3</v>
      </c>
      <c r="H3626" t="n">
        <v>0</v>
      </c>
      <c r="I3626" t="n">
        <v>0</v>
      </c>
      <c r="J3626" t="n">
        <v>0</v>
      </c>
      <c r="K3626" t="n">
        <v>0</v>
      </c>
      <c r="L3626" t="n">
        <v>0</v>
      </c>
      <c r="M3626" t="n">
        <v>0</v>
      </c>
      <c r="N3626" t="n">
        <v>0</v>
      </c>
      <c r="O3626" t="n">
        <v>0</v>
      </c>
      <c r="P3626" t="n">
        <v>0</v>
      </c>
      <c r="Q3626" t="n">
        <v>0</v>
      </c>
      <c r="R3626" s="2" t="inlineStr"/>
    </row>
    <row r="3627" ht="15" customHeight="1">
      <c r="A3627" t="inlineStr">
        <is>
          <t>A 22513-2020</t>
        </is>
      </c>
      <c r="B3627" s="1" t="n">
        <v>43963</v>
      </c>
      <c r="C3627" s="1" t="n">
        <v>45353</v>
      </c>
      <c r="D3627" t="inlineStr">
        <is>
          <t>VÄRMLANDS LÄN</t>
        </is>
      </c>
      <c r="E3627" t="inlineStr">
        <is>
          <t>KARLSTAD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22584-2020</t>
        </is>
      </c>
      <c r="B3628" s="1" t="n">
        <v>43963</v>
      </c>
      <c r="C3628" s="1" t="n">
        <v>45353</v>
      </c>
      <c r="D3628" t="inlineStr">
        <is>
          <t>VÄRMLANDS LÄN</t>
        </is>
      </c>
      <c r="E3628" t="inlineStr">
        <is>
          <t>ÅRJÄNG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22600-2020</t>
        </is>
      </c>
      <c r="B3629" s="1" t="n">
        <v>43963</v>
      </c>
      <c r="C3629" s="1" t="n">
        <v>45353</v>
      </c>
      <c r="D3629" t="inlineStr">
        <is>
          <t>VÄRMLANDS LÄN</t>
        </is>
      </c>
      <c r="E3629" t="inlineStr">
        <is>
          <t>FILIPSTAD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22965-2020</t>
        </is>
      </c>
      <c r="B3630" s="1" t="n">
        <v>43964</v>
      </c>
      <c r="C3630" s="1" t="n">
        <v>45353</v>
      </c>
      <c r="D3630" t="inlineStr">
        <is>
          <t>VÄRMLANDS LÄN</t>
        </is>
      </c>
      <c r="E3630" t="inlineStr">
        <is>
          <t>ÅRJÄNG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22871-2020</t>
        </is>
      </c>
      <c r="B3631" s="1" t="n">
        <v>43964</v>
      </c>
      <c r="C3631" s="1" t="n">
        <v>45353</v>
      </c>
      <c r="D3631" t="inlineStr">
        <is>
          <t>VÄRMLANDS LÄN</t>
        </is>
      </c>
      <c r="E3631" t="inlineStr">
        <is>
          <t>FILIPSTAD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22869-2020</t>
        </is>
      </c>
      <c r="B3632" s="1" t="n">
        <v>43964</v>
      </c>
      <c r="C3632" s="1" t="n">
        <v>45353</v>
      </c>
      <c r="D3632" t="inlineStr">
        <is>
          <t>VÄRMLANDS LÄN</t>
        </is>
      </c>
      <c r="E3632" t="inlineStr">
        <is>
          <t>FILIPSTAD</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23053-2020</t>
        </is>
      </c>
      <c r="B3633" s="1" t="n">
        <v>43964</v>
      </c>
      <c r="C3633" s="1" t="n">
        <v>45353</v>
      </c>
      <c r="D3633" t="inlineStr">
        <is>
          <t>VÄRMLANDS LÄN</t>
        </is>
      </c>
      <c r="E3633" t="inlineStr">
        <is>
          <t>SUNNE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23078-2020</t>
        </is>
      </c>
      <c r="B3634" s="1" t="n">
        <v>43965</v>
      </c>
      <c r="C3634" s="1" t="n">
        <v>45353</v>
      </c>
      <c r="D3634" t="inlineStr">
        <is>
          <t>VÄRMLANDS LÄN</t>
        </is>
      </c>
      <c r="E3634" t="inlineStr">
        <is>
          <t>HAGFORS</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23216-2020</t>
        </is>
      </c>
      <c r="B3635" s="1" t="n">
        <v>43965</v>
      </c>
      <c r="C3635" s="1" t="n">
        <v>45353</v>
      </c>
      <c r="D3635" t="inlineStr">
        <is>
          <t>VÄRMLANDS LÄN</t>
        </is>
      </c>
      <c r="E3635" t="inlineStr">
        <is>
          <t>ÅRJÄNG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23211-2020</t>
        </is>
      </c>
      <c r="B3636" s="1" t="n">
        <v>43965</v>
      </c>
      <c r="C3636" s="1" t="n">
        <v>45353</v>
      </c>
      <c r="D3636" t="inlineStr">
        <is>
          <t>VÄRMLANDS LÄN</t>
        </is>
      </c>
      <c r="E3636" t="inlineStr">
        <is>
          <t>ÅRJÄNG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23206-2020</t>
        </is>
      </c>
      <c r="B3637" s="1" t="n">
        <v>43966</v>
      </c>
      <c r="C3637" s="1" t="n">
        <v>45353</v>
      </c>
      <c r="D3637" t="inlineStr">
        <is>
          <t>VÄRMLANDS LÄN</t>
        </is>
      </c>
      <c r="E3637" t="inlineStr">
        <is>
          <t>HAGFORS</t>
        </is>
      </c>
      <c r="F3637" t="inlineStr">
        <is>
          <t>Bergvik skog väst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23159-2020</t>
        </is>
      </c>
      <c r="B3638" s="1" t="n">
        <v>43966</v>
      </c>
      <c r="C3638" s="1" t="n">
        <v>45353</v>
      </c>
      <c r="D3638" t="inlineStr">
        <is>
          <t>VÄRMLANDS LÄN</t>
        </is>
      </c>
      <c r="E3638" t="inlineStr">
        <is>
          <t>HAGFORS</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23257-2020</t>
        </is>
      </c>
      <c r="B3639" s="1" t="n">
        <v>43966</v>
      </c>
      <c r="C3639" s="1" t="n">
        <v>45353</v>
      </c>
      <c r="D3639" t="inlineStr">
        <is>
          <t>VÄRMLANDS LÄN</t>
        </is>
      </c>
      <c r="E3639" t="inlineStr">
        <is>
          <t>HAGFORS</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23165-2020</t>
        </is>
      </c>
      <c r="B3640" s="1" t="n">
        <v>43966</v>
      </c>
      <c r="C3640" s="1" t="n">
        <v>45353</v>
      </c>
      <c r="D3640" t="inlineStr">
        <is>
          <t>VÄRMLANDS LÄN</t>
        </is>
      </c>
      <c r="E3640" t="inlineStr">
        <is>
          <t>ARVIKA</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23183-2020</t>
        </is>
      </c>
      <c r="B3641" s="1" t="n">
        <v>43966</v>
      </c>
      <c r="C3641" s="1" t="n">
        <v>45353</v>
      </c>
      <c r="D3641" t="inlineStr">
        <is>
          <t>VÄRMLANDS LÄN</t>
        </is>
      </c>
      <c r="E3641" t="inlineStr">
        <is>
          <t>HAMMARÖ</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23329-2020</t>
        </is>
      </c>
      <c r="B3642" s="1" t="n">
        <v>43966</v>
      </c>
      <c r="C3642" s="1" t="n">
        <v>45353</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23293-2020</t>
        </is>
      </c>
      <c r="B3643" s="1" t="n">
        <v>43966</v>
      </c>
      <c r="C3643" s="1" t="n">
        <v>45353</v>
      </c>
      <c r="D3643" t="inlineStr">
        <is>
          <t>VÄRMLANDS LÄN</t>
        </is>
      </c>
      <c r="E3643" t="inlineStr">
        <is>
          <t>FILIPSTAD</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23362-2020</t>
        </is>
      </c>
      <c r="B3644" s="1" t="n">
        <v>43967</v>
      </c>
      <c r="C3644" s="1" t="n">
        <v>45353</v>
      </c>
      <c r="D3644" t="inlineStr">
        <is>
          <t>VÄRMLANDS LÄN</t>
        </is>
      </c>
      <c r="E3644" t="inlineStr">
        <is>
          <t>ARVIKA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23397-2020</t>
        </is>
      </c>
      <c r="B3645" s="1" t="n">
        <v>43968</v>
      </c>
      <c r="C3645" s="1" t="n">
        <v>45353</v>
      </c>
      <c r="D3645" t="inlineStr">
        <is>
          <t>VÄRMLANDS LÄN</t>
        </is>
      </c>
      <c r="E3645" t="inlineStr">
        <is>
          <t>SÄFFLE</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23493-2020</t>
        </is>
      </c>
      <c r="B3646" s="1" t="n">
        <v>43969</v>
      </c>
      <c r="C3646" s="1" t="n">
        <v>45353</v>
      </c>
      <c r="D3646" t="inlineStr">
        <is>
          <t>VÄRMLANDS LÄN</t>
        </is>
      </c>
      <c r="E3646" t="inlineStr">
        <is>
          <t>ÅRJÄNG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23679-2020</t>
        </is>
      </c>
      <c r="B3647" s="1" t="n">
        <v>43970</v>
      </c>
      <c r="C3647" s="1" t="n">
        <v>45353</v>
      </c>
      <c r="D3647" t="inlineStr">
        <is>
          <t>VÄRMLANDS LÄN</t>
        </is>
      </c>
      <c r="E3647" t="inlineStr">
        <is>
          <t>SUNNE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23694-2020</t>
        </is>
      </c>
      <c r="B3648" s="1" t="n">
        <v>43970</v>
      </c>
      <c r="C3648" s="1" t="n">
        <v>45353</v>
      </c>
      <c r="D3648" t="inlineStr">
        <is>
          <t>VÄRMLANDS LÄN</t>
        </is>
      </c>
      <c r="E3648" t="inlineStr">
        <is>
          <t>KARLSTAD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23691-2020</t>
        </is>
      </c>
      <c r="B3649" s="1" t="n">
        <v>43970</v>
      </c>
      <c r="C3649" s="1" t="n">
        <v>45353</v>
      </c>
      <c r="D3649" t="inlineStr">
        <is>
          <t>VÄRMLANDS LÄN</t>
        </is>
      </c>
      <c r="E3649" t="inlineStr">
        <is>
          <t>KARLSTAD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23955-2020</t>
        </is>
      </c>
      <c r="B3650" s="1" t="n">
        <v>43971</v>
      </c>
      <c r="C3650" s="1" t="n">
        <v>45353</v>
      </c>
      <c r="D3650" t="inlineStr">
        <is>
          <t>VÄRMLANDS LÄN</t>
        </is>
      </c>
      <c r="E3650" t="inlineStr">
        <is>
          <t>KRISTINEHAMN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24210-2020</t>
        </is>
      </c>
      <c r="B3651" s="1" t="n">
        <v>43973</v>
      </c>
      <c r="C3651" s="1" t="n">
        <v>45353</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24165-2020</t>
        </is>
      </c>
      <c r="B3652" s="1" t="n">
        <v>43975</v>
      </c>
      <c r="C3652" s="1" t="n">
        <v>45353</v>
      </c>
      <c r="D3652" t="inlineStr">
        <is>
          <t>VÄRMLANDS LÄN</t>
        </is>
      </c>
      <c r="E3652" t="inlineStr">
        <is>
          <t>ARVIKA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24166-2020</t>
        </is>
      </c>
      <c r="B3653" s="1" t="n">
        <v>43975</v>
      </c>
      <c r="C3653" s="1" t="n">
        <v>45353</v>
      </c>
      <c r="D3653" t="inlineStr">
        <is>
          <t>VÄRMLANDS LÄN</t>
        </is>
      </c>
      <c r="E3653" t="inlineStr">
        <is>
          <t>ÅRJÄNG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24327-2020</t>
        </is>
      </c>
      <c r="B3654" s="1" t="n">
        <v>43976</v>
      </c>
      <c r="C3654" s="1" t="n">
        <v>45353</v>
      </c>
      <c r="D3654" t="inlineStr">
        <is>
          <t>VÄRMLANDS LÄN</t>
        </is>
      </c>
      <c r="E3654" t="inlineStr">
        <is>
          <t>FORSHAGA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24340-2020</t>
        </is>
      </c>
      <c r="B3655" s="1" t="n">
        <v>43976</v>
      </c>
      <c r="C3655" s="1" t="n">
        <v>45353</v>
      </c>
      <c r="D3655" t="inlineStr">
        <is>
          <t>VÄRMLANDS LÄN</t>
        </is>
      </c>
      <c r="E3655" t="inlineStr">
        <is>
          <t>HAGFORS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24396-2020</t>
        </is>
      </c>
      <c r="B3656" s="1" t="n">
        <v>43976</v>
      </c>
      <c r="C3656" s="1" t="n">
        <v>45353</v>
      </c>
      <c r="D3656" t="inlineStr">
        <is>
          <t>VÄRMLANDS LÄN</t>
        </is>
      </c>
      <c r="E3656" t="inlineStr">
        <is>
          <t>STORFORS</t>
        </is>
      </c>
      <c r="F3656" t="inlineStr">
        <is>
          <t>Bergvik skog väst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24489-2020</t>
        </is>
      </c>
      <c r="B3657" s="1" t="n">
        <v>43976</v>
      </c>
      <c r="C3657" s="1" t="n">
        <v>45353</v>
      </c>
      <c r="D3657" t="inlineStr">
        <is>
          <t>VÄRMLANDS LÄN</t>
        </is>
      </c>
      <c r="E3657" t="inlineStr">
        <is>
          <t>KIL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24559-2020</t>
        </is>
      </c>
      <c r="B3658" s="1" t="n">
        <v>43977</v>
      </c>
      <c r="C3658" s="1" t="n">
        <v>45353</v>
      </c>
      <c r="D3658" t="inlineStr">
        <is>
          <t>VÄRMLANDS LÄN</t>
        </is>
      </c>
      <c r="E3658" t="inlineStr">
        <is>
          <t>EDA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24737-2020</t>
        </is>
      </c>
      <c r="B3659" s="1" t="n">
        <v>43978</v>
      </c>
      <c r="C3659" s="1" t="n">
        <v>45353</v>
      </c>
      <c r="D3659" t="inlineStr">
        <is>
          <t>VÄRMLANDS LÄN</t>
        </is>
      </c>
      <c r="E3659" t="inlineStr">
        <is>
          <t>SÄFFLE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24718-2020</t>
        </is>
      </c>
      <c r="B3660" s="1" t="n">
        <v>43978</v>
      </c>
      <c r="C3660" s="1" t="n">
        <v>45353</v>
      </c>
      <c r="D3660" t="inlineStr">
        <is>
          <t>VÄRMLANDS LÄN</t>
        </is>
      </c>
      <c r="E3660" t="inlineStr">
        <is>
          <t>ÅRJÄNG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24798-2020</t>
        </is>
      </c>
      <c r="B3661" s="1" t="n">
        <v>43978</v>
      </c>
      <c r="C3661" s="1" t="n">
        <v>45353</v>
      </c>
      <c r="D3661" t="inlineStr">
        <is>
          <t>VÄRMLANDS LÄN</t>
        </is>
      </c>
      <c r="E3661" t="inlineStr">
        <is>
          <t>HAGFORS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24676-2020</t>
        </is>
      </c>
      <c r="B3662" s="1" t="n">
        <v>43978</v>
      </c>
      <c r="C3662" s="1" t="n">
        <v>45353</v>
      </c>
      <c r="D3662" t="inlineStr">
        <is>
          <t>VÄRMLANDS LÄN</t>
        </is>
      </c>
      <c r="E3662" t="inlineStr">
        <is>
          <t>KARLSTAD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24722-2020</t>
        </is>
      </c>
      <c r="B3663" s="1" t="n">
        <v>43978</v>
      </c>
      <c r="C3663" s="1" t="n">
        <v>45353</v>
      </c>
      <c r="D3663" t="inlineStr">
        <is>
          <t>VÄRMLANDS LÄN</t>
        </is>
      </c>
      <c r="E3663" t="inlineStr">
        <is>
          <t>ÅRJÄNG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25231-2020</t>
        </is>
      </c>
      <c r="B3664" s="1" t="n">
        <v>43978</v>
      </c>
      <c r="C3664" s="1" t="n">
        <v>45353</v>
      </c>
      <c r="D3664" t="inlineStr">
        <is>
          <t>VÄRMLANDS LÄN</t>
        </is>
      </c>
      <c r="E3664" t="inlineStr">
        <is>
          <t>SÄFFLE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24920-2020</t>
        </is>
      </c>
      <c r="B3665" s="1" t="n">
        <v>43979</v>
      </c>
      <c r="C3665" s="1" t="n">
        <v>45353</v>
      </c>
      <c r="D3665" t="inlineStr">
        <is>
          <t>VÄRMLANDS LÄN</t>
        </is>
      </c>
      <c r="E3665" t="inlineStr">
        <is>
          <t>ÅRJÄNG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25237-2020</t>
        </is>
      </c>
      <c r="B3666" s="1" t="n">
        <v>43979</v>
      </c>
      <c r="C3666" s="1" t="n">
        <v>45353</v>
      </c>
      <c r="D3666" t="inlineStr">
        <is>
          <t>VÄRMLANDS LÄN</t>
        </is>
      </c>
      <c r="E3666" t="inlineStr">
        <is>
          <t>ARVIKA</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25234-2020</t>
        </is>
      </c>
      <c r="B3667" s="1" t="n">
        <v>43979</v>
      </c>
      <c r="C3667" s="1" t="n">
        <v>45353</v>
      </c>
      <c r="D3667" t="inlineStr">
        <is>
          <t>VÄRMLANDS LÄN</t>
        </is>
      </c>
      <c r="E3667" t="inlineStr">
        <is>
          <t>ARVIKA</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25233-2020</t>
        </is>
      </c>
      <c r="B3668" s="1" t="n">
        <v>43980</v>
      </c>
      <c r="C3668" s="1" t="n">
        <v>45353</v>
      </c>
      <c r="D3668" t="inlineStr">
        <is>
          <t>VÄRMLANDS LÄN</t>
        </is>
      </c>
      <c r="E3668" t="inlineStr">
        <is>
          <t>KRISTINEHAMN</t>
        </is>
      </c>
      <c r="F3668" t="inlineStr">
        <is>
          <t>Naturvårdsverket</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25253-2020</t>
        </is>
      </c>
      <c r="B3669" s="1" t="n">
        <v>43980</v>
      </c>
      <c r="C3669" s="1" t="n">
        <v>45353</v>
      </c>
      <c r="D3669" t="inlineStr">
        <is>
          <t>VÄRMLANDS LÄN</t>
        </is>
      </c>
      <c r="E3669" t="inlineStr">
        <is>
          <t>KRISTINEHAMN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25211-2020</t>
        </is>
      </c>
      <c r="B3670" s="1" t="n">
        <v>43980</v>
      </c>
      <c r="C3670" s="1" t="n">
        <v>45353</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25570-2020</t>
        </is>
      </c>
      <c r="B3671" s="1" t="n">
        <v>43980</v>
      </c>
      <c r="C3671" s="1" t="n">
        <v>45353</v>
      </c>
      <c r="D3671" t="inlineStr">
        <is>
          <t>VÄRMLANDS LÄN</t>
        </is>
      </c>
      <c r="E3671" t="inlineStr">
        <is>
          <t>KRISTINEHAMN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25582-2020</t>
        </is>
      </c>
      <c r="B3672" s="1" t="n">
        <v>43983</v>
      </c>
      <c r="C3672" s="1" t="n">
        <v>45353</v>
      </c>
      <c r="D3672" t="inlineStr">
        <is>
          <t>VÄRMLANDS LÄN</t>
        </is>
      </c>
      <c r="E3672" t="inlineStr">
        <is>
          <t>SÄFFLE</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25518-2020</t>
        </is>
      </c>
      <c r="B3673" s="1" t="n">
        <v>43983</v>
      </c>
      <c r="C3673" s="1" t="n">
        <v>45353</v>
      </c>
      <c r="D3673" t="inlineStr">
        <is>
          <t>VÄRMLANDS LÄN</t>
        </is>
      </c>
      <c r="E3673" t="inlineStr">
        <is>
          <t>TORSBY</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25528-2020</t>
        </is>
      </c>
      <c r="B3674" s="1" t="n">
        <v>43983</v>
      </c>
      <c r="C3674" s="1" t="n">
        <v>45353</v>
      </c>
      <c r="D3674" t="inlineStr">
        <is>
          <t>VÄRMLANDS LÄN</t>
        </is>
      </c>
      <c r="E3674" t="inlineStr">
        <is>
          <t>FILIPSTAD</t>
        </is>
      </c>
      <c r="F3674" t="inlineStr">
        <is>
          <t>Bergvik skog väst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25571-2020</t>
        </is>
      </c>
      <c r="B3675" s="1" t="n">
        <v>43983</v>
      </c>
      <c r="C3675" s="1" t="n">
        <v>45353</v>
      </c>
      <c r="D3675" t="inlineStr">
        <is>
          <t>VÄRMLANDS LÄN</t>
        </is>
      </c>
      <c r="E3675" t="inlineStr">
        <is>
          <t>SÄFFLE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25860-2020</t>
        </is>
      </c>
      <c r="B3676" s="1" t="n">
        <v>43983</v>
      </c>
      <c r="C3676" s="1" t="n">
        <v>45353</v>
      </c>
      <c r="D3676" t="inlineStr">
        <is>
          <t>VÄRMLANDS LÄN</t>
        </is>
      </c>
      <c r="E3676" t="inlineStr">
        <is>
          <t>KRISTINEHAMN</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26113-2020</t>
        </is>
      </c>
      <c r="B3677" s="1" t="n">
        <v>43984</v>
      </c>
      <c r="C3677" s="1" t="n">
        <v>45353</v>
      </c>
      <c r="D3677" t="inlineStr">
        <is>
          <t>VÄRMLANDS LÄN</t>
        </is>
      </c>
      <c r="E3677" t="inlineStr">
        <is>
          <t>KARLSTAD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25971-2020</t>
        </is>
      </c>
      <c r="B3678" s="1" t="n">
        <v>43985</v>
      </c>
      <c r="C3678" s="1" t="n">
        <v>45353</v>
      </c>
      <c r="D3678" t="inlineStr">
        <is>
          <t>VÄRMLANDS LÄN</t>
        </is>
      </c>
      <c r="E3678" t="inlineStr">
        <is>
          <t>FILIPSTAD</t>
        </is>
      </c>
      <c r="F3678" t="inlineStr">
        <is>
          <t>Bergvik skog väst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25977-2020</t>
        </is>
      </c>
      <c r="B3679" s="1" t="n">
        <v>43985</v>
      </c>
      <c r="C3679" s="1" t="n">
        <v>45353</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26132-2020</t>
        </is>
      </c>
      <c r="B3680" s="1" t="n">
        <v>43985</v>
      </c>
      <c r="C3680" s="1" t="n">
        <v>45353</v>
      </c>
      <c r="D3680" t="inlineStr">
        <is>
          <t>VÄRMLANDS LÄN</t>
        </is>
      </c>
      <c r="E3680" t="inlineStr">
        <is>
          <t>ÅRJÄNG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25959-2020</t>
        </is>
      </c>
      <c r="B3681" s="1" t="n">
        <v>43985</v>
      </c>
      <c r="C3681" s="1" t="n">
        <v>45353</v>
      </c>
      <c r="D3681" t="inlineStr">
        <is>
          <t>VÄRMLANDS LÄN</t>
        </is>
      </c>
      <c r="E3681" t="inlineStr">
        <is>
          <t>SUNNE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25976-2020</t>
        </is>
      </c>
      <c r="B3682" s="1" t="n">
        <v>43985</v>
      </c>
      <c r="C3682" s="1" t="n">
        <v>45353</v>
      </c>
      <c r="D3682" t="inlineStr">
        <is>
          <t>VÄRMLANDS LÄN</t>
        </is>
      </c>
      <c r="E3682" t="inlineStr">
        <is>
          <t>STORFORS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26111-2020</t>
        </is>
      </c>
      <c r="B3683" s="1" t="n">
        <v>43985</v>
      </c>
      <c r="C3683" s="1" t="n">
        <v>45353</v>
      </c>
      <c r="D3683" t="inlineStr">
        <is>
          <t>VÄRMLANDS LÄN</t>
        </is>
      </c>
      <c r="E3683" t="inlineStr">
        <is>
          <t>EDA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25953-2020</t>
        </is>
      </c>
      <c r="B3684" s="1" t="n">
        <v>43985</v>
      </c>
      <c r="C3684" s="1" t="n">
        <v>45353</v>
      </c>
      <c r="D3684" t="inlineStr">
        <is>
          <t>VÄRMLANDS LÄN</t>
        </is>
      </c>
      <c r="E3684" t="inlineStr">
        <is>
          <t>ARVIKA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26202-2020</t>
        </is>
      </c>
      <c r="B3685" s="1" t="n">
        <v>43986</v>
      </c>
      <c r="C3685" s="1" t="n">
        <v>45353</v>
      </c>
      <c r="D3685" t="inlineStr">
        <is>
          <t>VÄRMLANDS LÄN</t>
        </is>
      </c>
      <c r="E3685" t="inlineStr">
        <is>
          <t>ÅRJÄNG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26915-2020</t>
        </is>
      </c>
      <c r="B3686" s="1" t="n">
        <v>43986</v>
      </c>
      <c r="C3686" s="1" t="n">
        <v>45353</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26926-2020</t>
        </is>
      </c>
      <c r="B3687" s="1" t="n">
        <v>43986</v>
      </c>
      <c r="C3687" s="1" t="n">
        <v>45353</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26919-2020</t>
        </is>
      </c>
      <c r="B3688" s="1" t="n">
        <v>43986</v>
      </c>
      <c r="C3688" s="1" t="n">
        <v>45353</v>
      </c>
      <c r="D3688" t="inlineStr">
        <is>
          <t>VÄRMLANDS LÄN</t>
        </is>
      </c>
      <c r="E3688" t="inlineStr">
        <is>
          <t>TORSBY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26440-2020</t>
        </is>
      </c>
      <c r="B3689" s="1" t="n">
        <v>43987</v>
      </c>
      <c r="C3689" s="1" t="n">
        <v>45353</v>
      </c>
      <c r="D3689" t="inlineStr">
        <is>
          <t>VÄRMLANDS LÄN</t>
        </is>
      </c>
      <c r="E3689" t="inlineStr">
        <is>
          <t>FILIPSTAD</t>
        </is>
      </c>
      <c r="F3689" t="inlineStr">
        <is>
          <t>Bergvik skog väst AB</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26516-2020</t>
        </is>
      </c>
      <c r="B3690" s="1" t="n">
        <v>43987</v>
      </c>
      <c r="C3690" s="1" t="n">
        <v>45353</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26545-2020</t>
        </is>
      </c>
      <c r="B3691" s="1" t="n">
        <v>43987</v>
      </c>
      <c r="C3691" s="1" t="n">
        <v>45353</v>
      </c>
      <c r="D3691" t="inlineStr">
        <is>
          <t>VÄRMLANDS LÄN</t>
        </is>
      </c>
      <c r="E3691" t="inlineStr">
        <is>
          <t>FILIPSTAD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26517-2020</t>
        </is>
      </c>
      <c r="B3692" s="1" t="n">
        <v>43987</v>
      </c>
      <c r="C3692" s="1" t="n">
        <v>45353</v>
      </c>
      <c r="D3692" t="inlineStr">
        <is>
          <t>VÄRMLANDS LÄN</t>
        </is>
      </c>
      <c r="E3692" t="inlineStr">
        <is>
          <t>FILIPSTAD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26547-2020</t>
        </is>
      </c>
      <c r="B3693" s="1" t="n">
        <v>43987</v>
      </c>
      <c r="C3693" s="1" t="n">
        <v>45353</v>
      </c>
      <c r="D3693" t="inlineStr">
        <is>
          <t>VÄRMLANDS LÄN</t>
        </is>
      </c>
      <c r="E3693" t="inlineStr">
        <is>
          <t>ARVIKA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26512-2020</t>
        </is>
      </c>
      <c r="B3694" s="1" t="n">
        <v>43987</v>
      </c>
      <c r="C3694" s="1" t="n">
        <v>45353</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26786-2020</t>
        </is>
      </c>
      <c r="B3695" s="1" t="n">
        <v>43987</v>
      </c>
      <c r="C3695" s="1" t="n">
        <v>45353</v>
      </c>
      <c r="D3695" t="inlineStr">
        <is>
          <t>VÄRMLANDS LÄN</t>
        </is>
      </c>
      <c r="E3695" t="inlineStr">
        <is>
          <t>KARLSTAD</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26666-2020</t>
        </is>
      </c>
      <c r="B3696" s="1" t="n">
        <v>43989</v>
      </c>
      <c r="C3696" s="1" t="n">
        <v>45353</v>
      </c>
      <c r="D3696" t="inlineStr">
        <is>
          <t>VÄRMLANDS LÄN</t>
        </is>
      </c>
      <c r="E3696" t="inlineStr">
        <is>
          <t>TORSBY</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26864-2020</t>
        </is>
      </c>
      <c r="B3697" s="1" t="n">
        <v>43990</v>
      </c>
      <c r="C3697" s="1" t="n">
        <v>45353</v>
      </c>
      <c r="D3697" t="inlineStr">
        <is>
          <t>VÄRMLANDS LÄN</t>
        </is>
      </c>
      <c r="E3697" t="inlineStr">
        <is>
          <t>STORFORS</t>
        </is>
      </c>
      <c r="F3697" t="inlineStr">
        <is>
          <t>Naturvårdsverket</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26719-2020</t>
        </is>
      </c>
      <c r="B3698" s="1" t="n">
        <v>43990</v>
      </c>
      <c r="C3698" s="1" t="n">
        <v>45353</v>
      </c>
      <c r="D3698" t="inlineStr">
        <is>
          <t>VÄRMLANDS LÄN</t>
        </is>
      </c>
      <c r="E3698" t="inlineStr">
        <is>
          <t>SUNNE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26892-2020</t>
        </is>
      </c>
      <c r="B3699" s="1" t="n">
        <v>43990</v>
      </c>
      <c r="C3699" s="1" t="n">
        <v>45353</v>
      </c>
      <c r="D3699" t="inlineStr">
        <is>
          <t>VÄRMLANDS LÄN</t>
        </is>
      </c>
      <c r="E3699" t="inlineStr">
        <is>
          <t>STORFORS</t>
        </is>
      </c>
      <c r="F3699" t="inlineStr">
        <is>
          <t>Naturvårdsverket</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27339-2020</t>
        </is>
      </c>
      <c r="B3700" s="1" t="n">
        <v>43990</v>
      </c>
      <c r="C3700" s="1" t="n">
        <v>45353</v>
      </c>
      <c r="D3700" t="inlineStr">
        <is>
          <t>VÄRMLANDS LÄN</t>
        </is>
      </c>
      <c r="E3700" t="inlineStr">
        <is>
          <t>TORSBY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27009-2020</t>
        </is>
      </c>
      <c r="B3701" s="1" t="n">
        <v>43991</v>
      </c>
      <c r="C3701" s="1" t="n">
        <v>45353</v>
      </c>
      <c r="D3701" t="inlineStr">
        <is>
          <t>VÄRMLANDS LÄN</t>
        </is>
      </c>
      <c r="E3701" t="inlineStr">
        <is>
          <t>TORSBY</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27248-2020</t>
        </is>
      </c>
      <c r="B3702" s="1" t="n">
        <v>43991</v>
      </c>
      <c r="C3702" s="1" t="n">
        <v>45353</v>
      </c>
      <c r="D3702" t="inlineStr">
        <is>
          <t>VÄRMLANDS LÄN</t>
        </is>
      </c>
      <c r="E3702" t="inlineStr">
        <is>
          <t>KARLSTAD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27225-2020</t>
        </is>
      </c>
      <c r="B3703" s="1" t="n">
        <v>43992</v>
      </c>
      <c r="C3703" s="1" t="n">
        <v>45353</v>
      </c>
      <c r="D3703" t="inlineStr">
        <is>
          <t>VÄRMLANDS LÄN</t>
        </is>
      </c>
      <c r="E3703" t="inlineStr">
        <is>
          <t>KARLSTAD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27333-2020</t>
        </is>
      </c>
      <c r="B3704" s="1" t="n">
        <v>43992</v>
      </c>
      <c r="C3704" s="1" t="n">
        <v>45353</v>
      </c>
      <c r="D3704" t="inlineStr">
        <is>
          <t>VÄRMLANDS LÄN</t>
        </is>
      </c>
      <c r="E3704" t="inlineStr">
        <is>
          <t>GRUMS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27224-2020</t>
        </is>
      </c>
      <c r="B3705" s="1" t="n">
        <v>43992</v>
      </c>
      <c r="C3705" s="1" t="n">
        <v>45353</v>
      </c>
      <c r="D3705" t="inlineStr">
        <is>
          <t>VÄRMLANDS LÄN</t>
        </is>
      </c>
      <c r="E3705" t="inlineStr">
        <is>
          <t>KARLSTAD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27356-2020</t>
        </is>
      </c>
      <c r="B3706" s="1" t="n">
        <v>43992</v>
      </c>
      <c r="C3706" s="1" t="n">
        <v>45353</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27521-2020</t>
        </is>
      </c>
      <c r="B3707" s="1" t="n">
        <v>43993</v>
      </c>
      <c r="C3707" s="1" t="n">
        <v>45353</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27474-2020</t>
        </is>
      </c>
      <c r="B3708" s="1" t="n">
        <v>43993</v>
      </c>
      <c r="C3708" s="1" t="n">
        <v>45353</v>
      </c>
      <c r="D3708" t="inlineStr">
        <is>
          <t>VÄRMLANDS LÄN</t>
        </is>
      </c>
      <c r="E3708" t="inlineStr">
        <is>
          <t>ARVIKA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27484-2020</t>
        </is>
      </c>
      <c r="B3709" s="1" t="n">
        <v>43993</v>
      </c>
      <c r="C3709" s="1" t="n">
        <v>45353</v>
      </c>
      <c r="D3709" t="inlineStr">
        <is>
          <t>VÄRMLANDS LÄN</t>
        </is>
      </c>
      <c r="E3709" t="inlineStr">
        <is>
          <t>EDA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27549-2020</t>
        </is>
      </c>
      <c r="B3710" s="1" t="n">
        <v>43993</v>
      </c>
      <c r="C3710" s="1" t="n">
        <v>45353</v>
      </c>
      <c r="D3710" t="inlineStr">
        <is>
          <t>VÄRMLANDS LÄN</t>
        </is>
      </c>
      <c r="E3710" t="inlineStr">
        <is>
          <t>GRUMS</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27610-2020</t>
        </is>
      </c>
      <c r="B3711" s="1" t="n">
        <v>43993</v>
      </c>
      <c r="C3711" s="1" t="n">
        <v>45353</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27463-2020</t>
        </is>
      </c>
      <c r="B3712" s="1" t="n">
        <v>43993</v>
      </c>
      <c r="C3712" s="1" t="n">
        <v>45353</v>
      </c>
      <c r="D3712" t="inlineStr">
        <is>
          <t>VÄRMLANDS LÄN</t>
        </is>
      </c>
      <c r="E3712" t="inlineStr">
        <is>
          <t>KARLSTAD</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27568-2020</t>
        </is>
      </c>
      <c r="B3713" s="1" t="n">
        <v>43993</v>
      </c>
      <c r="C3713" s="1" t="n">
        <v>45353</v>
      </c>
      <c r="D3713" t="inlineStr">
        <is>
          <t>VÄRMLANDS LÄN</t>
        </is>
      </c>
      <c r="E3713" t="inlineStr">
        <is>
          <t>GRUMS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27592-2020</t>
        </is>
      </c>
      <c r="B3714" s="1" t="n">
        <v>43993</v>
      </c>
      <c r="C3714" s="1" t="n">
        <v>45353</v>
      </c>
      <c r="D3714" t="inlineStr">
        <is>
          <t>VÄRMLANDS LÄN</t>
        </is>
      </c>
      <c r="E3714" t="inlineStr">
        <is>
          <t>GRUMS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27680-2020</t>
        </is>
      </c>
      <c r="B3715" s="1" t="n">
        <v>43994</v>
      </c>
      <c r="C3715" s="1" t="n">
        <v>45353</v>
      </c>
      <c r="D3715" t="inlineStr">
        <is>
          <t>VÄRMLANDS LÄN</t>
        </is>
      </c>
      <c r="E3715" t="inlineStr">
        <is>
          <t>KRISTINEHAMN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27802-2020</t>
        </is>
      </c>
      <c r="B3716" s="1" t="n">
        <v>43994</v>
      </c>
      <c r="C3716" s="1" t="n">
        <v>45353</v>
      </c>
      <c r="D3716" t="inlineStr">
        <is>
          <t>VÄRMLANDS LÄN</t>
        </is>
      </c>
      <c r="E3716" t="inlineStr">
        <is>
          <t>KARLSTAD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27756-2020</t>
        </is>
      </c>
      <c r="B3717" s="1" t="n">
        <v>43994</v>
      </c>
      <c r="C3717" s="1" t="n">
        <v>45353</v>
      </c>
      <c r="D3717" t="inlineStr">
        <is>
          <t>VÄRMLANDS LÄN</t>
        </is>
      </c>
      <c r="E3717" t="inlineStr">
        <is>
          <t>ARVIKA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27797-2020</t>
        </is>
      </c>
      <c r="B3718" s="1" t="n">
        <v>43994</v>
      </c>
      <c r="C3718" s="1" t="n">
        <v>45353</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27804-2020</t>
        </is>
      </c>
      <c r="B3719" s="1" t="n">
        <v>43994</v>
      </c>
      <c r="C3719" s="1" t="n">
        <v>45353</v>
      </c>
      <c r="D3719" t="inlineStr">
        <is>
          <t>VÄRMLANDS LÄN</t>
        </is>
      </c>
      <c r="E3719" t="inlineStr">
        <is>
          <t>KARLSTAD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28132-2020</t>
        </is>
      </c>
      <c r="B3720" s="1" t="n">
        <v>43997</v>
      </c>
      <c r="C3720" s="1" t="n">
        <v>45353</v>
      </c>
      <c r="D3720" t="inlineStr">
        <is>
          <t>VÄRMLANDS LÄN</t>
        </is>
      </c>
      <c r="E3720" t="inlineStr">
        <is>
          <t>HAGFORS</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28192-2020</t>
        </is>
      </c>
      <c r="B3721" s="1" t="n">
        <v>43997</v>
      </c>
      <c r="C3721" s="1" t="n">
        <v>45353</v>
      </c>
      <c r="D3721" t="inlineStr">
        <is>
          <t>VÄRMLANDS LÄN</t>
        </is>
      </c>
      <c r="E3721" t="inlineStr">
        <is>
          <t>EDA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28156-2020</t>
        </is>
      </c>
      <c r="B3722" s="1" t="n">
        <v>43997</v>
      </c>
      <c r="C3722" s="1" t="n">
        <v>45353</v>
      </c>
      <c r="D3722" t="inlineStr">
        <is>
          <t>VÄRMLANDS LÄN</t>
        </is>
      </c>
      <c r="E3722" t="inlineStr">
        <is>
          <t>SÄFFLE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27983-2020</t>
        </is>
      </c>
      <c r="B3723" s="1" t="n">
        <v>43997</v>
      </c>
      <c r="C3723" s="1" t="n">
        <v>45353</v>
      </c>
      <c r="D3723" t="inlineStr">
        <is>
          <t>VÄRMLANDS LÄN</t>
        </is>
      </c>
      <c r="E3723" t="inlineStr">
        <is>
          <t>SÄFFLE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28301-2020</t>
        </is>
      </c>
      <c r="B3724" s="1" t="n">
        <v>43998</v>
      </c>
      <c r="C3724" s="1" t="n">
        <v>45353</v>
      </c>
      <c r="D3724" t="inlineStr">
        <is>
          <t>VÄRMLANDS LÄN</t>
        </is>
      </c>
      <c r="E3724" t="inlineStr">
        <is>
          <t>FILIPSTAD</t>
        </is>
      </c>
      <c r="F3724" t="inlineStr">
        <is>
          <t>Bergvik skog väst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28387-2020</t>
        </is>
      </c>
      <c r="B3725" s="1" t="n">
        <v>43998</v>
      </c>
      <c r="C3725" s="1" t="n">
        <v>45353</v>
      </c>
      <c r="D3725" t="inlineStr">
        <is>
          <t>VÄRMLANDS LÄN</t>
        </is>
      </c>
      <c r="E3725" t="inlineStr">
        <is>
          <t>KRISTINEHAMN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28397-2020</t>
        </is>
      </c>
      <c r="B3726" s="1" t="n">
        <v>43998</v>
      </c>
      <c r="C3726" s="1" t="n">
        <v>45353</v>
      </c>
      <c r="D3726" t="inlineStr">
        <is>
          <t>VÄRMLANDS LÄN</t>
        </is>
      </c>
      <c r="E3726" t="inlineStr">
        <is>
          <t>TORSBY</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28416-2020</t>
        </is>
      </c>
      <c r="B3727" s="1" t="n">
        <v>43998</v>
      </c>
      <c r="C3727" s="1" t="n">
        <v>45353</v>
      </c>
      <c r="D3727" t="inlineStr">
        <is>
          <t>VÄRMLANDS LÄN</t>
        </is>
      </c>
      <c r="E3727" t="inlineStr">
        <is>
          <t>TORSBY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28522-2020</t>
        </is>
      </c>
      <c r="B3728" s="1" t="n">
        <v>43999</v>
      </c>
      <c r="C3728" s="1" t="n">
        <v>45353</v>
      </c>
      <c r="D3728" t="inlineStr">
        <is>
          <t>VÄRMLANDS LÄN</t>
        </is>
      </c>
      <c r="E3728" t="inlineStr">
        <is>
          <t>FILIPSTAD</t>
        </is>
      </c>
      <c r="F3728" t="inlineStr">
        <is>
          <t>Bergvik skog väst AB</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28703-2020</t>
        </is>
      </c>
      <c r="B3729" s="1" t="n">
        <v>43999</v>
      </c>
      <c r="C3729" s="1" t="n">
        <v>45353</v>
      </c>
      <c r="D3729" t="inlineStr">
        <is>
          <t>VÄRMLANDS LÄN</t>
        </is>
      </c>
      <c r="E3729" t="inlineStr">
        <is>
          <t>TORSBY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28594-2020</t>
        </is>
      </c>
      <c r="B3730" s="1" t="n">
        <v>43999</v>
      </c>
      <c r="C3730" s="1" t="n">
        <v>45353</v>
      </c>
      <c r="D3730" t="inlineStr">
        <is>
          <t>VÄRMLANDS LÄN</t>
        </is>
      </c>
      <c r="E3730" t="inlineStr">
        <is>
          <t>ARVIKA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28493-2020</t>
        </is>
      </c>
      <c r="B3731" s="1" t="n">
        <v>43999</v>
      </c>
      <c r="C3731" s="1" t="n">
        <v>45353</v>
      </c>
      <c r="D3731" t="inlineStr">
        <is>
          <t>VÄRMLANDS LÄN</t>
        </is>
      </c>
      <c r="E3731" t="inlineStr">
        <is>
          <t>KRISTINEHAMN</t>
        </is>
      </c>
      <c r="F3731" t="inlineStr">
        <is>
          <t>Kommuner</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28517-2020</t>
        </is>
      </c>
      <c r="B3732" s="1" t="n">
        <v>43999</v>
      </c>
      <c r="C3732" s="1" t="n">
        <v>45353</v>
      </c>
      <c r="D3732" t="inlineStr">
        <is>
          <t>VÄRMLANDS LÄN</t>
        </is>
      </c>
      <c r="E3732" t="inlineStr">
        <is>
          <t>HAGFORS</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28719-2020</t>
        </is>
      </c>
      <c r="B3733" s="1" t="n">
        <v>43999</v>
      </c>
      <c r="C3733" s="1" t="n">
        <v>45353</v>
      </c>
      <c r="D3733" t="inlineStr">
        <is>
          <t>VÄRMLANDS LÄN</t>
        </is>
      </c>
      <c r="E3733" t="inlineStr">
        <is>
          <t>EDA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28827-2020</t>
        </is>
      </c>
      <c r="B3734" s="1" t="n">
        <v>44000</v>
      </c>
      <c r="C3734" s="1" t="n">
        <v>45353</v>
      </c>
      <c r="D3734" t="inlineStr">
        <is>
          <t>VÄRMLANDS LÄN</t>
        </is>
      </c>
      <c r="E3734" t="inlineStr">
        <is>
          <t>HAGFORS</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28849-2020</t>
        </is>
      </c>
      <c r="B3735" s="1" t="n">
        <v>44000</v>
      </c>
      <c r="C3735" s="1" t="n">
        <v>45353</v>
      </c>
      <c r="D3735" t="inlineStr">
        <is>
          <t>VÄRMLANDS LÄN</t>
        </is>
      </c>
      <c r="E3735" t="inlineStr">
        <is>
          <t>TORSBY</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28878-2020</t>
        </is>
      </c>
      <c r="B3736" s="1" t="n">
        <v>44000</v>
      </c>
      <c r="C3736" s="1" t="n">
        <v>45353</v>
      </c>
      <c r="D3736" t="inlineStr">
        <is>
          <t>VÄRMLANDS LÄN</t>
        </is>
      </c>
      <c r="E3736" t="inlineStr">
        <is>
          <t>GRUMS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28897-2020</t>
        </is>
      </c>
      <c r="B3737" s="1" t="n">
        <v>44000</v>
      </c>
      <c r="C3737" s="1" t="n">
        <v>45353</v>
      </c>
      <c r="D3737" t="inlineStr">
        <is>
          <t>VÄRMLANDS LÄN</t>
        </is>
      </c>
      <c r="E3737" t="inlineStr">
        <is>
          <t>TORSBY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28877-2020</t>
        </is>
      </c>
      <c r="B3738" s="1" t="n">
        <v>44000</v>
      </c>
      <c r="C3738" s="1" t="n">
        <v>45353</v>
      </c>
      <c r="D3738" t="inlineStr">
        <is>
          <t>VÄRMLANDS LÄN</t>
        </is>
      </c>
      <c r="E3738" t="inlineStr">
        <is>
          <t>MUNKFORS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28911-2020</t>
        </is>
      </c>
      <c r="B3739" s="1" t="n">
        <v>44000</v>
      </c>
      <c r="C3739" s="1" t="n">
        <v>45353</v>
      </c>
      <c r="D3739" t="inlineStr">
        <is>
          <t>VÄRMLANDS LÄN</t>
        </is>
      </c>
      <c r="E3739" t="inlineStr">
        <is>
          <t>TORSBY</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28976-2020</t>
        </is>
      </c>
      <c r="B3740" s="1" t="n">
        <v>44000</v>
      </c>
      <c r="C3740" s="1" t="n">
        <v>45353</v>
      </c>
      <c r="D3740" t="inlineStr">
        <is>
          <t>VÄRMLANDS LÄN</t>
        </is>
      </c>
      <c r="E3740" t="inlineStr">
        <is>
          <t>TORSBY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28851-2020</t>
        </is>
      </c>
      <c r="B3741" s="1" t="n">
        <v>44000</v>
      </c>
      <c r="C3741" s="1" t="n">
        <v>45353</v>
      </c>
      <c r="D3741" t="inlineStr">
        <is>
          <t>VÄRMLANDS LÄN</t>
        </is>
      </c>
      <c r="E3741" t="inlineStr">
        <is>
          <t>HAGFORS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28987-2020</t>
        </is>
      </c>
      <c r="B3742" s="1" t="n">
        <v>44000</v>
      </c>
      <c r="C3742" s="1" t="n">
        <v>45353</v>
      </c>
      <c r="D3742" t="inlineStr">
        <is>
          <t>VÄRMLANDS LÄN</t>
        </is>
      </c>
      <c r="E3742" t="inlineStr">
        <is>
          <t>TORSBY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29414-2020</t>
        </is>
      </c>
      <c r="B3743" s="1" t="n">
        <v>44000</v>
      </c>
      <c r="C3743" s="1" t="n">
        <v>45353</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29108-2020</t>
        </is>
      </c>
      <c r="B3744" s="1" t="n">
        <v>44003</v>
      </c>
      <c r="C3744" s="1" t="n">
        <v>45353</v>
      </c>
      <c r="D3744" t="inlineStr">
        <is>
          <t>VÄRMLANDS LÄN</t>
        </is>
      </c>
      <c r="E3744" t="inlineStr">
        <is>
          <t>STORFORS</t>
        </is>
      </c>
      <c r="F3744" t="inlineStr">
        <is>
          <t>Bergvik skog väst AB</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29222-2020</t>
        </is>
      </c>
      <c r="B3745" s="1" t="n">
        <v>44004</v>
      </c>
      <c r="C3745" s="1" t="n">
        <v>45353</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29380-2020</t>
        </is>
      </c>
      <c r="B3746" s="1" t="n">
        <v>44004</v>
      </c>
      <c r="C3746" s="1" t="n">
        <v>45353</v>
      </c>
      <c r="D3746" t="inlineStr">
        <is>
          <t>VÄRMLANDS LÄN</t>
        </is>
      </c>
      <c r="E3746" t="inlineStr">
        <is>
          <t>EDA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29418-2020</t>
        </is>
      </c>
      <c r="B3747" s="1" t="n">
        <v>44004</v>
      </c>
      <c r="C3747" s="1" t="n">
        <v>45353</v>
      </c>
      <c r="D3747" t="inlineStr">
        <is>
          <t>VÄRMLANDS LÄN</t>
        </is>
      </c>
      <c r="E3747" t="inlineStr">
        <is>
          <t>ARVIKA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29424-2020</t>
        </is>
      </c>
      <c r="B3748" s="1" t="n">
        <v>44004</v>
      </c>
      <c r="C3748" s="1" t="n">
        <v>45353</v>
      </c>
      <c r="D3748" t="inlineStr">
        <is>
          <t>VÄRMLANDS LÄN</t>
        </is>
      </c>
      <c r="E3748" t="inlineStr">
        <is>
          <t>ARVIKA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29374-2020</t>
        </is>
      </c>
      <c r="B3749" s="1" t="n">
        <v>44004</v>
      </c>
      <c r="C3749" s="1" t="n">
        <v>45353</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29409-2020</t>
        </is>
      </c>
      <c r="B3750" s="1" t="n">
        <v>44004</v>
      </c>
      <c r="C3750" s="1" t="n">
        <v>45353</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29438-2020</t>
        </is>
      </c>
      <c r="B3751" s="1" t="n">
        <v>44004</v>
      </c>
      <c r="C3751" s="1" t="n">
        <v>45353</v>
      </c>
      <c r="D3751" t="inlineStr">
        <is>
          <t>VÄRMLANDS LÄN</t>
        </is>
      </c>
      <c r="E3751" t="inlineStr">
        <is>
          <t>ÅRJÄNG</t>
        </is>
      </c>
      <c r="G3751" t="n">
        <v>12.8</v>
      </c>
      <c r="H3751" t="n">
        <v>0</v>
      </c>
      <c r="I3751" t="n">
        <v>0</v>
      </c>
      <c r="J3751" t="n">
        <v>0</v>
      </c>
      <c r="K3751" t="n">
        <v>0</v>
      </c>
      <c r="L3751" t="n">
        <v>0</v>
      </c>
      <c r="M3751" t="n">
        <v>0</v>
      </c>
      <c r="N3751" t="n">
        <v>0</v>
      </c>
      <c r="O3751" t="n">
        <v>0</v>
      </c>
      <c r="P3751" t="n">
        <v>0</v>
      </c>
      <c r="Q3751" t="n">
        <v>0</v>
      </c>
      <c r="R3751" s="2" t="inlineStr"/>
    </row>
    <row r="3752" ht="15" customHeight="1">
      <c r="A3752" t="inlineStr">
        <is>
          <t>A 29465-2020</t>
        </is>
      </c>
      <c r="B3752" s="1" t="n">
        <v>44004</v>
      </c>
      <c r="C3752" s="1" t="n">
        <v>45353</v>
      </c>
      <c r="D3752" t="inlineStr">
        <is>
          <t>VÄRMLANDS LÄN</t>
        </is>
      </c>
      <c r="E3752" t="inlineStr">
        <is>
          <t>FORSHAGA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29667-2020</t>
        </is>
      </c>
      <c r="B3753" s="1" t="n">
        <v>44004</v>
      </c>
      <c r="C3753" s="1" t="n">
        <v>45353</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29568-2020</t>
        </is>
      </c>
      <c r="B3754" s="1" t="n">
        <v>44004</v>
      </c>
      <c r="C3754" s="1" t="n">
        <v>45353</v>
      </c>
      <c r="D3754" t="inlineStr">
        <is>
          <t>VÄRMLANDS LÄN</t>
        </is>
      </c>
      <c r="E3754" t="inlineStr">
        <is>
          <t>KARLSTAD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29725-2020</t>
        </is>
      </c>
      <c r="B3755" s="1" t="n">
        <v>44005</v>
      </c>
      <c r="C3755" s="1" t="n">
        <v>45353</v>
      </c>
      <c r="D3755" t="inlineStr">
        <is>
          <t>VÄRMLANDS LÄN</t>
        </is>
      </c>
      <c r="E3755" t="inlineStr">
        <is>
          <t>ÅRJÄNG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29681-2020</t>
        </is>
      </c>
      <c r="B3756" s="1" t="n">
        <v>44005</v>
      </c>
      <c r="C3756" s="1" t="n">
        <v>45353</v>
      </c>
      <c r="D3756" t="inlineStr">
        <is>
          <t>VÄRMLANDS LÄN</t>
        </is>
      </c>
      <c r="E3756" t="inlineStr">
        <is>
          <t>KARLSTAD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29854-2020</t>
        </is>
      </c>
      <c r="B3757" s="1" t="n">
        <v>44005</v>
      </c>
      <c r="C3757" s="1" t="n">
        <v>45353</v>
      </c>
      <c r="D3757" t="inlineStr">
        <is>
          <t>VÄRMLANDS LÄN</t>
        </is>
      </c>
      <c r="E3757" t="inlineStr">
        <is>
          <t>FORSHAGA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29808-2020</t>
        </is>
      </c>
      <c r="B3758" s="1" t="n">
        <v>44006</v>
      </c>
      <c r="C3758" s="1" t="n">
        <v>45353</v>
      </c>
      <c r="D3758" t="inlineStr">
        <is>
          <t>VÄRMLANDS LÄN</t>
        </is>
      </c>
      <c r="E3758" t="inlineStr">
        <is>
          <t>ÅRJÄNG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29819-2020</t>
        </is>
      </c>
      <c r="B3759" s="1" t="n">
        <v>44006</v>
      </c>
      <c r="C3759" s="1" t="n">
        <v>45353</v>
      </c>
      <c r="D3759" t="inlineStr">
        <is>
          <t>VÄRMLANDS LÄN</t>
        </is>
      </c>
      <c r="E3759" t="inlineStr">
        <is>
          <t>ÅRJÄNG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29890-2020</t>
        </is>
      </c>
      <c r="B3760" s="1" t="n">
        <v>44006</v>
      </c>
      <c r="C3760" s="1" t="n">
        <v>45353</v>
      </c>
      <c r="D3760" t="inlineStr">
        <is>
          <t>VÄRMLANDS LÄN</t>
        </is>
      </c>
      <c r="E3760" t="inlineStr">
        <is>
          <t>STORFORS</t>
        </is>
      </c>
      <c r="F3760" t="inlineStr">
        <is>
          <t>Bergvik skog väst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29829-2020</t>
        </is>
      </c>
      <c r="B3761" s="1" t="n">
        <v>44006</v>
      </c>
      <c r="C3761" s="1" t="n">
        <v>45353</v>
      </c>
      <c r="D3761" t="inlineStr">
        <is>
          <t>VÄRMLANDS LÄN</t>
        </is>
      </c>
      <c r="E3761" t="inlineStr">
        <is>
          <t>ÅRJÄNG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30017-2020</t>
        </is>
      </c>
      <c r="B3762" s="1" t="n">
        <v>44006</v>
      </c>
      <c r="C3762" s="1" t="n">
        <v>45353</v>
      </c>
      <c r="D3762" t="inlineStr">
        <is>
          <t>VÄRMLANDS LÄN</t>
        </is>
      </c>
      <c r="E3762" t="inlineStr">
        <is>
          <t>FILIPSTAD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29976-2020</t>
        </is>
      </c>
      <c r="B3763" s="1" t="n">
        <v>44006</v>
      </c>
      <c r="C3763" s="1" t="n">
        <v>45353</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30028-2020</t>
        </is>
      </c>
      <c r="B3764" s="1" t="n">
        <v>44006</v>
      </c>
      <c r="C3764" s="1" t="n">
        <v>45353</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30085-2020</t>
        </is>
      </c>
      <c r="B3765" s="1" t="n">
        <v>44006</v>
      </c>
      <c r="C3765" s="1" t="n">
        <v>45353</v>
      </c>
      <c r="D3765" t="inlineStr">
        <is>
          <t>VÄRMLANDS LÄN</t>
        </is>
      </c>
      <c r="E3765" t="inlineStr">
        <is>
          <t>FILIPSTAD</t>
        </is>
      </c>
      <c r="F3765" t="inlineStr">
        <is>
          <t>Bergvik skog väst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30007-2020</t>
        </is>
      </c>
      <c r="B3766" s="1" t="n">
        <v>44006</v>
      </c>
      <c r="C3766" s="1" t="n">
        <v>45353</v>
      </c>
      <c r="D3766" t="inlineStr">
        <is>
          <t>VÄRMLANDS LÄN</t>
        </is>
      </c>
      <c r="E3766" t="inlineStr">
        <is>
          <t>FILIPSTAD</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29970-2020</t>
        </is>
      </c>
      <c r="B3767" s="1" t="n">
        <v>44006</v>
      </c>
      <c r="C3767" s="1" t="n">
        <v>45353</v>
      </c>
      <c r="D3767" t="inlineStr">
        <is>
          <t>VÄRMLANDS LÄN</t>
        </is>
      </c>
      <c r="E3767" t="inlineStr">
        <is>
          <t>TORSBY</t>
        </is>
      </c>
      <c r="F3767" t="inlineStr">
        <is>
          <t>Bergvik skog väst AB</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30291-2020</t>
        </is>
      </c>
      <c r="B3768" s="1" t="n">
        <v>44007</v>
      </c>
      <c r="C3768" s="1" t="n">
        <v>45353</v>
      </c>
      <c r="D3768" t="inlineStr">
        <is>
          <t>VÄRMLANDS LÄN</t>
        </is>
      </c>
      <c r="E3768" t="inlineStr">
        <is>
          <t>EDA</t>
        </is>
      </c>
      <c r="F3768" t="inlineStr">
        <is>
          <t>Kommuner</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30549-2020</t>
        </is>
      </c>
      <c r="B3769" s="1" t="n">
        <v>44007</v>
      </c>
      <c r="C3769" s="1" t="n">
        <v>45353</v>
      </c>
      <c r="D3769" t="inlineStr">
        <is>
          <t>VÄRMLANDS LÄN</t>
        </is>
      </c>
      <c r="E3769" t="inlineStr">
        <is>
          <t>SUNNE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30684-2020</t>
        </is>
      </c>
      <c r="B3770" s="1" t="n">
        <v>44008</v>
      </c>
      <c r="C3770" s="1" t="n">
        <v>45353</v>
      </c>
      <c r="D3770" t="inlineStr">
        <is>
          <t>VÄRMLANDS LÄN</t>
        </is>
      </c>
      <c r="E3770" t="inlineStr">
        <is>
          <t>ARVIKA</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30543-2020</t>
        </is>
      </c>
      <c r="B3771" s="1" t="n">
        <v>44008</v>
      </c>
      <c r="C3771" s="1" t="n">
        <v>45353</v>
      </c>
      <c r="D3771" t="inlineStr">
        <is>
          <t>VÄRMLANDS LÄN</t>
        </is>
      </c>
      <c r="E3771" t="inlineStr">
        <is>
          <t>EDA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30572-2020</t>
        </is>
      </c>
      <c r="B3772" s="1" t="n">
        <v>44008</v>
      </c>
      <c r="C3772" s="1" t="n">
        <v>45353</v>
      </c>
      <c r="D3772" t="inlineStr">
        <is>
          <t>VÄRMLANDS LÄN</t>
        </is>
      </c>
      <c r="E3772" t="inlineStr">
        <is>
          <t>TORSBY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30690-2020</t>
        </is>
      </c>
      <c r="B3773" s="1" t="n">
        <v>44008</v>
      </c>
      <c r="C3773" s="1" t="n">
        <v>45353</v>
      </c>
      <c r="D3773" t="inlineStr">
        <is>
          <t>VÄRMLANDS LÄN</t>
        </is>
      </c>
      <c r="E3773" t="inlineStr">
        <is>
          <t>ARVIKA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30768-2020</t>
        </is>
      </c>
      <c r="B3774" s="1" t="n">
        <v>44008</v>
      </c>
      <c r="C3774" s="1" t="n">
        <v>45353</v>
      </c>
      <c r="D3774" t="inlineStr">
        <is>
          <t>VÄRMLANDS LÄN</t>
        </is>
      </c>
      <c r="E3774" t="inlineStr">
        <is>
          <t>FILIPSTAD</t>
        </is>
      </c>
      <c r="F3774" t="inlineStr">
        <is>
          <t>Bergvik skog väst AB</t>
        </is>
      </c>
      <c r="G3774" t="n">
        <v>21.9</v>
      </c>
      <c r="H3774" t="n">
        <v>0</v>
      </c>
      <c r="I3774" t="n">
        <v>0</v>
      </c>
      <c r="J3774" t="n">
        <v>0</v>
      </c>
      <c r="K3774" t="n">
        <v>0</v>
      </c>
      <c r="L3774" t="n">
        <v>0</v>
      </c>
      <c r="M3774" t="n">
        <v>0</v>
      </c>
      <c r="N3774" t="n">
        <v>0</v>
      </c>
      <c r="O3774" t="n">
        <v>0</v>
      </c>
      <c r="P3774" t="n">
        <v>0</v>
      </c>
      <c r="Q3774" t="n">
        <v>0</v>
      </c>
      <c r="R3774" s="2" t="inlineStr"/>
    </row>
    <row r="3775" ht="15" customHeight="1">
      <c r="A3775" t="inlineStr">
        <is>
          <t>A 30767-2020</t>
        </is>
      </c>
      <c r="B3775" s="1" t="n">
        <v>44008</v>
      </c>
      <c r="C3775" s="1" t="n">
        <v>45353</v>
      </c>
      <c r="D3775" t="inlineStr">
        <is>
          <t>VÄRMLANDS LÄN</t>
        </is>
      </c>
      <c r="E3775" t="inlineStr">
        <is>
          <t>FILIPSTAD</t>
        </is>
      </c>
      <c r="F3775" t="inlineStr">
        <is>
          <t>Bergvik skog väst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30982-2020</t>
        </is>
      </c>
      <c r="B3776" s="1" t="n">
        <v>44011</v>
      </c>
      <c r="C3776" s="1" t="n">
        <v>45353</v>
      </c>
      <c r="D3776" t="inlineStr">
        <is>
          <t>VÄRMLANDS LÄN</t>
        </is>
      </c>
      <c r="E3776" t="inlineStr">
        <is>
          <t>HAGFORS</t>
        </is>
      </c>
      <c r="F3776" t="inlineStr">
        <is>
          <t>Bergvik skog väst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30996-2020</t>
        </is>
      </c>
      <c r="B3777" s="1" t="n">
        <v>44011</v>
      </c>
      <c r="C3777" s="1" t="n">
        <v>45353</v>
      </c>
      <c r="D3777" t="inlineStr">
        <is>
          <t>VÄRMLANDS LÄN</t>
        </is>
      </c>
      <c r="E3777" t="inlineStr">
        <is>
          <t>TORSBY</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30930-2020</t>
        </is>
      </c>
      <c r="B3778" s="1" t="n">
        <v>44011</v>
      </c>
      <c r="C3778" s="1" t="n">
        <v>45353</v>
      </c>
      <c r="D3778" t="inlineStr">
        <is>
          <t>VÄRMLANDS LÄN</t>
        </is>
      </c>
      <c r="E3778" t="inlineStr">
        <is>
          <t>TORSBY</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30960-2020</t>
        </is>
      </c>
      <c r="B3779" s="1" t="n">
        <v>44011</v>
      </c>
      <c r="C3779" s="1" t="n">
        <v>45353</v>
      </c>
      <c r="D3779" t="inlineStr">
        <is>
          <t>VÄRMLANDS LÄN</t>
        </is>
      </c>
      <c r="E3779" t="inlineStr">
        <is>
          <t>KARLSTAD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31073-2020</t>
        </is>
      </c>
      <c r="B3780" s="1" t="n">
        <v>44012</v>
      </c>
      <c r="C3780" s="1" t="n">
        <v>45353</v>
      </c>
      <c r="D3780" t="inlineStr">
        <is>
          <t>VÄRMLANDS LÄN</t>
        </is>
      </c>
      <c r="E3780" t="inlineStr">
        <is>
          <t>HAGFORS</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31135-2020</t>
        </is>
      </c>
      <c r="B3781" s="1" t="n">
        <v>44012</v>
      </c>
      <c r="C3781" s="1" t="n">
        <v>45353</v>
      </c>
      <c r="D3781" t="inlineStr">
        <is>
          <t>VÄRMLANDS LÄN</t>
        </is>
      </c>
      <c r="E3781" t="inlineStr">
        <is>
          <t>ARVIKA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31250-2020</t>
        </is>
      </c>
      <c r="B3782" s="1" t="n">
        <v>44012</v>
      </c>
      <c r="C3782" s="1" t="n">
        <v>45353</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31192-2020</t>
        </is>
      </c>
      <c r="B3783" s="1" t="n">
        <v>44012</v>
      </c>
      <c r="C3783" s="1" t="n">
        <v>45353</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31262-2020</t>
        </is>
      </c>
      <c r="B3784" s="1" t="n">
        <v>44012</v>
      </c>
      <c r="C3784" s="1" t="n">
        <v>45353</v>
      </c>
      <c r="D3784" t="inlineStr">
        <is>
          <t>VÄRMLANDS LÄN</t>
        </is>
      </c>
      <c r="E3784" t="inlineStr">
        <is>
          <t>SÄFFLE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31206-2020</t>
        </is>
      </c>
      <c r="B3785" s="1" t="n">
        <v>44012</v>
      </c>
      <c r="C3785" s="1" t="n">
        <v>45353</v>
      </c>
      <c r="D3785" t="inlineStr">
        <is>
          <t>VÄRMLANDS LÄN</t>
        </is>
      </c>
      <c r="E3785" t="inlineStr">
        <is>
          <t>SUNNE</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31224-2020</t>
        </is>
      </c>
      <c r="B3786" s="1" t="n">
        <v>44012</v>
      </c>
      <c r="C3786" s="1" t="n">
        <v>45353</v>
      </c>
      <c r="D3786" t="inlineStr">
        <is>
          <t>VÄRMLANDS LÄN</t>
        </is>
      </c>
      <c r="E3786" t="inlineStr">
        <is>
          <t>SUNNE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31298-2020</t>
        </is>
      </c>
      <c r="B3787" s="1" t="n">
        <v>44012</v>
      </c>
      <c r="C3787" s="1" t="n">
        <v>45353</v>
      </c>
      <c r="D3787" t="inlineStr">
        <is>
          <t>VÄRMLANDS LÄN</t>
        </is>
      </c>
      <c r="E3787" t="inlineStr">
        <is>
          <t>TORSBY</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31381-2020</t>
        </is>
      </c>
      <c r="B3788" s="1" t="n">
        <v>44012</v>
      </c>
      <c r="C3788" s="1" t="n">
        <v>45353</v>
      </c>
      <c r="D3788" t="inlineStr">
        <is>
          <t>VÄRMLANDS LÄN</t>
        </is>
      </c>
      <c r="E3788" t="inlineStr">
        <is>
          <t>KARLSTAD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31379-2020</t>
        </is>
      </c>
      <c r="B3789" s="1" t="n">
        <v>44012</v>
      </c>
      <c r="C3789" s="1" t="n">
        <v>45353</v>
      </c>
      <c r="D3789" t="inlineStr">
        <is>
          <t>VÄRMLANDS LÄN</t>
        </is>
      </c>
      <c r="E3789" t="inlineStr">
        <is>
          <t>KARLSTAD</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31252-2020</t>
        </is>
      </c>
      <c r="B3790" s="1" t="n">
        <v>44012</v>
      </c>
      <c r="C3790" s="1" t="n">
        <v>45353</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31486-2020</t>
        </is>
      </c>
      <c r="B3791" s="1" t="n">
        <v>44013</v>
      </c>
      <c r="C3791" s="1" t="n">
        <v>45353</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31436-2020</t>
        </is>
      </c>
      <c r="B3792" s="1" t="n">
        <v>44013</v>
      </c>
      <c r="C3792" s="1" t="n">
        <v>45353</v>
      </c>
      <c r="D3792" t="inlineStr">
        <is>
          <t>VÄRMLANDS LÄN</t>
        </is>
      </c>
      <c r="E3792" t="inlineStr">
        <is>
          <t>TORSBY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31480-2020</t>
        </is>
      </c>
      <c r="B3793" s="1" t="n">
        <v>44013</v>
      </c>
      <c r="C3793" s="1" t="n">
        <v>45353</v>
      </c>
      <c r="D3793" t="inlineStr">
        <is>
          <t>VÄRMLANDS LÄN</t>
        </is>
      </c>
      <c r="E3793" t="inlineStr">
        <is>
          <t>SUNNE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31577-2020</t>
        </is>
      </c>
      <c r="B3794" s="1" t="n">
        <v>44013</v>
      </c>
      <c r="C3794" s="1" t="n">
        <v>45353</v>
      </c>
      <c r="D3794" t="inlineStr">
        <is>
          <t>VÄRMLANDS LÄN</t>
        </is>
      </c>
      <c r="E3794" t="inlineStr">
        <is>
          <t>TORSBY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31521-2020</t>
        </is>
      </c>
      <c r="B3795" s="1" t="n">
        <v>44013</v>
      </c>
      <c r="C3795" s="1" t="n">
        <v>45353</v>
      </c>
      <c r="D3795" t="inlineStr">
        <is>
          <t>VÄRMLANDS LÄN</t>
        </is>
      </c>
      <c r="E3795" t="inlineStr">
        <is>
          <t>ÅRJÄNG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31665-2020</t>
        </is>
      </c>
      <c r="B3796" s="1" t="n">
        <v>44014</v>
      </c>
      <c r="C3796" s="1" t="n">
        <v>45353</v>
      </c>
      <c r="D3796" t="inlineStr">
        <is>
          <t>VÄRMLANDS LÄN</t>
        </is>
      </c>
      <c r="E3796" t="inlineStr">
        <is>
          <t>ÅRJÄNG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31667-2020</t>
        </is>
      </c>
      <c r="B3797" s="1" t="n">
        <v>44013</v>
      </c>
      <c r="C3797" s="1" t="n">
        <v>45353</v>
      </c>
      <c r="D3797" t="inlineStr">
        <is>
          <t>VÄRMLANDS LÄN</t>
        </is>
      </c>
      <c r="E3797" t="inlineStr">
        <is>
          <t>ÅRJÄNG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31684-2020</t>
        </is>
      </c>
      <c r="B3798" s="1" t="n">
        <v>44014</v>
      </c>
      <c r="C3798" s="1" t="n">
        <v>45353</v>
      </c>
      <c r="D3798" t="inlineStr">
        <is>
          <t>VÄRMLANDS LÄN</t>
        </is>
      </c>
      <c r="E3798" t="inlineStr">
        <is>
          <t>SUNNE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31767-2020</t>
        </is>
      </c>
      <c r="B3799" s="1" t="n">
        <v>44014</v>
      </c>
      <c r="C3799" s="1" t="n">
        <v>45353</v>
      </c>
      <c r="D3799" t="inlineStr">
        <is>
          <t>VÄRMLANDS LÄN</t>
        </is>
      </c>
      <c r="E3799" t="inlineStr">
        <is>
          <t>SÄFFLE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31680-2020</t>
        </is>
      </c>
      <c r="B3800" s="1" t="n">
        <v>44014</v>
      </c>
      <c r="C3800" s="1" t="n">
        <v>45353</v>
      </c>
      <c r="D3800" t="inlineStr">
        <is>
          <t>VÄRMLANDS LÄN</t>
        </is>
      </c>
      <c r="E3800" t="inlineStr">
        <is>
          <t>SUNNE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31689-2020</t>
        </is>
      </c>
      <c r="B3801" s="1" t="n">
        <v>44014</v>
      </c>
      <c r="C3801" s="1" t="n">
        <v>45353</v>
      </c>
      <c r="D3801" t="inlineStr">
        <is>
          <t>VÄRMLANDS LÄN</t>
        </is>
      </c>
      <c r="E3801" t="inlineStr">
        <is>
          <t>ARVIKA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31759-2020</t>
        </is>
      </c>
      <c r="B3802" s="1" t="n">
        <v>44014</v>
      </c>
      <c r="C3802" s="1" t="n">
        <v>45353</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31769-2020</t>
        </is>
      </c>
      <c r="B3803" s="1" t="n">
        <v>44014</v>
      </c>
      <c r="C3803" s="1" t="n">
        <v>45353</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32076-2020</t>
        </is>
      </c>
      <c r="B3804" s="1" t="n">
        <v>44015</v>
      </c>
      <c r="C3804" s="1" t="n">
        <v>45353</v>
      </c>
      <c r="D3804" t="inlineStr">
        <is>
          <t>VÄRMLANDS LÄN</t>
        </is>
      </c>
      <c r="E3804" t="inlineStr">
        <is>
          <t>SUNNE</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32171-2020</t>
        </is>
      </c>
      <c r="B3805" s="1" t="n">
        <v>44015</v>
      </c>
      <c r="C3805" s="1" t="n">
        <v>45353</v>
      </c>
      <c r="D3805" t="inlineStr">
        <is>
          <t>VÄRMLANDS LÄN</t>
        </is>
      </c>
      <c r="E3805" t="inlineStr">
        <is>
          <t>KARLSTAD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32122-2020</t>
        </is>
      </c>
      <c r="B3806" s="1" t="n">
        <v>44015</v>
      </c>
      <c r="C3806" s="1" t="n">
        <v>45353</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32354-2020</t>
        </is>
      </c>
      <c r="B3807" s="1" t="n">
        <v>44017</v>
      </c>
      <c r="C3807" s="1" t="n">
        <v>45353</v>
      </c>
      <c r="D3807" t="inlineStr">
        <is>
          <t>VÄRMLANDS LÄN</t>
        </is>
      </c>
      <c r="E3807" t="inlineStr">
        <is>
          <t>ARVIKA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32399-2020</t>
        </is>
      </c>
      <c r="B3808" s="1" t="n">
        <v>44018</v>
      </c>
      <c r="C3808" s="1" t="n">
        <v>45353</v>
      </c>
      <c r="D3808" t="inlineStr">
        <is>
          <t>VÄRMLANDS LÄN</t>
        </is>
      </c>
      <c r="E3808" t="inlineStr">
        <is>
          <t>ÅRJÄNG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32570-2020</t>
        </is>
      </c>
      <c r="B3809" s="1" t="n">
        <v>44018</v>
      </c>
      <c r="C3809" s="1" t="n">
        <v>45353</v>
      </c>
      <c r="D3809" t="inlineStr">
        <is>
          <t>VÄRMLANDS LÄN</t>
        </is>
      </c>
      <c r="E3809" t="inlineStr">
        <is>
          <t>ARVIKA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32470-2020</t>
        </is>
      </c>
      <c r="B3810" s="1" t="n">
        <v>44018</v>
      </c>
      <c r="C3810" s="1" t="n">
        <v>45353</v>
      </c>
      <c r="D3810" t="inlineStr">
        <is>
          <t>VÄRMLANDS LÄN</t>
        </is>
      </c>
      <c r="E3810" t="inlineStr">
        <is>
          <t>HAGFORS</t>
        </is>
      </c>
      <c r="F3810" t="inlineStr">
        <is>
          <t>Bergvik skog väst AB</t>
        </is>
      </c>
      <c r="G3810" t="n">
        <v>13.6</v>
      </c>
      <c r="H3810" t="n">
        <v>0</v>
      </c>
      <c r="I3810" t="n">
        <v>0</v>
      </c>
      <c r="J3810" t="n">
        <v>0</v>
      </c>
      <c r="K3810" t="n">
        <v>0</v>
      </c>
      <c r="L3810" t="n">
        <v>0</v>
      </c>
      <c r="M3810" t="n">
        <v>0</v>
      </c>
      <c r="N3810" t="n">
        <v>0</v>
      </c>
      <c r="O3810" t="n">
        <v>0</v>
      </c>
      <c r="P3810" t="n">
        <v>0</v>
      </c>
      <c r="Q3810" t="n">
        <v>0</v>
      </c>
      <c r="R3810" s="2" t="inlineStr"/>
    </row>
    <row r="3811" ht="15" customHeight="1">
      <c r="A3811" t="inlineStr">
        <is>
          <t>A 32595-2020</t>
        </is>
      </c>
      <c r="B3811" s="1" t="n">
        <v>44019</v>
      </c>
      <c r="C3811" s="1" t="n">
        <v>45353</v>
      </c>
      <c r="D3811" t="inlineStr">
        <is>
          <t>VÄRMLANDS LÄN</t>
        </is>
      </c>
      <c r="E3811" t="inlineStr">
        <is>
          <t>EDA</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32629-2020</t>
        </is>
      </c>
      <c r="B3812" s="1" t="n">
        <v>44019</v>
      </c>
      <c r="C3812" s="1" t="n">
        <v>45353</v>
      </c>
      <c r="D3812" t="inlineStr">
        <is>
          <t>VÄRMLANDS LÄN</t>
        </is>
      </c>
      <c r="E3812" t="inlineStr">
        <is>
          <t>SUNNE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32600-2020</t>
        </is>
      </c>
      <c r="B3813" s="1" t="n">
        <v>44019</v>
      </c>
      <c r="C3813" s="1" t="n">
        <v>45353</v>
      </c>
      <c r="D3813" t="inlineStr">
        <is>
          <t>VÄRMLANDS LÄN</t>
        </is>
      </c>
      <c r="E3813" t="inlineStr">
        <is>
          <t>ARVIKA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32623-2020</t>
        </is>
      </c>
      <c r="B3814" s="1" t="n">
        <v>44019</v>
      </c>
      <c r="C3814" s="1" t="n">
        <v>45353</v>
      </c>
      <c r="D3814" t="inlineStr">
        <is>
          <t>VÄRMLANDS LÄN</t>
        </is>
      </c>
      <c r="E3814" t="inlineStr">
        <is>
          <t>TORSBY</t>
        </is>
      </c>
      <c r="F3814" t="inlineStr">
        <is>
          <t>Kommuner</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32651-2020</t>
        </is>
      </c>
      <c r="B3815" s="1" t="n">
        <v>44019</v>
      </c>
      <c r="C3815" s="1" t="n">
        <v>45353</v>
      </c>
      <c r="D3815" t="inlineStr">
        <is>
          <t>VÄRMLANDS LÄN</t>
        </is>
      </c>
      <c r="E3815" t="inlineStr">
        <is>
          <t>TORSBY</t>
        </is>
      </c>
      <c r="F3815" t="inlineStr">
        <is>
          <t>Kommuner</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33027-2020</t>
        </is>
      </c>
      <c r="B3816" s="1" t="n">
        <v>44019</v>
      </c>
      <c r="C3816" s="1" t="n">
        <v>45353</v>
      </c>
      <c r="D3816" t="inlineStr">
        <is>
          <t>VÄRMLANDS LÄN</t>
        </is>
      </c>
      <c r="E3816" t="inlineStr">
        <is>
          <t>SUNNE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32705-2020</t>
        </is>
      </c>
      <c r="B3817" s="1" t="n">
        <v>44019</v>
      </c>
      <c r="C3817" s="1" t="n">
        <v>45353</v>
      </c>
      <c r="D3817" t="inlineStr">
        <is>
          <t>VÄRMLANDS LÄN</t>
        </is>
      </c>
      <c r="E3817" t="inlineStr">
        <is>
          <t>GRUMS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32956-2020</t>
        </is>
      </c>
      <c r="B3818" s="1" t="n">
        <v>44019</v>
      </c>
      <c r="C3818" s="1" t="n">
        <v>45353</v>
      </c>
      <c r="D3818" t="inlineStr">
        <is>
          <t>VÄRMLANDS LÄN</t>
        </is>
      </c>
      <c r="E3818" t="inlineStr">
        <is>
          <t>ÅRJÄNG</t>
        </is>
      </c>
      <c r="F3818" t="inlineStr">
        <is>
          <t>Övriga Aktiebolag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32962-2020</t>
        </is>
      </c>
      <c r="B3819" s="1" t="n">
        <v>44019</v>
      </c>
      <c r="C3819" s="1" t="n">
        <v>45353</v>
      </c>
      <c r="D3819" t="inlineStr">
        <is>
          <t>VÄRMLANDS LÄN</t>
        </is>
      </c>
      <c r="E3819" t="inlineStr">
        <is>
          <t>ÅRJÄNG</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32978-2020</t>
        </is>
      </c>
      <c r="B3820" s="1" t="n">
        <v>44020</v>
      </c>
      <c r="C3820" s="1" t="n">
        <v>45353</v>
      </c>
      <c r="D3820" t="inlineStr">
        <is>
          <t>VÄRMLANDS LÄN</t>
        </is>
      </c>
      <c r="E3820" t="inlineStr">
        <is>
          <t>EDA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33075-2020</t>
        </is>
      </c>
      <c r="B3821" s="1" t="n">
        <v>44021</v>
      </c>
      <c r="C3821" s="1" t="n">
        <v>45353</v>
      </c>
      <c r="D3821" t="inlineStr">
        <is>
          <t>VÄRMLANDS LÄN</t>
        </is>
      </c>
      <c r="E3821" t="inlineStr">
        <is>
          <t>EDA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33157-2020</t>
        </is>
      </c>
      <c r="B3822" s="1" t="n">
        <v>44021</v>
      </c>
      <c r="C3822" s="1" t="n">
        <v>45353</v>
      </c>
      <c r="D3822" t="inlineStr">
        <is>
          <t>VÄRMLANDS LÄN</t>
        </is>
      </c>
      <c r="E3822" t="inlineStr">
        <is>
          <t>KARLSTAD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33124-2020</t>
        </is>
      </c>
      <c r="B3823" s="1" t="n">
        <v>44021</v>
      </c>
      <c r="C3823" s="1" t="n">
        <v>45353</v>
      </c>
      <c r="D3823" t="inlineStr">
        <is>
          <t>VÄRMLANDS LÄN</t>
        </is>
      </c>
      <c r="E3823" t="inlineStr">
        <is>
          <t>TORSBY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33164-2020</t>
        </is>
      </c>
      <c r="B3824" s="1" t="n">
        <v>44021</v>
      </c>
      <c r="C3824" s="1" t="n">
        <v>45353</v>
      </c>
      <c r="D3824" t="inlineStr">
        <is>
          <t>VÄRMLANDS LÄN</t>
        </is>
      </c>
      <c r="E3824" t="inlineStr">
        <is>
          <t>KARLSTAD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33173-2020</t>
        </is>
      </c>
      <c r="B3825" s="1" t="n">
        <v>44021</v>
      </c>
      <c r="C3825" s="1" t="n">
        <v>45353</v>
      </c>
      <c r="D3825" t="inlineStr">
        <is>
          <t>VÄRMLANDS LÄN</t>
        </is>
      </c>
      <c r="E3825" t="inlineStr">
        <is>
          <t>KARLSTAD</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33095-2020</t>
        </is>
      </c>
      <c r="B3826" s="1" t="n">
        <v>44021</v>
      </c>
      <c r="C3826" s="1" t="n">
        <v>45353</v>
      </c>
      <c r="D3826" t="inlineStr">
        <is>
          <t>VÄRMLANDS LÄN</t>
        </is>
      </c>
      <c r="E3826" t="inlineStr">
        <is>
          <t>TORSBY</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33126-2020</t>
        </is>
      </c>
      <c r="B3827" s="1" t="n">
        <v>44021</v>
      </c>
      <c r="C3827" s="1" t="n">
        <v>45353</v>
      </c>
      <c r="D3827" t="inlineStr">
        <is>
          <t>VÄRMLANDS LÄN</t>
        </is>
      </c>
      <c r="E3827" t="inlineStr">
        <is>
          <t>TORSBY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33160-2020</t>
        </is>
      </c>
      <c r="B3828" s="1" t="n">
        <v>44021</v>
      </c>
      <c r="C3828" s="1" t="n">
        <v>45353</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33167-2020</t>
        </is>
      </c>
      <c r="B3829" s="1" t="n">
        <v>44021</v>
      </c>
      <c r="C3829" s="1" t="n">
        <v>45353</v>
      </c>
      <c r="D3829" t="inlineStr">
        <is>
          <t>VÄRMLANDS LÄN</t>
        </is>
      </c>
      <c r="E3829" t="inlineStr">
        <is>
          <t>KARLSTAD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33150-2020</t>
        </is>
      </c>
      <c r="B3830" s="1" t="n">
        <v>44021</v>
      </c>
      <c r="C3830" s="1" t="n">
        <v>45353</v>
      </c>
      <c r="D3830" t="inlineStr">
        <is>
          <t>VÄRMLANDS LÄN</t>
        </is>
      </c>
      <c r="E3830" t="inlineStr">
        <is>
          <t>KARLSTAD</t>
        </is>
      </c>
      <c r="G3830" t="n">
        <v>25.3</v>
      </c>
      <c r="H3830" t="n">
        <v>0</v>
      </c>
      <c r="I3830" t="n">
        <v>0</v>
      </c>
      <c r="J3830" t="n">
        <v>0</v>
      </c>
      <c r="K3830" t="n">
        <v>0</v>
      </c>
      <c r="L3830" t="n">
        <v>0</v>
      </c>
      <c r="M3830" t="n">
        <v>0</v>
      </c>
      <c r="N3830" t="n">
        <v>0</v>
      </c>
      <c r="O3830" t="n">
        <v>0</v>
      </c>
      <c r="P3830" t="n">
        <v>0</v>
      </c>
      <c r="Q3830" t="n">
        <v>0</v>
      </c>
      <c r="R3830" s="2" t="inlineStr"/>
    </row>
    <row r="3831" ht="15" customHeight="1">
      <c r="A3831" t="inlineStr">
        <is>
          <t>A 33161-2020</t>
        </is>
      </c>
      <c r="B3831" s="1" t="n">
        <v>44021</v>
      </c>
      <c r="C3831" s="1" t="n">
        <v>45353</v>
      </c>
      <c r="D3831" t="inlineStr">
        <is>
          <t>VÄRMLANDS LÄN</t>
        </is>
      </c>
      <c r="E3831" t="inlineStr">
        <is>
          <t>KARLSTAD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33169-2020</t>
        </is>
      </c>
      <c r="B3832" s="1" t="n">
        <v>44021</v>
      </c>
      <c r="C3832" s="1" t="n">
        <v>45353</v>
      </c>
      <c r="D3832" t="inlineStr">
        <is>
          <t>VÄRMLANDS LÄN</t>
        </is>
      </c>
      <c r="E3832" t="inlineStr">
        <is>
          <t>KARLSTAD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33163-2020</t>
        </is>
      </c>
      <c r="B3833" s="1" t="n">
        <v>44021</v>
      </c>
      <c r="C3833" s="1" t="n">
        <v>45353</v>
      </c>
      <c r="D3833" t="inlineStr">
        <is>
          <t>VÄRMLANDS LÄN</t>
        </is>
      </c>
      <c r="E3833" t="inlineStr">
        <is>
          <t>KARLSTAD</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33691-2020</t>
        </is>
      </c>
      <c r="B3834" s="1" t="n">
        <v>44022</v>
      </c>
      <c r="C3834" s="1" t="n">
        <v>45353</v>
      </c>
      <c r="D3834" t="inlineStr">
        <is>
          <t>VÄRMLANDS LÄN</t>
        </is>
      </c>
      <c r="E3834" t="inlineStr">
        <is>
          <t>TORSBY</t>
        </is>
      </c>
      <c r="F3834" t="inlineStr">
        <is>
          <t>Övriga Aktiebolag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33653-2020</t>
        </is>
      </c>
      <c r="B3835" s="1" t="n">
        <v>44022</v>
      </c>
      <c r="C3835" s="1" t="n">
        <v>45353</v>
      </c>
      <c r="D3835" t="inlineStr">
        <is>
          <t>VÄRMLANDS LÄN</t>
        </is>
      </c>
      <c r="E3835" t="inlineStr">
        <is>
          <t>SUNNE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33695-2020</t>
        </is>
      </c>
      <c r="B3836" s="1" t="n">
        <v>44022</v>
      </c>
      <c r="C3836" s="1" t="n">
        <v>45353</v>
      </c>
      <c r="D3836" t="inlineStr">
        <is>
          <t>VÄRMLANDS LÄN</t>
        </is>
      </c>
      <c r="E3836" t="inlineStr">
        <is>
          <t>HAGFORS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34901-2020</t>
        </is>
      </c>
      <c r="B3837" s="1" t="n">
        <v>44022</v>
      </c>
      <c r="C3837" s="1" t="n">
        <v>45353</v>
      </c>
      <c r="D3837" t="inlineStr">
        <is>
          <t>VÄRMLANDS LÄN</t>
        </is>
      </c>
      <c r="E3837" t="inlineStr">
        <is>
          <t>TORSBY</t>
        </is>
      </c>
      <c r="F3837" t="inlineStr">
        <is>
          <t>Övriga Aktiebolag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33476-2020</t>
        </is>
      </c>
      <c r="B3838" s="1" t="n">
        <v>44023</v>
      </c>
      <c r="C3838" s="1" t="n">
        <v>45353</v>
      </c>
      <c r="D3838" t="inlineStr">
        <is>
          <t>VÄRMLANDS LÄN</t>
        </is>
      </c>
      <c r="E3838" t="inlineStr">
        <is>
          <t>FORSHAGA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33547-2020</t>
        </is>
      </c>
      <c r="B3839" s="1" t="n">
        <v>44025</v>
      </c>
      <c r="C3839" s="1" t="n">
        <v>45353</v>
      </c>
      <c r="D3839" t="inlineStr">
        <is>
          <t>VÄRMLANDS LÄN</t>
        </is>
      </c>
      <c r="E3839" t="inlineStr">
        <is>
          <t>EDA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34053-2020</t>
        </is>
      </c>
      <c r="B3840" s="1" t="n">
        <v>44026</v>
      </c>
      <c r="C3840" s="1" t="n">
        <v>45353</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34035-2020</t>
        </is>
      </c>
      <c r="B3841" s="1" t="n">
        <v>44026</v>
      </c>
      <c r="C3841" s="1" t="n">
        <v>45353</v>
      </c>
      <c r="D3841" t="inlineStr">
        <is>
          <t>VÄRMLANDS LÄN</t>
        </is>
      </c>
      <c r="E3841" t="inlineStr">
        <is>
          <t>ARVIKA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34044-2020</t>
        </is>
      </c>
      <c r="B3842" s="1" t="n">
        <v>44026</v>
      </c>
      <c r="C3842" s="1" t="n">
        <v>45353</v>
      </c>
      <c r="D3842" t="inlineStr">
        <is>
          <t>VÄRMLANDS LÄN</t>
        </is>
      </c>
      <c r="E3842" t="inlineStr">
        <is>
          <t>ARVIKA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34005-2020</t>
        </is>
      </c>
      <c r="B3843" s="1" t="n">
        <v>44026</v>
      </c>
      <c r="C3843" s="1" t="n">
        <v>45353</v>
      </c>
      <c r="D3843" t="inlineStr">
        <is>
          <t>VÄRMLANDS LÄN</t>
        </is>
      </c>
      <c r="E3843" t="inlineStr">
        <is>
          <t>SÄFFLE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33822-2020</t>
        </is>
      </c>
      <c r="B3844" s="1" t="n">
        <v>44027</v>
      </c>
      <c r="C3844" s="1" t="n">
        <v>45353</v>
      </c>
      <c r="D3844" t="inlineStr">
        <is>
          <t>VÄRMLANDS LÄN</t>
        </is>
      </c>
      <c r="E3844" t="inlineStr">
        <is>
          <t>SUNNE</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33872-2020</t>
        </is>
      </c>
      <c r="B3845" s="1" t="n">
        <v>44027</v>
      </c>
      <c r="C3845" s="1" t="n">
        <v>45353</v>
      </c>
      <c r="D3845" t="inlineStr">
        <is>
          <t>VÄRMLANDS LÄN</t>
        </is>
      </c>
      <c r="E3845" t="inlineStr">
        <is>
          <t>FILIPSTAD</t>
        </is>
      </c>
      <c r="F3845" t="inlineStr">
        <is>
          <t>Bergvik skog väst AB</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33847-2020</t>
        </is>
      </c>
      <c r="B3846" s="1" t="n">
        <v>44027</v>
      </c>
      <c r="C3846" s="1" t="n">
        <v>45353</v>
      </c>
      <c r="D3846" t="inlineStr">
        <is>
          <t>VÄRMLANDS LÄN</t>
        </is>
      </c>
      <c r="E3846" t="inlineStr">
        <is>
          <t>ARVIKA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33904-2020</t>
        </is>
      </c>
      <c r="B3847" s="1" t="n">
        <v>44027</v>
      </c>
      <c r="C3847" s="1" t="n">
        <v>45353</v>
      </c>
      <c r="D3847" t="inlineStr">
        <is>
          <t>VÄRMLANDS LÄN</t>
        </is>
      </c>
      <c r="E3847" t="inlineStr">
        <is>
          <t>KIL</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33908-2020</t>
        </is>
      </c>
      <c r="B3848" s="1" t="n">
        <v>44027</v>
      </c>
      <c r="C3848" s="1" t="n">
        <v>45353</v>
      </c>
      <c r="D3848" t="inlineStr">
        <is>
          <t>VÄRMLANDS LÄN</t>
        </is>
      </c>
      <c r="E3848" t="inlineStr">
        <is>
          <t>TORSBY</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33896-2020</t>
        </is>
      </c>
      <c r="B3849" s="1" t="n">
        <v>44027</v>
      </c>
      <c r="C3849" s="1" t="n">
        <v>45353</v>
      </c>
      <c r="D3849" t="inlineStr">
        <is>
          <t>VÄRMLANDS LÄN</t>
        </is>
      </c>
      <c r="E3849" t="inlineStr">
        <is>
          <t>KIL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33864-2020</t>
        </is>
      </c>
      <c r="B3850" s="1" t="n">
        <v>44027</v>
      </c>
      <c r="C3850" s="1" t="n">
        <v>45353</v>
      </c>
      <c r="D3850" t="inlineStr">
        <is>
          <t>VÄRMLANDS LÄN</t>
        </is>
      </c>
      <c r="E3850" t="inlineStr">
        <is>
          <t>TORSBY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34009-2020</t>
        </is>
      </c>
      <c r="B3851" s="1" t="n">
        <v>44028</v>
      </c>
      <c r="C3851" s="1" t="n">
        <v>45353</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34105-2020</t>
        </is>
      </c>
      <c r="B3852" s="1" t="n">
        <v>44028</v>
      </c>
      <c r="C3852" s="1" t="n">
        <v>45353</v>
      </c>
      <c r="D3852" t="inlineStr">
        <is>
          <t>VÄRMLANDS LÄN</t>
        </is>
      </c>
      <c r="E3852" t="inlineStr">
        <is>
          <t>FILIPSTAD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33969-2020</t>
        </is>
      </c>
      <c r="B3853" s="1" t="n">
        <v>44028</v>
      </c>
      <c r="C3853" s="1" t="n">
        <v>45353</v>
      </c>
      <c r="D3853" t="inlineStr">
        <is>
          <t>VÄRMLANDS LÄN</t>
        </is>
      </c>
      <c r="E3853" t="inlineStr">
        <is>
          <t>FILIPSTAD</t>
        </is>
      </c>
      <c r="F3853" t="inlineStr">
        <is>
          <t>Bergvik skog väst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33996-2020</t>
        </is>
      </c>
      <c r="B3854" s="1" t="n">
        <v>44028</v>
      </c>
      <c r="C3854" s="1" t="n">
        <v>45353</v>
      </c>
      <c r="D3854" t="inlineStr">
        <is>
          <t>VÄRMLANDS LÄN</t>
        </is>
      </c>
      <c r="E3854" t="inlineStr">
        <is>
          <t>KRISTINEHAMN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34003-2020</t>
        </is>
      </c>
      <c r="B3855" s="1" t="n">
        <v>44028</v>
      </c>
      <c r="C3855" s="1" t="n">
        <v>45353</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34118-2020</t>
        </is>
      </c>
      <c r="B3856" s="1" t="n">
        <v>44028</v>
      </c>
      <c r="C3856" s="1" t="n">
        <v>45353</v>
      </c>
      <c r="D3856" t="inlineStr">
        <is>
          <t>VÄRMLANDS LÄN</t>
        </is>
      </c>
      <c r="E3856" t="inlineStr">
        <is>
          <t>TORSBY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34132-2020</t>
        </is>
      </c>
      <c r="B3857" s="1" t="n">
        <v>44029</v>
      </c>
      <c r="C3857" s="1" t="n">
        <v>45353</v>
      </c>
      <c r="D3857" t="inlineStr">
        <is>
          <t>VÄRMLANDS LÄN</t>
        </is>
      </c>
      <c r="E3857" t="inlineStr">
        <is>
          <t>ÅRJÄNG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34421-2020</t>
        </is>
      </c>
      <c r="B3858" s="1" t="n">
        <v>44029</v>
      </c>
      <c r="C3858" s="1" t="n">
        <v>45353</v>
      </c>
      <c r="D3858" t="inlineStr">
        <is>
          <t>VÄRMLANDS LÄN</t>
        </is>
      </c>
      <c r="E3858" t="inlineStr">
        <is>
          <t>STORFORS</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34166-2020</t>
        </is>
      </c>
      <c r="B3859" s="1" t="n">
        <v>44029</v>
      </c>
      <c r="C3859" s="1" t="n">
        <v>45353</v>
      </c>
      <c r="D3859" t="inlineStr">
        <is>
          <t>VÄRMLANDS LÄN</t>
        </is>
      </c>
      <c r="E3859" t="inlineStr">
        <is>
          <t>KRISTINEHAMN</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34407-2020</t>
        </is>
      </c>
      <c r="B3860" s="1" t="n">
        <v>44029</v>
      </c>
      <c r="C3860" s="1" t="n">
        <v>45353</v>
      </c>
      <c r="D3860" t="inlineStr">
        <is>
          <t>VÄRMLANDS LÄN</t>
        </is>
      </c>
      <c r="E3860" t="inlineStr">
        <is>
          <t>STORFORS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34247-2020</t>
        </is>
      </c>
      <c r="B3861" s="1" t="n">
        <v>44029</v>
      </c>
      <c r="C3861" s="1" t="n">
        <v>45353</v>
      </c>
      <c r="D3861" t="inlineStr">
        <is>
          <t>VÄRMLANDS LÄN</t>
        </is>
      </c>
      <c r="E3861" t="inlineStr">
        <is>
          <t>TORSBY</t>
        </is>
      </c>
      <c r="F3861" t="inlineStr">
        <is>
          <t>Kommuner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34295-2020</t>
        </is>
      </c>
      <c r="B3862" s="1" t="n">
        <v>44030</v>
      </c>
      <c r="C3862" s="1" t="n">
        <v>45353</v>
      </c>
      <c r="D3862" t="inlineStr">
        <is>
          <t>VÄRMLANDS LÄN</t>
        </is>
      </c>
      <c r="E3862" t="inlineStr">
        <is>
          <t>EDA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34296-2020</t>
        </is>
      </c>
      <c r="B3863" s="1" t="n">
        <v>44030</v>
      </c>
      <c r="C3863" s="1" t="n">
        <v>45353</v>
      </c>
      <c r="D3863" t="inlineStr">
        <is>
          <t>VÄRMLANDS LÄN</t>
        </is>
      </c>
      <c r="E3863" t="inlineStr">
        <is>
          <t>ARVIKA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34293-2020</t>
        </is>
      </c>
      <c r="B3864" s="1" t="n">
        <v>44030</v>
      </c>
      <c r="C3864" s="1" t="n">
        <v>45353</v>
      </c>
      <c r="D3864" t="inlineStr">
        <is>
          <t>VÄRMLANDS LÄN</t>
        </is>
      </c>
      <c r="E3864" t="inlineStr">
        <is>
          <t>EDA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34297-2020</t>
        </is>
      </c>
      <c r="B3865" s="1" t="n">
        <v>44030</v>
      </c>
      <c r="C3865" s="1" t="n">
        <v>45353</v>
      </c>
      <c r="D3865" t="inlineStr">
        <is>
          <t>VÄRMLANDS LÄN</t>
        </is>
      </c>
      <c r="E3865" t="inlineStr">
        <is>
          <t>ARVIKA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34526-2020</t>
        </is>
      </c>
      <c r="B3866" s="1" t="n">
        <v>44031</v>
      </c>
      <c r="C3866" s="1" t="n">
        <v>45353</v>
      </c>
      <c r="D3866" t="inlineStr">
        <is>
          <t>VÄRMLANDS LÄN</t>
        </is>
      </c>
      <c r="E3866" t="inlineStr">
        <is>
          <t>KIL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34305-2020</t>
        </is>
      </c>
      <c r="B3867" s="1" t="n">
        <v>44031</v>
      </c>
      <c r="C3867" s="1" t="n">
        <v>45353</v>
      </c>
      <c r="D3867" t="inlineStr">
        <is>
          <t>VÄRMLANDS LÄN</t>
        </is>
      </c>
      <c r="E3867" t="inlineStr">
        <is>
          <t>SUNNE</t>
        </is>
      </c>
      <c r="G3867" t="n">
        <v>11.5</v>
      </c>
      <c r="H3867" t="n">
        <v>0</v>
      </c>
      <c r="I3867" t="n">
        <v>0</v>
      </c>
      <c r="J3867" t="n">
        <v>0</v>
      </c>
      <c r="K3867" t="n">
        <v>0</v>
      </c>
      <c r="L3867" t="n">
        <v>0</v>
      </c>
      <c r="M3867" t="n">
        <v>0</v>
      </c>
      <c r="N3867" t="n">
        <v>0</v>
      </c>
      <c r="O3867" t="n">
        <v>0</v>
      </c>
      <c r="P3867" t="n">
        <v>0</v>
      </c>
      <c r="Q3867" t="n">
        <v>0</v>
      </c>
      <c r="R3867" s="2" t="inlineStr"/>
    </row>
    <row r="3868" ht="15" customHeight="1">
      <c r="A3868" t="inlineStr">
        <is>
          <t>A 34534-2020</t>
        </is>
      </c>
      <c r="B3868" s="1" t="n">
        <v>44031</v>
      </c>
      <c r="C3868" s="1" t="n">
        <v>45353</v>
      </c>
      <c r="D3868" t="inlineStr">
        <is>
          <t>VÄRMLANDS LÄN</t>
        </is>
      </c>
      <c r="E3868" t="inlineStr">
        <is>
          <t>ARVIKA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34537-2020</t>
        </is>
      </c>
      <c r="B3869" s="1" t="n">
        <v>44031</v>
      </c>
      <c r="C3869" s="1" t="n">
        <v>45353</v>
      </c>
      <c r="D3869" t="inlineStr">
        <is>
          <t>VÄRMLANDS LÄN</t>
        </is>
      </c>
      <c r="E3869" t="inlineStr">
        <is>
          <t>KIL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34535-2020</t>
        </is>
      </c>
      <c r="B3870" s="1" t="n">
        <v>44031</v>
      </c>
      <c r="C3870" s="1" t="n">
        <v>45353</v>
      </c>
      <c r="D3870" t="inlineStr">
        <is>
          <t>VÄRMLANDS LÄN</t>
        </is>
      </c>
      <c r="E3870" t="inlineStr">
        <is>
          <t>ARVIKA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34370-2020</t>
        </is>
      </c>
      <c r="B3871" s="1" t="n">
        <v>44032</v>
      </c>
      <c r="C3871" s="1" t="n">
        <v>45353</v>
      </c>
      <c r="D3871" t="inlineStr">
        <is>
          <t>VÄRMLANDS LÄN</t>
        </is>
      </c>
      <c r="E3871" t="inlineStr">
        <is>
          <t>SÄFFLE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34461-2020</t>
        </is>
      </c>
      <c r="B3872" s="1" t="n">
        <v>44032</v>
      </c>
      <c r="C3872" s="1" t="n">
        <v>45353</v>
      </c>
      <c r="D3872" t="inlineStr">
        <is>
          <t>VÄRMLANDS LÄN</t>
        </is>
      </c>
      <c r="E3872" t="inlineStr">
        <is>
          <t>FILIPSTAD</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34481-2020</t>
        </is>
      </c>
      <c r="B3873" s="1" t="n">
        <v>44033</v>
      </c>
      <c r="C3873" s="1" t="n">
        <v>45353</v>
      </c>
      <c r="D3873" t="inlineStr">
        <is>
          <t>VÄRMLANDS LÄN</t>
        </is>
      </c>
      <c r="E3873" t="inlineStr">
        <is>
          <t>SUNNE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34593-2020</t>
        </is>
      </c>
      <c r="B3874" s="1" t="n">
        <v>44034</v>
      </c>
      <c r="C3874" s="1" t="n">
        <v>45353</v>
      </c>
      <c r="D3874" t="inlineStr">
        <is>
          <t>VÄRMLANDS LÄN</t>
        </is>
      </c>
      <c r="E3874" t="inlineStr">
        <is>
          <t>SUNNE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34639-2020</t>
        </is>
      </c>
      <c r="B3875" s="1" t="n">
        <v>44034</v>
      </c>
      <c r="C3875" s="1" t="n">
        <v>45353</v>
      </c>
      <c r="D3875" t="inlineStr">
        <is>
          <t>VÄRMLANDS LÄN</t>
        </is>
      </c>
      <c r="E3875" t="inlineStr">
        <is>
          <t>GRUMS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34652-2020</t>
        </is>
      </c>
      <c r="B3876" s="1" t="n">
        <v>44034</v>
      </c>
      <c r="C3876" s="1" t="n">
        <v>45353</v>
      </c>
      <c r="D3876" t="inlineStr">
        <is>
          <t>VÄRMLANDS LÄN</t>
        </is>
      </c>
      <c r="E3876" t="inlineStr">
        <is>
          <t>SUNNE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34641-2020</t>
        </is>
      </c>
      <c r="B3877" s="1" t="n">
        <v>44034</v>
      </c>
      <c r="C3877" s="1" t="n">
        <v>45353</v>
      </c>
      <c r="D3877" t="inlineStr">
        <is>
          <t>VÄRMLANDS LÄN</t>
        </is>
      </c>
      <c r="E3877" t="inlineStr">
        <is>
          <t>GRUMS</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34707-2020</t>
        </is>
      </c>
      <c r="B3878" s="1" t="n">
        <v>44035</v>
      </c>
      <c r="C3878" s="1" t="n">
        <v>45353</v>
      </c>
      <c r="D3878" t="inlineStr">
        <is>
          <t>VÄRMLANDS LÄN</t>
        </is>
      </c>
      <c r="E3878" t="inlineStr">
        <is>
          <t>SUNNE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34834-2020</t>
        </is>
      </c>
      <c r="B3879" s="1" t="n">
        <v>44036</v>
      </c>
      <c r="C3879" s="1" t="n">
        <v>45353</v>
      </c>
      <c r="D3879" t="inlineStr">
        <is>
          <t>VÄRMLANDS LÄN</t>
        </is>
      </c>
      <c r="E3879" t="inlineStr">
        <is>
          <t>ÅRJÄNG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34849-2020</t>
        </is>
      </c>
      <c r="B3880" s="1" t="n">
        <v>44036</v>
      </c>
      <c r="C3880" s="1" t="n">
        <v>45353</v>
      </c>
      <c r="D3880" t="inlineStr">
        <is>
          <t>VÄRMLANDS LÄN</t>
        </is>
      </c>
      <c r="E3880" t="inlineStr">
        <is>
          <t>ÅRJÄNG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34825-2020</t>
        </is>
      </c>
      <c r="B3881" s="1" t="n">
        <v>44036</v>
      </c>
      <c r="C3881" s="1" t="n">
        <v>45353</v>
      </c>
      <c r="D3881" t="inlineStr">
        <is>
          <t>VÄRMLANDS LÄN</t>
        </is>
      </c>
      <c r="E3881" t="inlineStr">
        <is>
          <t>ÅRJÄNG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34830-2020</t>
        </is>
      </c>
      <c r="B3882" s="1" t="n">
        <v>44036</v>
      </c>
      <c r="C3882" s="1" t="n">
        <v>45353</v>
      </c>
      <c r="D3882" t="inlineStr">
        <is>
          <t>VÄRMLANDS LÄN</t>
        </is>
      </c>
      <c r="E3882" t="inlineStr">
        <is>
          <t>ÅRJÄNG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34835-2020</t>
        </is>
      </c>
      <c r="B3883" s="1" t="n">
        <v>44036</v>
      </c>
      <c r="C3883" s="1" t="n">
        <v>45353</v>
      </c>
      <c r="D3883" t="inlineStr">
        <is>
          <t>VÄRMLANDS LÄN</t>
        </is>
      </c>
      <c r="E3883" t="inlineStr">
        <is>
          <t>ÅRJÄNG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34844-2020</t>
        </is>
      </c>
      <c r="B3884" s="1" t="n">
        <v>44036</v>
      </c>
      <c r="C3884" s="1" t="n">
        <v>45353</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34851-2020</t>
        </is>
      </c>
      <c r="B3885" s="1" t="n">
        <v>44036</v>
      </c>
      <c r="C3885" s="1" t="n">
        <v>45353</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34803-2020</t>
        </is>
      </c>
      <c r="B3886" s="1" t="n">
        <v>44036</v>
      </c>
      <c r="C3886" s="1" t="n">
        <v>45353</v>
      </c>
      <c r="D3886" t="inlineStr">
        <is>
          <t>VÄRMLANDS LÄN</t>
        </is>
      </c>
      <c r="E3886" t="inlineStr">
        <is>
          <t>KIL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34833-2020</t>
        </is>
      </c>
      <c r="B3887" s="1" t="n">
        <v>44036</v>
      </c>
      <c r="C3887" s="1" t="n">
        <v>45353</v>
      </c>
      <c r="D3887" t="inlineStr">
        <is>
          <t>VÄRMLANDS LÄN</t>
        </is>
      </c>
      <c r="E3887" t="inlineStr">
        <is>
          <t>ÅRJÄNG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34832-2020</t>
        </is>
      </c>
      <c r="B3888" s="1" t="n">
        <v>44036</v>
      </c>
      <c r="C3888" s="1" t="n">
        <v>45353</v>
      </c>
      <c r="D3888" t="inlineStr">
        <is>
          <t>VÄRMLANDS LÄN</t>
        </is>
      </c>
      <c r="E3888" t="inlineStr">
        <is>
          <t>ÅRJÄNG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34827-2020</t>
        </is>
      </c>
      <c r="B3889" s="1" t="n">
        <v>44036</v>
      </c>
      <c r="C3889" s="1" t="n">
        <v>45353</v>
      </c>
      <c r="D3889" t="inlineStr">
        <is>
          <t>VÄRMLANDS LÄN</t>
        </is>
      </c>
      <c r="E3889" t="inlineStr">
        <is>
          <t>ÅRJÄNG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35163-2020</t>
        </is>
      </c>
      <c r="B3890" s="1" t="n">
        <v>44040</v>
      </c>
      <c r="C3890" s="1" t="n">
        <v>45353</v>
      </c>
      <c r="D3890" t="inlineStr">
        <is>
          <t>VÄRMLANDS LÄN</t>
        </is>
      </c>
      <c r="E3890" t="inlineStr">
        <is>
          <t>ÅRJÄNG</t>
        </is>
      </c>
      <c r="F3890" t="inlineStr">
        <is>
          <t>Övriga Aktiebolag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35154-2020</t>
        </is>
      </c>
      <c r="B3891" s="1" t="n">
        <v>44040</v>
      </c>
      <c r="C3891" s="1" t="n">
        <v>45353</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35194-2020</t>
        </is>
      </c>
      <c r="B3892" s="1" t="n">
        <v>44040</v>
      </c>
      <c r="C3892" s="1" t="n">
        <v>45353</v>
      </c>
      <c r="D3892" t="inlineStr">
        <is>
          <t>VÄRMLANDS LÄN</t>
        </is>
      </c>
      <c r="E3892" t="inlineStr">
        <is>
          <t>FILIPSTAD</t>
        </is>
      </c>
      <c r="F3892" t="inlineStr">
        <is>
          <t>Bergvik skog väst AB</t>
        </is>
      </c>
      <c r="G3892" t="n">
        <v>20.4</v>
      </c>
      <c r="H3892" t="n">
        <v>0</v>
      </c>
      <c r="I3892" t="n">
        <v>0</v>
      </c>
      <c r="J3892" t="n">
        <v>0</v>
      </c>
      <c r="K3892" t="n">
        <v>0</v>
      </c>
      <c r="L3892" t="n">
        <v>0</v>
      </c>
      <c r="M3892" t="n">
        <v>0</v>
      </c>
      <c r="N3892" t="n">
        <v>0</v>
      </c>
      <c r="O3892" t="n">
        <v>0</v>
      </c>
      <c r="P3892" t="n">
        <v>0</v>
      </c>
      <c r="Q3892" t="n">
        <v>0</v>
      </c>
      <c r="R3892" s="2" t="inlineStr"/>
    </row>
    <row r="3893" ht="15" customHeight="1">
      <c r="A3893" t="inlineStr">
        <is>
          <t>A 35132-2020</t>
        </is>
      </c>
      <c r="B3893" s="1" t="n">
        <v>44040</v>
      </c>
      <c r="C3893" s="1" t="n">
        <v>45353</v>
      </c>
      <c r="D3893" t="inlineStr">
        <is>
          <t>VÄRMLANDS LÄN</t>
        </is>
      </c>
      <c r="E3893" t="inlineStr">
        <is>
          <t>TORSBY</t>
        </is>
      </c>
      <c r="F3893" t="inlineStr">
        <is>
          <t>Kommuner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35105-2020</t>
        </is>
      </c>
      <c r="B3894" s="1" t="n">
        <v>44040</v>
      </c>
      <c r="C3894" s="1" t="n">
        <v>45353</v>
      </c>
      <c r="D3894" t="inlineStr">
        <is>
          <t>VÄRMLANDS LÄN</t>
        </is>
      </c>
      <c r="E3894" t="inlineStr">
        <is>
          <t>EDA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35174-2020</t>
        </is>
      </c>
      <c r="B3895" s="1" t="n">
        <v>44040</v>
      </c>
      <c r="C3895" s="1" t="n">
        <v>45353</v>
      </c>
      <c r="D3895" t="inlineStr">
        <is>
          <t>VÄRMLANDS LÄN</t>
        </is>
      </c>
      <c r="E3895" t="inlineStr">
        <is>
          <t>TORSBY</t>
        </is>
      </c>
      <c r="F3895" t="inlineStr">
        <is>
          <t>Kommuner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35155-2020</t>
        </is>
      </c>
      <c r="B3896" s="1" t="n">
        <v>44040</v>
      </c>
      <c r="C3896" s="1" t="n">
        <v>45353</v>
      </c>
      <c r="D3896" t="inlineStr">
        <is>
          <t>VÄRMLANDS LÄN</t>
        </is>
      </c>
      <c r="E3896" t="inlineStr">
        <is>
          <t>SÄFFLE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35310-2020</t>
        </is>
      </c>
      <c r="B3897" s="1" t="n">
        <v>44041</v>
      </c>
      <c r="C3897" s="1" t="n">
        <v>45353</v>
      </c>
      <c r="D3897" t="inlineStr">
        <is>
          <t>VÄRMLANDS LÄN</t>
        </is>
      </c>
      <c r="E3897" t="inlineStr">
        <is>
          <t>SUNNE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35278-2020</t>
        </is>
      </c>
      <c r="B3898" s="1" t="n">
        <v>44041</v>
      </c>
      <c r="C3898" s="1" t="n">
        <v>45353</v>
      </c>
      <c r="D3898" t="inlineStr">
        <is>
          <t>VÄRMLANDS LÄN</t>
        </is>
      </c>
      <c r="E3898" t="inlineStr">
        <is>
          <t>KRISTINEHAMN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35307-2020</t>
        </is>
      </c>
      <c r="B3899" s="1" t="n">
        <v>44041</v>
      </c>
      <c r="C3899" s="1" t="n">
        <v>45353</v>
      </c>
      <c r="D3899" t="inlineStr">
        <is>
          <t>VÄRMLANDS LÄN</t>
        </is>
      </c>
      <c r="E3899" t="inlineStr">
        <is>
          <t>EDA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35420-2020</t>
        </is>
      </c>
      <c r="B3900" s="1" t="n">
        <v>44042</v>
      </c>
      <c r="C3900" s="1" t="n">
        <v>45353</v>
      </c>
      <c r="D3900" t="inlineStr">
        <is>
          <t>VÄRMLANDS LÄN</t>
        </is>
      </c>
      <c r="E3900" t="inlineStr">
        <is>
          <t>ARVIKA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35424-2020</t>
        </is>
      </c>
      <c r="B3901" s="1" t="n">
        <v>44042</v>
      </c>
      <c r="C3901" s="1" t="n">
        <v>45353</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35431-2020</t>
        </is>
      </c>
      <c r="B3902" s="1" t="n">
        <v>44042</v>
      </c>
      <c r="C3902" s="1" t="n">
        <v>45353</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35481-2020</t>
        </is>
      </c>
      <c r="B3903" s="1" t="n">
        <v>44042</v>
      </c>
      <c r="C3903" s="1" t="n">
        <v>45353</v>
      </c>
      <c r="D3903" t="inlineStr">
        <is>
          <t>VÄRMLANDS LÄN</t>
        </is>
      </c>
      <c r="E3903" t="inlineStr">
        <is>
          <t>SUNNE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35429-2020</t>
        </is>
      </c>
      <c r="B3904" s="1" t="n">
        <v>44042</v>
      </c>
      <c r="C3904" s="1" t="n">
        <v>45353</v>
      </c>
      <c r="D3904" t="inlineStr">
        <is>
          <t>VÄRMLANDS LÄN</t>
        </is>
      </c>
      <c r="E3904" t="inlineStr">
        <is>
          <t>ARVIKA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35421-2020</t>
        </is>
      </c>
      <c r="B3905" s="1" t="n">
        <v>44042</v>
      </c>
      <c r="C3905" s="1" t="n">
        <v>45353</v>
      </c>
      <c r="D3905" t="inlineStr">
        <is>
          <t>VÄRMLANDS LÄN</t>
        </is>
      </c>
      <c r="E3905" t="inlineStr">
        <is>
          <t>ARVIKA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35410-2020</t>
        </is>
      </c>
      <c r="B3906" s="1" t="n">
        <v>44042</v>
      </c>
      <c r="C3906" s="1" t="n">
        <v>45353</v>
      </c>
      <c r="D3906" t="inlineStr">
        <is>
          <t>VÄRMLANDS LÄN</t>
        </is>
      </c>
      <c r="E3906" t="inlineStr">
        <is>
          <t>ÅRJÄNG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35417-2020</t>
        </is>
      </c>
      <c r="B3907" s="1" t="n">
        <v>44042</v>
      </c>
      <c r="C3907" s="1" t="n">
        <v>45353</v>
      </c>
      <c r="D3907" t="inlineStr">
        <is>
          <t>VÄRMLANDS LÄN</t>
        </is>
      </c>
      <c r="E3907" t="inlineStr">
        <is>
          <t>EDA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35502-2020</t>
        </is>
      </c>
      <c r="B3908" s="1" t="n">
        <v>44043</v>
      </c>
      <c r="C3908" s="1" t="n">
        <v>45353</v>
      </c>
      <c r="D3908" t="inlineStr">
        <is>
          <t>VÄRMLANDS LÄN</t>
        </is>
      </c>
      <c r="E3908" t="inlineStr">
        <is>
          <t>STORFORS</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35500-2020</t>
        </is>
      </c>
      <c r="B3909" s="1" t="n">
        <v>44043</v>
      </c>
      <c r="C3909" s="1" t="n">
        <v>45353</v>
      </c>
      <c r="D3909" t="inlineStr">
        <is>
          <t>VÄRMLANDS LÄN</t>
        </is>
      </c>
      <c r="E3909" t="inlineStr">
        <is>
          <t>TORSBY</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35704-2020</t>
        </is>
      </c>
      <c r="B3910" s="1" t="n">
        <v>44046</v>
      </c>
      <c r="C3910" s="1" t="n">
        <v>45353</v>
      </c>
      <c r="D3910" t="inlineStr">
        <is>
          <t>VÄRMLANDS LÄN</t>
        </is>
      </c>
      <c r="E3910" t="inlineStr">
        <is>
          <t>GRUMS</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35725-2020</t>
        </is>
      </c>
      <c r="B3911" s="1" t="n">
        <v>44046</v>
      </c>
      <c r="C3911" s="1" t="n">
        <v>45353</v>
      </c>
      <c r="D3911" t="inlineStr">
        <is>
          <t>VÄRMLANDS LÄN</t>
        </is>
      </c>
      <c r="E3911" t="inlineStr">
        <is>
          <t>SUNNE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35745-2020</t>
        </is>
      </c>
      <c r="B3912" s="1" t="n">
        <v>44046</v>
      </c>
      <c r="C3912" s="1" t="n">
        <v>45353</v>
      </c>
      <c r="D3912" t="inlineStr">
        <is>
          <t>VÄRMLANDS LÄN</t>
        </is>
      </c>
      <c r="E3912" t="inlineStr">
        <is>
          <t>GRUMS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35778-2020</t>
        </is>
      </c>
      <c r="B3913" s="1" t="n">
        <v>44046</v>
      </c>
      <c r="C3913" s="1" t="n">
        <v>45353</v>
      </c>
      <c r="D3913" t="inlineStr">
        <is>
          <t>VÄRMLANDS LÄN</t>
        </is>
      </c>
      <c r="E3913" t="inlineStr">
        <is>
          <t>TORSBY</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35842-2020</t>
        </is>
      </c>
      <c r="B3914" s="1" t="n">
        <v>44047</v>
      </c>
      <c r="C3914" s="1" t="n">
        <v>45353</v>
      </c>
      <c r="D3914" t="inlineStr">
        <is>
          <t>VÄRMLANDS LÄN</t>
        </is>
      </c>
      <c r="E3914" t="inlineStr">
        <is>
          <t>ÅRJÄNG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35895-2020</t>
        </is>
      </c>
      <c r="B3915" s="1" t="n">
        <v>44047</v>
      </c>
      <c r="C3915" s="1" t="n">
        <v>45353</v>
      </c>
      <c r="D3915" t="inlineStr">
        <is>
          <t>VÄRMLANDS LÄN</t>
        </is>
      </c>
      <c r="E3915" t="inlineStr">
        <is>
          <t>HAGFORS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35900-2020</t>
        </is>
      </c>
      <c r="B3916" s="1" t="n">
        <v>44047</v>
      </c>
      <c r="C3916" s="1" t="n">
        <v>45353</v>
      </c>
      <c r="D3916" t="inlineStr">
        <is>
          <t>VÄRMLANDS LÄN</t>
        </is>
      </c>
      <c r="E3916" t="inlineStr">
        <is>
          <t>TORSBY</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35935-2020</t>
        </is>
      </c>
      <c r="B3917" s="1" t="n">
        <v>44047</v>
      </c>
      <c r="C3917" s="1" t="n">
        <v>45353</v>
      </c>
      <c r="D3917" t="inlineStr">
        <is>
          <t>VÄRMLANDS LÄN</t>
        </is>
      </c>
      <c r="E3917" t="inlineStr">
        <is>
          <t>HAGFORS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35955-2020</t>
        </is>
      </c>
      <c r="B3918" s="1" t="n">
        <v>44047</v>
      </c>
      <c r="C3918" s="1" t="n">
        <v>45353</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35977-2020</t>
        </is>
      </c>
      <c r="B3919" s="1" t="n">
        <v>44047</v>
      </c>
      <c r="C3919" s="1" t="n">
        <v>45353</v>
      </c>
      <c r="D3919" t="inlineStr">
        <is>
          <t>VÄRMLANDS LÄN</t>
        </is>
      </c>
      <c r="E3919" t="inlineStr">
        <is>
          <t>MUNKFORS</t>
        </is>
      </c>
      <c r="F3919" t="inlineStr">
        <is>
          <t>Kyrkan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35826-2020</t>
        </is>
      </c>
      <c r="B3920" s="1" t="n">
        <v>44047</v>
      </c>
      <c r="C3920" s="1" t="n">
        <v>45353</v>
      </c>
      <c r="D3920" t="inlineStr">
        <is>
          <t>VÄRMLANDS LÄN</t>
        </is>
      </c>
      <c r="E3920" t="inlineStr">
        <is>
          <t>TORSBY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35887-2020</t>
        </is>
      </c>
      <c r="B3921" s="1" t="n">
        <v>44047</v>
      </c>
      <c r="C3921" s="1" t="n">
        <v>45353</v>
      </c>
      <c r="D3921" t="inlineStr">
        <is>
          <t>VÄRMLANDS LÄN</t>
        </is>
      </c>
      <c r="E3921" t="inlineStr">
        <is>
          <t>SUNNE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36005-2020</t>
        </is>
      </c>
      <c r="B3922" s="1" t="n">
        <v>44047</v>
      </c>
      <c r="C3922" s="1" t="n">
        <v>45353</v>
      </c>
      <c r="D3922" t="inlineStr">
        <is>
          <t>VÄRMLANDS LÄN</t>
        </is>
      </c>
      <c r="E3922" t="inlineStr">
        <is>
          <t>KIL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35852-2020</t>
        </is>
      </c>
      <c r="B3923" s="1" t="n">
        <v>44047</v>
      </c>
      <c r="C3923" s="1" t="n">
        <v>45353</v>
      </c>
      <c r="D3923" t="inlineStr">
        <is>
          <t>VÄRMLANDS LÄN</t>
        </is>
      </c>
      <c r="E3923" t="inlineStr">
        <is>
          <t>EDA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35905-2020</t>
        </is>
      </c>
      <c r="B3924" s="1" t="n">
        <v>44047</v>
      </c>
      <c r="C3924" s="1" t="n">
        <v>45353</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35925-2020</t>
        </is>
      </c>
      <c r="B3925" s="1" t="n">
        <v>44047</v>
      </c>
      <c r="C3925" s="1" t="n">
        <v>45353</v>
      </c>
      <c r="D3925" t="inlineStr">
        <is>
          <t>VÄRMLANDS LÄN</t>
        </is>
      </c>
      <c r="E3925" t="inlineStr">
        <is>
          <t>HAGFORS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35999-2020</t>
        </is>
      </c>
      <c r="B3926" s="1" t="n">
        <v>44047</v>
      </c>
      <c r="C3926" s="1" t="n">
        <v>45353</v>
      </c>
      <c r="D3926" t="inlineStr">
        <is>
          <t>VÄRMLANDS LÄN</t>
        </is>
      </c>
      <c r="E3926" t="inlineStr">
        <is>
          <t>KARLSTAD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36004-2020</t>
        </is>
      </c>
      <c r="B3927" s="1" t="n">
        <v>44047</v>
      </c>
      <c r="C3927" s="1" t="n">
        <v>45353</v>
      </c>
      <c r="D3927" t="inlineStr">
        <is>
          <t>VÄRMLANDS LÄN</t>
        </is>
      </c>
      <c r="E3927" t="inlineStr">
        <is>
          <t>KIL</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36038-2020</t>
        </is>
      </c>
      <c r="B3928" s="1" t="n">
        <v>44047</v>
      </c>
      <c r="C3928" s="1" t="n">
        <v>45353</v>
      </c>
      <c r="D3928" t="inlineStr">
        <is>
          <t>VÄRMLANDS LÄN</t>
        </is>
      </c>
      <c r="E3928" t="inlineStr">
        <is>
          <t>KARLSTAD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35921-2020</t>
        </is>
      </c>
      <c r="B3929" s="1" t="n">
        <v>44047</v>
      </c>
      <c r="C3929" s="1" t="n">
        <v>45353</v>
      </c>
      <c r="D3929" t="inlineStr">
        <is>
          <t>VÄRMLANDS LÄN</t>
        </is>
      </c>
      <c r="E3929" t="inlineStr">
        <is>
          <t>HAGFORS</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35952-2020</t>
        </is>
      </c>
      <c r="B3930" s="1" t="n">
        <v>44047</v>
      </c>
      <c r="C3930" s="1" t="n">
        <v>45353</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36006-2020</t>
        </is>
      </c>
      <c r="B3931" s="1" t="n">
        <v>44047</v>
      </c>
      <c r="C3931" s="1" t="n">
        <v>45353</v>
      </c>
      <c r="D3931" t="inlineStr">
        <is>
          <t>VÄRMLANDS LÄN</t>
        </is>
      </c>
      <c r="E3931" t="inlineStr">
        <is>
          <t>KIL</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36482-2020</t>
        </is>
      </c>
      <c r="B3932" s="1" t="n">
        <v>44048</v>
      </c>
      <c r="C3932" s="1" t="n">
        <v>45353</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36056-2020</t>
        </is>
      </c>
      <c r="B3933" s="1" t="n">
        <v>44048</v>
      </c>
      <c r="C3933" s="1" t="n">
        <v>45353</v>
      </c>
      <c r="D3933" t="inlineStr">
        <is>
          <t>VÄRMLANDS LÄN</t>
        </is>
      </c>
      <c r="E3933" t="inlineStr">
        <is>
          <t>KARLSTAD</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36176-2020</t>
        </is>
      </c>
      <c r="B3934" s="1" t="n">
        <v>44048</v>
      </c>
      <c r="C3934" s="1" t="n">
        <v>45353</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36126-2020</t>
        </is>
      </c>
      <c r="B3935" s="1" t="n">
        <v>44048</v>
      </c>
      <c r="C3935" s="1" t="n">
        <v>45353</v>
      </c>
      <c r="D3935" t="inlineStr">
        <is>
          <t>VÄRMLANDS LÄN</t>
        </is>
      </c>
      <c r="E3935" t="inlineStr">
        <is>
          <t>FILIPSTAD</t>
        </is>
      </c>
      <c r="F3935" t="inlineStr">
        <is>
          <t>Bergvik skog väst AB</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36109-2020</t>
        </is>
      </c>
      <c r="B3936" s="1" t="n">
        <v>44048</v>
      </c>
      <c r="C3936" s="1" t="n">
        <v>45353</v>
      </c>
      <c r="D3936" t="inlineStr">
        <is>
          <t>VÄRMLANDS LÄN</t>
        </is>
      </c>
      <c r="E3936" t="inlineStr">
        <is>
          <t>EDA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36090-2020</t>
        </is>
      </c>
      <c r="B3937" s="1" t="n">
        <v>44048</v>
      </c>
      <c r="C3937" s="1" t="n">
        <v>45353</v>
      </c>
      <c r="D3937" t="inlineStr">
        <is>
          <t>VÄRMLANDS LÄN</t>
        </is>
      </c>
      <c r="E3937" t="inlineStr">
        <is>
          <t>FILIPSTAD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36104-2020</t>
        </is>
      </c>
      <c r="B3938" s="1" t="n">
        <v>44048</v>
      </c>
      <c r="C3938" s="1" t="n">
        <v>45353</v>
      </c>
      <c r="D3938" t="inlineStr">
        <is>
          <t>VÄRMLANDS LÄN</t>
        </is>
      </c>
      <c r="E3938" t="inlineStr">
        <is>
          <t>TORSBY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36192-2020</t>
        </is>
      </c>
      <c r="B3939" s="1" t="n">
        <v>44048</v>
      </c>
      <c r="C3939" s="1" t="n">
        <v>45353</v>
      </c>
      <c r="D3939" t="inlineStr">
        <is>
          <t>VÄRMLANDS LÄN</t>
        </is>
      </c>
      <c r="E3939" t="inlineStr">
        <is>
          <t>SUNNE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36034-2020</t>
        </is>
      </c>
      <c r="B3940" s="1" t="n">
        <v>44048</v>
      </c>
      <c r="C3940" s="1" t="n">
        <v>45353</v>
      </c>
      <c r="D3940" t="inlineStr">
        <is>
          <t>VÄRMLANDS LÄN</t>
        </is>
      </c>
      <c r="E3940" t="inlineStr">
        <is>
          <t>SUNNE</t>
        </is>
      </c>
      <c r="F3940" t="inlineStr">
        <is>
          <t>Övriga statliga verk och myndigheter</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36062-2020</t>
        </is>
      </c>
      <c r="B3941" s="1" t="n">
        <v>44048</v>
      </c>
      <c r="C3941" s="1" t="n">
        <v>45353</v>
      </c>
      <c r="D3941" t="inlineStr">
        <is>
          <t>VÄRMLANDS LÄN</t>
        </is>
      </c>
      <c r="E3941" t="inlineStr">
        <is>
          <t>KARLSTAD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36265-2020</t>
        </is>
      </c>
      <c r="B3942" s="1" t="n">
        <v>44049</v>
      </c>
      <c r="C3942" s="1" t="n">
        <v>45353</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36370-2020</t>
        </is>
      </c>
      <c r="B3943" s="1" t="n">
        <v>44049</v>
      </c>
      <c r="C3943" s="1" t="n">
        <v>45353</v>
      </c>
      <c r="D3943" t="inlineStr">
        <is>
          <t>VÄRMLANDS LÄN</t>
        </is>
      </c>
      <c r="E3943" t="inlineStr">
        <is>
          <t>STORFORS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36396-2020</t>
        </is>
      </c>
      <c r="B3944" s="1" t="n">
        <v>44049</v>
      </c>
      <c r="C3944" s="1" t="n">
        <v>45353</v>
      </c>
      <c r="D3944" t="inlineStr">
        <is>
          <t>VÄRMLANDS LÄN</t>
        </is>
      </c>
      <c r="E3944" t="inlineStr">
        <is>
          <t>TORSBY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36476-2020</t>
        </is>
      </c>
      <c r="B3945" s="1" t="n">
        <v>44049</v>
      </c>
      <c r="C3945" s="1" t="n">
        <v>45353</v>
      </c>
      <c r="D3945" t="inlineStr">
        <is>
          <t>VÄRMLANDS LÄN</t>
        </is>
      </c>
      <c r="E3945" t="inlineStr">
        <is>
          <t>KARLSTAD</t>
        </is>
      </c>
      <c r="G3945" t="n">
        <v>13.6</v>
      </c>
      <c r="H3945" t="n">
        <v>0</v>
      </c>
      <c r="I3945" t="n">
        <v>0</v>
      </c>
      <c r="J3945" t="n">
        <v>0</v>
      </c>
      <c r="K3945" t="n">
        <v>0</v>
      </c>
      <c r="L3945" t="n">
        <v>0</v>
      </c>
      <c r="M3945" t="n">
        <v>0</v>
      </c>
      <c r="N3945" t="n">
        <v>0</v>
      </c>
      <c r="O3945" t="n">
        <v>0</v>
      </c>
      <c r="P3945" t="n">
        <v>0</v>
      </c>
      <c r="Q3945" t="n">
        <v>0</v>
      </c>
      <c r="R3945" s="2" t="inlineStr"/>
    </row>
    <row r="3946" ht="15" customHeight="1">
      <c r="A3946" t="inlineStr">
        <is>
          <t>A 36301-2020</t>
        </is>
      </c>
      <c r="B3946" s="1" t="n">
        <v>44049</v>
      </c>
      <c r="C3946" s="1" t="n">
        <v>45353</v>
      </c>
      <c r="D3946" t="inlineStr">
        <is>
          <t>VÄRMLANDS LÄN</t>
        </is>
      </c>
      <c r="E3946" t="inlineStr">
        <is>
          <t>ARVIKA</t>
        </is>
      </c>
      <c r="F3946" t="inlineStr">
        <is>
          <t>Bergvik skog väst AB</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36394-2020</t>
        </is>
      </c>
      <c r="B3947" s="1" t="n">
        <v>44049</v>
      </c>
      <c r="C3947" s="1" t="n">
        <v>45353</v>
      </c>
      <c r="D3947" t="inlineStr">
        <is>
          <t>VÄRMLANDS LÄN</t>
        </is>
      </c>
      <c r="E3947" t="inlineStr">
        <is>
          <t>TORSBY</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36537-2020</t>
        </is>
      </c>
      <c r="B3948" s="1" t="n">
        <v>44050</v>
      </c>
      <c r="C3948" s="1" t="n">
        <v>45353</v>
      </c>
      <c r="D3948" t="inlineStr">
        <is>
          <t>VÄRMLANDS LÄN</t>
        </is>
      </c>
      <c r="E3948" t="inlineStr">
        <is>
          <t>ÅRJÄNG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36548-2020</t>
        </is>
      </c>
      <c r="B3949" s="1" t="n">
        <v>44050</v>
      </c>
      <c r="C3949" s="1" t="n">
        <v>45353</v>
      </c>
      <c r="D3949" t="inlineStr">
        <is>
          <t>VÄRMLANDS LÄN</t>
        </is>
      </c>
      <c r="E3949" t="inlineStr">
        <is>
          <t>ARVIKA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36635-2020</t>
        </is>
      </c>
      <c r="B3950" s="1" t="n">
        <v>44050</v>
      </c>
      <c r="C3950" s="1" t="n">
        <v>45353</v>
      </c>
      <c r="D3950" t="inlineStr">
        <is>
          <t>VÄRMLANDS LÄN</t>
        </is>
      </c>
      <c r="E3950" t="inlineStr">
        <is>
          <t>SÄFFLE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36629-2020</t>
        </is>
      </c>
      <c r="B3951" s="1" t="n">
        <v>44050</v>
      </c>
      <c r="C3951" s="1" t="n">
        <v>45353</v>
      </c>
      <c r="D3951" t="inlineStr">
        <is>
          <t>VÄRMLANDS LÄN</t>
        </is>
      </c>
      <c r="E3951" t="inlineStr">
        <is>
          <t>EDA</t>
        </is>
      </c>
      <c r="F3951" t="inlineStr">
        <is>
          <t>Kyrkan</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36637-2020</t>
        </is>
      </c>
      <c r="B3952" s="1" t="n">
        <v>44050</v>
      </c>
      <c r="C3952" s="1" t="n">
        <v>45353</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36715-2020</t>
        </is>
      </c>
      <c r="B3953" s="1" t="n">
        <v>44050</v>
      </c>
      <c r="C3953" s="1" t="n">
        <v>45353</v>
      </c>
      <c r="D3953" t="inlineStr">
        <is>
          <t>VÄRMLANDS LÄN</t>
        </is>
      </c>
      <c r="E3953" t="inlineStr">
        <is>
          <t>GRUMS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36619-2020</t>
        </is>
      </c>
      <c r="B3954" s="1" t="n">
        <v>44050</v>
      </c>
      <c r="C3954" s="1" t="n">
        <v>45353</v>
      </c>
      <c r="D3954" t="inlineStr">
        <is>
          <t>VÄRMLANDS LÄN</t>
        </is>
      </c>
      <c r="E3954" t="inlineStr">
        <is>
          <t>KARLSTAD</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36634-2020</t>
        </is>
      </c>
      <c r="B3955" s="1" t="n">
        <v>44050</v>
      </c>
      <c r="C3955" s="1" t="n">
        <v>45353</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36712-2020</t>
        </is>
      </c>
      <c r="B3956" s="1" t="n">
        <v>44050</v>
      </c>
      <c r="C3956" s="1" t="n">
        <v>45353</v>
      </c>
      <c r="D3956" t="inlineStr">
        <is>
          <t>VÄRMLANDS LÄN</t>
        </is>
      </c>
      <c r="E3956" t="inlineStr">
        <is>
          <t>GRUMS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36720-2020</t>
        </is>
      </c>
      <c r="B3957" s="1" t="n">
        <v>44050</v>
      </c>
      <c r="C3957" s="1" t="n">
        <v>45353</v>
      </c>
      <c r="D3957" t="inlineStr">
        <is>
          <t>VÄRMLANDS LÄN</t>
        </is>
      </c>
      <c r="E3957" t="inlineStr">
        <is>
          <t>GRUMS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36732-2020</t>
        </is>
      </c>
      <c r="B3958" s="1" t="n">
        <v>44053</v>
      </c>
      <c r="C3958" s="1" t="n">
        <v>45353</v>
      </c>
      <c r="D3958" t="inlineStr">
        <is>
          <t>VÄRMLANDS LÄN</t>
        </is>
      </c>
      <c r="E3958" t="inlineStr">
        <is>
          <t>KIL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36827-2020</t>
        </is>
      </c>
      <c r="B3959" s="1" t="n">
        <v>44053</v>
      </c>
      <c r="C3959" s="1" t="n">
        <v>45353</v>
      </c>
      <c r="D3959" t="inlineStr">
        <is>
          <t>VÄRMLANDS LÄN</t>
        </is>
      </c>
      <c r="E3959" t="inlineStr">
        <is>
          <t>ARVIKA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36689-2020</t>
        </is>
      </c>
      <c r="B3960" s="1" t="n">
        <v>44053</v>
      </c>
      <c r="C3960" s="1" t="n">
        <v>45353</v>
      </c>
      <c r="D3960" t="inlineStr">
        <is>
          <t>VÄRMLANDS LÄN</t>
        </is>
      </c>
      <c r="E3960" t="inlineStr">
        <is>
          <t>EDA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36820-2020</t>
        </is>
      </c>
      <c r="B3961" s="1" t="n">
        <v>44053</v>
      </c>
      <c r="C3961" s="1" t="n">
        <v>45353</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36847-2020</t>
        </is>
      </c>
      <c r="B3962" s="1" t="n">
        <v>44053</v>
      </c>
      <c r="C3962" s="1" t="n">
        <v>45353</v>
      </c>
      <c r="D3962" t="inlineStr">
        <is>
          <t>VÄRMLANDS LÄN</t>
        </is>
      </c>
      <c r="E3962" t="inlineStr">
        <is>
          <t>TORSBY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36901-2020</t>
        </is>
      </c>
      <c r="B3963" s="1" t="n">
        <v>44053</v>
      </c>
      <c r="C3963" s="1" t="n">
        <v>45353</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37059-2020</t>
        </is>
      </c>
      <c r="B3964" s="1" t="n">
        <v>44053</v>
      </c>
      <c r="C3964" s="1" t="n">
        <v>45353</v>
      </c>
      <c r="D3964" t="inlineStr">
        <is>
          <t>VÄRMLANDS LÄN</t>
        </is>
      </c>
      <c r="E3964" t="inlineStr">
        <is>
          <t>GRUMS</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37050-2020</t>
        </is>
      </c>
      <c r="B3965" s="1" t="n">
        <v>44053</v>
      </c>
      <c r="C3965" s="1" t="n">
        <v>45353</v>
      </c>
      <c r="D3965" t="inlineStr">
        <is>
          <t>VÄRMLANDS LÄN</t>
        </is>
      </c>
      <c r="E3965" t="inlineStr">
        <is>
          <t>SÄFFLE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37055-2020</t>
        </is>
      </c>
      <c r="B3966" s="1" t="n">
        <v>44053</v>
      </c>
      <c r="C3966" s="1" t="n">
        <v>45353</v>
      </c>
      <c r="D3966" t="inlineStr">
        <is>
          <t>VÄRMLANDS LÄN</t>
        </is>
      </c>
      <c r="E3966" t="inlineStr">
        <is>
          <t>SÄFFLE</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36699-2020</t>
        </is>
      </c>
      <c r="B3967" s="1" t="n">
        <v>44053</v>
      </c>
      <c r="C3967" s="1" t="n">
        <v>45353</v>
      </c>
      <c r="D3967" t="inlineStr">
        <is>
          <t>VÄRMLANDS LÄN</t>
        </is>
      </c>
      <c r="E3967" t="inlineStr">
        <is>
          <t>FORSHAGA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37060-2020</t>
        </is>
      </c>
      <c r="B3968" s="1" t="n">
        <v>44054</v>
      </c>
      <c r="C3968" s="1" t="n">
        <v>45353</v>
      </c>
      <c r="D3968" t="inlineStr">
        <is>
          <t>VÄRMLANDS LÄN</t>
        </is>
      </c>
      <c r="E3968" t="inlineStr">
        <is>
          <t>EDA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37058-2020</t>
        </is>
      </c>
      <c r="B3969" s="1" t="n">
        <v>44054</v>
      </c>
      <c r="C3969" s="1" t="n">
        <v>45353</v>
      </c>
      <c r="D3969" t="inlineStr">
        <is>
          <t>VÄRMLANDS LÄN</t>
        </is>
      </c>
      <c r="E3969" t="inlineStr">
        <is>
          <t>ÅRJÄNG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37151-2020</t>
        </is>
      </c>
      <c r="B3970" s="1" t="n">
        <v>44054</v>
      </c>
      <c r="C3970" s="1" t="n">
        <v>45353</v>
      </c>
      <c r="D3970" t="inlineStr">
        <is>
          <t>VÄRMLANDS LÄN</t>
        </is>
      </c>
      <c r="E3970" t="inlineStr">
        <is>
          <t>GRUMS</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37208-2020</t>
        </is>
      </c>
      <c r="B3971" s="1" t="n">
        <v>44054</v>
      </c>
      <c r="C3971" s="1" t="n">
        <v>45353</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37010-2020</t>
        </is>
      </c>
      <c r="B3972" s="1" t="n">
        <v>44054</v>
      </c>
      <c r="C3972" s="1" t="n">
        <v>45353</v>
      </c>
      <c r="D3972" t="inlineStr">
        <is>
          <t>VÄRMLANDS LÄN</t>
        </is>
      </c>
      <c r="E3972" t="inlineStr">
        <is>
          <t>ÅRJÄNG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37305-2020</t>
        </is>
      </c>
      <c r="B3973" s="1" t="n">
        <v>44055</v>
      </c>
      <c r="C3973" s="1" t="n">
        <v>45353</v>
      </c>
      <c r="D3973" t="inlineStr">
        <is>
          <t>VÄRMLANDS LÄN</t>
        </is>
      </c>
      <c r="E3973" t="inlineStr">
        <is>
          <t>TORSBY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37302-2020</t>
        </is>
      </c>
      <c r="B3974" s="1" t="n">
        <v>44055</v>
      </c>
      <c r="C3974" s="1" t="n">
        <v>45353</v>
      </c>
      <c r="D3974" t="inlineStr">
        <is>
          <t>VÄRMLANDS LÄN</t>
        </is>
      </c>
      <c r="E3974" t="inlineStr">
        <is>
          <t>TORSBY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37307-2020</t>
        </is>
      </c>
      <c r="B3975" s="1" t="n">
        <v>44055</v>
      </c>
      <c r="C3975" s="1" t="n">
        <v>45353</v>
      </c>
      <c r="D3975" t="inlineStr">
        <is>
          <t>VÄRMLANDS LÄN</t>
        </is>
      </c>
      <c r="E3975" t="inlineStr">
        <is>
          <t>TORSBY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37303-2020</t>
        </is>
      </c>
      <c r="B3976" s="1" t="n">
        <v>44055</v>
      </c>
      <c r="C3976" s="1" t="n">
        <v>45353</v>
      </c>
      <c r="D3976" t="inlineStr">
        <is>
          <t>VÄRMLANDS LÄN</t>
        </is>
      </c>
      <c r="E3976" t="inlineStr">
        <is>
          <t>TORSBY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37465-2020</t>
        </is>
      </c>
      <c r="B3977" s="1" t="n">
        <v>44055</v>
      </c>
      <c r="C3977" s="1" t="n">
        <v>45353</v>
      </c>
      <c r="D3977" t="inlineStr">
        <is>
          <t>VÄRMLANDS LÄN</t>
        </is>
      </c>
      <c r="E3977" t="inlineStr">
        <is>
          <t>FILIPSTAD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37458-2020</t>
        </is>
      </c>
      <c r="B3978" s="1" t="n">
        <v>44055</v>
      </c>
      <c r="C3978" s="1" t="n">
        <v>45353</v>
      </c>
      <c r="D3978" t="inlineStr">
        <is>
          <t>VÄRMLANDS LÄN</t>
        </is>
      </c>
      <c r="E3978" t="inlineStr">
        <is>
          <t>FILIPSTAD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37547-2020</t>
        </is>
      </c>
      <c r="B3979" s="1" t="n">
        <v>44056</v>
      </c>
      <c r="C3979" s="1" t="n">
        <v>45353</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37620-2020</t>
        </is>
      </c>
      <c r="B3980" s="1" t="n">
        <v>44056</v>
      </c>
      <c r="C3980" s="1" t="n">
        <v>45353</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37617-2020</t>
        </is>
      </c>
      <c r="B3981" s="1" t="n">
        <v>44056</v>
      </c>
      <c r="C3981" s="1" t="n">
        <v>45353</v>
      </c>
      <c r="D3981" t="inlineStr">
        <is>
          <t>VÄRMLANDS LÄN</t>
        </is>
      </c>
      <c r="E3981" t="inlineStr">
        <is>
          <t>SUNNE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37755-2020</t>
        </is>
      </c>
      <c r="B3982" s="1" t="n">
        <v>44056</v>
      </c>
      <c r="C3982" s="1" t="n">
        <v>45353</v>
      </c>
      <c r="D3982" t="inlineStr">
        <is>
          <t>VÄRMLANDS LÄN</t>
        </is>
      </c>
      <c r="E3982" t="inlineStr">
        <is>
          <t>KIL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37751-2020</t>
        </is>
      </c>
      <c r="B3983" s="1" t="n">
        <v>44056</v>
      </c>
      <c r="C3983" s="1" t="n">
        <v>45353</v>
      </c>
      <c r="D3983" t="inlineStr">
        <is>
          <t>VÄRMLANDS LÄN</t>
        </is>
      </c>
      <c r="E3983" t="inlineStr">
        <is>
          <t>KIL</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37877-2020</t>
        </is>
      </c>
      <c r="B3984" s="1" t="n">
        <v>44057</v>
      </c>
      <c r="C3984" s="1" t="n">
        <v>45353</v>
      </c>
      <c r="D3984" t="inlineStr">
        <is>
          <t>VÄRMLANDS LÄN</t>
        </is>
      </c>
      <c r="E3984" t="inlineStr">
        <is>
          <t>GRUMS</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37831-2020</t>
        </is>
      </c>
      <c r="B3985" s="1" t="n">
        <v>44057</v>
      </c>
      <c r="C3985" s="1" t="n">
        <v>45353</v>
      </c>
      <c r="D3985" t="inlineStr">
        <is>
          <t>VÄRMLANDS LÄN</t>
        </is>
      </c>
      <c r="E3985" t="inlineStr">
        <is>
          <t>SÄFFLE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37880-2020</t>
        </is>
      </c>
      <c r="B3986" s="1" t="n">
        <v>44057</v>
      </c>
      <c r="C3986" s="1" t="n">
        <v>45353</v>
      </c>
      <c r="D3986" t="inlineStr">
        <is>
          <t>VÄRMLANDS LÄN</t>
        </is>
      </c>
      <c r="E3986" t="inlineStr">
        <is>
          <t>FILIPSTAD</t>
        </is>
      </c>
      <c r="F3986" t="inlineStr">
        <is>
          <t>Bergvik skog väst AB</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37805-2020</t>
        </is>
      </c>
      <c r="B3987" s="1" t="n">
        <v>44057</v>
      </c>
      <c r="C3987" s="1" t="n">
        <v>45353</v>
      </c>
      <c r="D3987" t="inlineStr">
        <is>
          <t>VÄRMLANDS LÄN</t>
        </is>
      </c>
      <c r="E3987" t="inlineStr">
        <is>
          <t>EDA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37879-2020</t>
        </is>
      </c>
      <c r="B3988" s="1" t="n">
        <v>44057</v>
      </c>
      <c r="C3988" s="1" t="n">
        <v>45353</v>
      </c>
      <c r="D3988" t="inlineStr">
        <is>
          <t>VÄRMLANDS LÄN</t>
        </is>
      </c>
      <c r="E3988" t="inlineStr">
        <is>
          <t>GRUMS</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38055-2020</t>
        </is>
      </c>
      <c r="B3989" s="1" t="n">
        <v>44057</v>
      </c>
      <c r="C3989" s="1" t="n">
        <v>45353</v>
      </c>
      <c r="D3989" t="inlineStr">
        <is>
          <t>VÄRMLANDS LÄN</t>
        </is>
      </c>
      <c r="E3989" t="inlineStr">
        <is>
          <t>KARLSTAD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37995-2020</t>
        </is>
      </c>
      <c r="B3990" s="1" t="n">
        <v>44057</v>
      </c>
      <c r="C3990" s="1" t="n">
        <v>45353</v>
      </c>
      <c r="D3990" t="inlineStr">
        <is>
          <t>VÄRMLANDS LÄN</t>
        </is>
      </c>
      <c r="E3990" t="inlineStr">
        <is>
          <t>ARVIKA</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38030-2020</t>
        </is>
      </c>
      <c r="B3991" s="1" t="n">
        <v>44057</v>
      </c>
      <c r="C3991" s="1" t="n">
        <v>45353</v>
      </c>
      <c r="D3991" t="inlineStr">
        <is>
          <t>VÄRMLANDS LÄN</t>
        </is>
      </c>
      <c r="E3991" t="inlineStr">
        <is>
          <t>SUNNE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38177-2020</t>
        </is>
      </c>
      <c r="B3992" s="1" t="n">
        <v>44060</v>
      </c>
      <c r="C3992" s="1" t="n">
        <v>45353</v>
      </c>
      <c r="D3992" t="inlineStr">
        <is>
          <t>VÄRMLANDS LÄN</t>
        </is>
      </c>
      <c r="E3992" t="inlineStr">
        <is>
          <t>ÅRJÄNG</t>
        </is>
      </c>
      <c r="F3992" t="inlineStr">
        <is>
          <t>Övriga Aktiebolag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38323-2020</t>
        </is>
      </c>
      <c r="B3993" s="1" t="n">
        <v>44060</v>
      </c>
      <c r="C3993" s="1" t="n">
        <v>45353</v>
      </c>
      <c r="D3993" t="inlineStr">
        <is>
          <t>VÄRMLANDS LÄN</t>
        </is>
      </c>
      <c r="E3993" t="inlineStr">
        <is>
          <t>SUNNE</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38438-2020</t>
        </is>
      </c>
      <c r="B3994" s="1" t="n">
        <v>44060</v>
      </c>
      <c r="C3994" s="1" t="n">
        <v>45353</v>
      </c>
      <c r="D3994" t="inlineStr">
        <is>
          <t>VÄRMLANDS LÄN</t>
        </is>
      </c>
      <c r="E3994" t="inlineStr">
        <is>
          <t>GRUMS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38444-2020</t>
        </is>
      </c>
      <c r="B3995" s="1" t="n">
        <v>44060</v>
      </c>
      <c r="C3995" s="1" t="n">
        <v>45353</v>
      </c>
      <c r="D3995" t="inlineStr">
        <is>
          <t>VÄRMLANDS LÄN</t>
        </is>
      </c>
      <c r="E3995" t="inlineStr">
        <is>
          <t>GRUMS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38519-2020</t>
        </is>
      </c>
      <c r="B3996" s="1" t="n">
        <v>44060</v>
      </c>
      <c r="C3996" s="1" t="n">
        <v>45353</v>
      </c>
      <c r="D3996" t="inlineStr">
        <is>
          <t>VÄRMLANDS LÄN</t>
        </is>
      </c>
      <c r="E3996" t="inlineStr">
        <is>
          <t>GRUMS</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38165-2020</t>
        </is>
      </c>
      <c r="B3997" s="1" t="n">
        <v>44060</v>
      </c>
      <c r="C3997" s="1" t="n">
        <v>45353</v>
      </c>
      <c r="D3997" t="inlineStr">
        <is>
          <t>VÄRMLANDS LÄN</t>
        </is>
      </c>
      <c r="E3997" t="inlineStr">
        <is>
          <t>SUNNE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38522-2020</t>
        </is>
      </c>
      <c r="B3998" s="1" t="n">
        <v>44060</v>
      </c>
      <c r="C3998" s="1" t="n">
        <v>45353</v>
      </c>
      <c r="D3998" t="inlineStr">
        <is>
          <t>VÄRMLANDS LÄN</t>
        </is>
      </c>
      <c r="E3998" t="inlineStr">
        <is>
          <t>GRUMS</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38506-2020</t>
        </is>
      </c>
      <c r="B3999" s="1" t="n">
        <v>44061</v>
      </c>
      <c r="C3999" s="1" t="n">
        <v>45353</v>
      </c>
      <c r="D3999" t="inlineStr">
        <is>
          <t>VÄRMLANDS LÄN</t>
        </is>
      </c>
      <c r="E3999" t="inlineStr">
        <is>
          <t>TORSBY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38513-2020</t>
        </is>
      </c>
      <c r="B4000" s="1" t="n">
        <v>44061</v>
      </c>
      <c r="C4000" s="1" t="n">
        <v>45353</v>
      </c>
      <c r="D4000" t="inlineStr">
        <is>
          <t>VÄRMLANDS LÄN</t>
        </is>
      </c>
      <c r="E4000" t="inlineStr">
        <is>
          <t>SUNNE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38562-2020</t>
        </is>
      </c>
      <c r="B4001" s="1" t="n">
        <v>44061</v>
      </c>
      <c r="C4001" s="1" t="n">
        <v>45353</v>
      </c>
      <c r="D4001" t="inlineStr">
        <is>
          <t>VÄRMLANDS LÄN</t>
        </is>
      </c>
      <c r="E4001" t="inlineStr">
        <is>
          <t>SUNNE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38576-2020</t>
        </is>
      </c>
      <c r="B4002" s="1" t="n">
        <v>44061</v>
      </c>
      <c r="C4002" s="1" t="n">
        <v>45353</v>
      </c>
      <c r="D4002" t="inlineStr">
        <is>
          <t>VÄRMLANDS LÄN</t>
        </is>
      </c>
      <c r="E4002" t="inlineStr">
        <is>
          <t>SÄFFLE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38603-2020</t>
        </is>
      </c>
      <c r="B4003" s="1" t="n">
        <v>44061</v>
      </c>
      <c r="C4003" s="1" t="n">
        <v>45353</v>
      </c>
      <c r="D4003" t="inlineStr">
        <is>
          <t>VÄRMLANDS LÄN</t>
        </is>
      </c>
      <c r="E4003" t="inlineStr">
        <is>
          <t>MUNKFORS</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38618-2020</t>
        </is>
      </c>
      <c r="B4004" s="1" t="n">
        <v>44061</v>
      </c>
      <c r="C4004" s="1" t="n">
        <v>45353</v>
      </c>
      <c r="D4004" t="inlineStr">
        <is>
          <t>VÄRMLANDS LÄN</t>
        </is>
      </c>
      <c r="E4004" t="inlineStr">
        <is>
          <t>KARLSTAD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38696-2020</t>
        </is>
      </c>
      <c r="B4005" s="1" t="n">
        <v>44061</v>
      </c>
      <c r="C4005" s="1" t="n">
        <v>45353</v>
      </c>
      <c r="D4005" t="inlineStr">
        <is>
          <t>VÄRMLANDS LÄN</t>
        </is>
      </c>
      <c r="E4005" t="inlineStr">
        <is>
          <t>ÅRJÄNG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38693-2020</t>
        </is>
      </c>
      <c r="B4006" s="1" t="n">
        <v>44061</v>
      </c>
      <c r="C4006" s="1" t="n">
        <v>45353</v>
      </c>
      <c r="D4006" t="inlineStr">
        <is>
          <t>VÄRMLANDS LÄN</t>
        </is>
      </c>
      <c r="E4006" t="inlineStr">
        <is>
          <t>MUNKFORS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38727-2020</t>
        </is>
      </c>
      <c r="B4007" s="1" t="n">
        <v>44061</v>
      </c>
      <c r="C4007" s="1" t="n">
        <v>45353</v>
      </c>
      <c r="D4007" t="inlineStr">
        <is>
          <t>VÄRMLANDS LÄN</t>
        </is>
      </c>
      <c r="E4007" t="inlineStr">
        <is>
          <t>SUNNE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38748-2020</t>
        </is>
      </c>
      <c r="B4008" s="1" t="n">
        <v>44061</v>
      </c>
      <c r="C4008" s="1" t="n">
        <v>45353</v>
      </c>
      <c r="D4008" t="inlineStr">
        <is>
          <t>VÄRMLANDS LÄN</t>
        </is>
      </c>
      <c r="E4008" t="inlineStr">
        <is>
          <t>SUNNE</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38775-2020</t>
        </is>
      </c>
      <c r="B4009" s="1" t="n">
        <v>44061</v>
      </c>
      <c r="C4009" s="1" t="n">
        <v>45353</v>
      </c>
      <c r="D4009" t="inlineStr">
        <is>
          <t>VÄRMLANDS LÄN</t>
        </is>
      </c>
      <c r="E4009" t="inlineStr">
        <is>
          <t>SUNNE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38729-2020</t>
        </is>
      </c>
      <c r="B4010" s="1" t="n">
        <v>44061</v>
      </c>
      <c r="C4010" s="1" t="n">
        <v>45353</v>
      </c>
      <c r="D4010" t="inlineStr">
        <is>
          <t>VÄRMLANDS LÄN</t>
        </is>
      </c>
      <c r="E4010" t="inlineStr">
        <is>
          <t>KIL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38933-2020</t>
        </is>
      </c>
      <c r="B4011" s="1" t="n">
        <v>44062</v>
      </c>
      <c r="C4011" s="1" t="n">
        <v>45353</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38969-2020</t>
        </is>
      </c>
      <c r="B4012" s="1" t="n">
        <v>44062</v>
      </c>
      <c r="C4012" s="1" t="n">
        <v>45353</v>
      </c>
      <c r="D4012" t="inlineStr">
        <is>
          <t>VÄRMLANDS LÄN</t>
        </is>
      </c>
      <c r="E4012" t="inlineStr">
        <is>
          <t>FORSHAGA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38978-2020</t>
        </is>
      </c>
      <c r="B4013" s="1" t="n">
        <v>44062</v>
      </c>
      <c r="C4013" s="1" t="n">
        <v>45353</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38940-2020</t>
        </is>
      </c>
      <c r="B4014" s="1" t="n">
        <v>44062</v>
      </c>
      <c r="C4014" s="1" t="n">
        <v>45353</v>
      </c>
      <c r="D4014" t="inlineStr">
        <is>
          <t>VÄRMLANDS LÄN</t>
        </is>
      </c>
      <c r="E4014" t="inlineStr">
        <is>
          <t>ARVIKA</t>
        </is>
      </c>
      <c r="G4014" t="n">
        <v>14.3</v>
      </c>
      <c r="H4014" t="n">
        <v>0</v>
      </c>
      <c r="I4014" t="n">
        <v>0</v>
      </c>
      <c r="J4014" t="n">
        <v>0</v>
      </c>
      <c r="K4014" t="n">
        <v>0</v>
      </c>
      <c r="L4014" t="n">
        <v>0</v>
      </c>
      <c r="M4014" t="n">
        <v>0</v>
      </c>
      <c r="N4014" t="n">
        <v>0</v>
      </c>
      <c r="O4014" t="n">
        <v>0</v>
      </c>
      <c r="P4014" t="n">
        <v>0</v>
      </c>
      <c r="Q4014" t="n">
        <v>0</v>
      </c>
      <c r="R4014" s="2" t="inlineStr"/>
    </row>
    <row r="4015" ht="15" customHeight="1">
      <c r="A4015" t="inlineStr">
        <is>
          <t>A 38817-2020</t>
        </is>
      </c>
      <c r="B4015" s="1" t="n">
        <v>44062</v>
      </c>
      <c r="C4015" s="1" t="n">
        <v>45353</v>
      </c>
      <c r="D4015" t="inlineStr">
        <is>
          <t>VÄRMLANDS LÄN</t>
        </is>
      </c>
      <c r="E4015" t="inlineStr">
        <is>
          <t>EDA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41972-2020</t>
        </is>
      </c>
      <c r="B4016" s="1" t="n">
        <v>44062</v>
      </c>
      <c r="C4016" s="1" t="n">
        <v>45353</v>
      </c>
      <c r="D4016" t="inlineStr">
        <is>
          <t>VÄRMLANDS LÄN</t>
        </is>
      </c>
      <c r="E4016" t="inlineStr">
        <is>
          <t>KARLSTAD</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39201-2020</t>
        </is>
      </c>
      <c r="B4017" s="1" t="n">
        <v>44063</v>
      </c>
      <c r="C4017" s="1" t="n">
        <v>45353</v>
      </c>
      <c r="D4017" t="inlineStr">
        <is>
          <t>VÄRMLANDS LÄN</t>
        </is>
      </c>
      <c r="E4017" t="inlineStr">
        <is>
          <t>SUNNE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39215-2020</t>
        </is>
      </c>
      <c r="B4018" s="1" t="n">
        <v>44063</v>
      </c>
      <c r="C4018" s="1" t="n">
        <v>45353</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39265-2020</t>
        </is>
      </c>
      <c r="B4019" s="1" t="n">
        <v>44063</v>
      </c>
      <c r="C4019" s="1" t="n">
        <v>45353</v>
      </c>
      <c r="D4019" t="inlineStr">
        <is>
          <t>VÄRMLANDS LÄN</t>
        </is>
      </c>
      <c r="E4019" t="inlineStr">
        <is>
          <t>SUNNE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39140-2020</t>
        </is>
      </c>
      <c r="B4020" s="1" t="n">
        <v>44063</v>
      </c>
      <c r="C4020" s="1" t="n">
        <v>45353</v>
      </c>
      <c r="D4020" t="inlineStr">
        <is>
          <t>VÄRMLANDS LÄN</t>
        </is>
      </c>
      <c r="E4020" t="inlineStr">
        <is>
          <t>SUNNE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39377-2020</t>
        </is>
      </c>
      <c r="B4021" s="1" t="n">
        <v>44064</v>
      </c>
      <c r="C4021" s="1" t="n">
        <v>45353</v>
      </c>
      <c r="D4021" t="inlineStr">
        <is>
          <t>VÄRMLANDS LÄN</t>
        </is>
      </c>
      <c r="E4021" t="inlineStr">
        <is>
          <t>SUNNE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39443-2020</t>
        </is>
      </c>
      <c r="B4022" s="1" t="n">
        <v>44064</v>
      </c>
      <c r="C4022" s="1" t="n">
        <v>45353</v>
      </c>
      <c r="D4022" t="inlineStr">
        <is>
          <t>VÄRMLANDS LÄN</t>
        </is>
      </c>
      <c r="E4022" t="inlineStr">
        <is>
          <t>KRISTINEHAMN</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39417-2020</t>
        </is>
      </c>
      <c r="B4023" s="1" t="n">
        <v>44064</v>
      </c>
      <c r="C4023" s="1" t="n">
        <v>45353</v>
      </c>
      <c r="D4023" t="inlineStr">
        <is>
          <t>VÄRMLANDS LÄN</t>
        </is>
      </c>
      <c r="E4023" t="inlineStr">
        <is>
          <t>EDA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39447-2020</t>
        </is>
      </c>
      <c r="B4024" s="1" t="n">
        <v>44064</v>
      </c>
      <c r="C4024" s="1" t="n">
        <v>45353</v>
      </c>
      <c r="D4024" t="inlineStr">
        <is>
          <t>VÄRMLANDS LÄN</t>
        </is>
      </c>
      <c r="E4024" t="inlineStr">
        <is>
          <t>KRISTINEHAMN</t>
        </is>
      </c>
      <c r="F4024" t="inlineStr">
        <is>
          <t>Sveaskog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39462-2020</t>
        </is>
      </c>
      <c r="B4025" s="1" t="n">
        <v>44064</v>
      </c>
      <c r="C4025" s="1" t="n">
        <v>45353</v>
      </c>
      <c r="D4025" t="inlineStr">
        <is>
          <t>VÄRMLANDS LÄN</t>
        </is>
      </c>
      <c r="E4025" t="inlineStr">
        <is>
          <t>KRISTINEHAMN</t>
        </is>
      </c>
      <c r="F4025" t="inlineStr">
        <is>
          <t>Sveaskog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39509-2020</t>
        </is>
      </c>
      <c r="B4026" s="1" t="n">
        <v>44064</v>
      </c>
      <c r="C4026" s="1" t="n">
        <v>45353</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39528-2020</t>
        </is>
      </c>
      <c r="B4027" s="1" t="n">
        <v>44064</v>
      </c>
      <c r="C4027" s="1" t="n">
        <v>45353</v>
      </c>
      <c r="D4027" t="inlineStr">
        <is>
          <t>VÄRMLANDS LÄN</t>
        </is>
      </c>
      <c r="E4027" t="inlineStr">
        <is>
          <t>ARVIKA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39458-2020</t>
        </is>
      </c>
      <c r="B4028" s="1" t="n">
        <v>44064</v>
      </c>
      <c r="C4028" s="1" t="n">
        <v>45353</v>
      </c>
      <c r="D4028" t="inlineStr">
        <is>
          <t>VÄRMLANDS LÄN</t>
        </is>
      </c>
      <c r="E4028" t="inlineStr">
        <is>
          <t>KRISTINEHAMN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39538-2020</t>
        </is>
      </c>
      <c r="B4029" s="1" t="n">
        <v>44064</v>
      </c>
      <c r="C4029" s="1" t="n">
        <v>45353</v>
      </c>
      <c r="D4029" t="inlineStr">
        <is>
          <t>VÄRMLANDS LÄN</t>
        </is>
      </c>
      <c r="E4029" t="inlineStr">
        <is>
          <t>KRISTINEHAMN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39518-2020</t>
        </is>
      </c>
      <c r="B4030" s="1" t="n">
        <v>44064</v>
      </c>
      <c r="C4030" s="1" t="n">
        <v>45353</v>
      </c>
      <c r="D4030" t="inlineStr">
        <is>
          <t>VÄRMLANDS LÄN</t>
        </is>
      </c>
      <c r="E4030" t="inlineStr">
        <is>
          <t>KIL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40218-2020</t>
        </is>
      </c>
      <c r="B4031" s="1" t="n">
        <v>44064</v>
      </c>
      <c r="C4031" s="1" t="n">
        <v>45353</v>
      </c>
      <c r="D4031" t="inlineStr">
        <is>
          <t>VÄRMLANDS LÄN</t>
        </is>
      </c>
      <c r="E4031" t="inlineStr">
        <is>
          <t>TORSBY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39731-2020</t>
        </is>
      </c>
      <c r="B4032" s="1" t="n">
        <v>44067</v>
      </c>
      <c r="C4032" s="1" t="n">
        <v>45353</v>
      </c>
      <c r="D4032" t="inlineStr">
        <is>
          <t>VÄRMLANDS LÄN</t>
        </is>
      </c>
      <c r="E4032" t="inlineStr">
        <is>
          <t>KARLSTAD</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39838-2020</t>
        </is>
      </c>
      <c r="B4033" s="1" t="n">
        <v>44067</v>
      </c>
      <c r="C4033" s="1" t="n">
        <v>45353</v>
      </c>
      <c r="D4033" t="inlineStr">
        <is>
          <t>VÄRMLANDS LÄN</t>
        </is>
      </c>
      <c r="E4033" t="inlineStr">
        <is>
          <t>EDA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39803-2020</t>
        </is>
      </c>
      <c r="B4034" s="1" t="n">
        <v>44067</v>
      </c>
      <c r="C4034" s="1" t="n">
        <v>45353</v>
      </c>
      <c r="D4034" t="inlineStr">
        <is>
          <t>VÄRMLANDS LÄN</t>
        </is>
      </c>
      <c r="E4034" t="inlineStr">
        <is>
          <t>KARLSTAD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39824-2020</t>
        </is>
      </c>
      <c r="B4035" s="1" t="n">
        <v>44067</v>
      </c>
      <c r="C4035" s="1" t="n">
        <v>45353</v>
      </c>
      <c r="D4035" t="inlineStr">
        <is>
          <t>VÄRMLANDS LÄN</t>
        </is>
      </c>
      <c r="E4035" t="inlineStr">
        <is>
          <t>KRISTINEHAMN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39841-2020</t>
        </is>
      </c>
      <c r="B4036" s="1" t="n">
        <v>44067</v>
      </c>
      <c r="C4036" s="1" t="n">
        <v>45353</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39883-2020</t>
        </is>
      </c>
      <c r="B4037" s="1" t="n">
        <v>44067</v>
      </c>
      <c r="C4037" s="1" t="n">
        <v>45353</v>
      </c>
      <c r="D4037" t="inlineStr">
        <is>
          <t>VÄRMLANDS LÄN</t>
        </is>
      </c>
      <c r="E4037" t="inlineStr">
        <is>
          <t>ARVIKA</t>
        </is>
      </c>
      <c r="F4037" t="inlineStr">
        <is>
          <t>Kommuner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39947-2020</t>
        </is>
      </c>
      <c r="B4038" s="1" t="n">
        <v>44067</v>
      </c>
      <c r="C4038" s="1" t="n">
        <v>45353</v>
      </c>
      <c r="D4038" t="inlineStr">
        <is>
          <t>VÄRMLANDS LÄN</t>
        </is>
      </c>
      <c r="E4038" t="inlineStr">
        <is>
          <t>SUNNE</t>
        </is>
      </c>
      <c r="F4038" t="inlineStr">
        <is>
          <t>Kommuner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39738-2020</t>
        </is>
      </c>
      <c r="B4039" s="1" t="n">
        <v>44067</v>
      </c>
      <c r="C4039" s="1" t="n">
        <v>45353</v>
      </c>
      <c r="D4039" t="inlineStr">
        <is>
          <t>VÄRMLANDS LÄN</t>
        </is>
      </c>
      <c r="E4039" t="inlineStr">
        <is>
          <t>KARLSTAD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39856-2020</t>
        </is>
      </c>
      <c r="B4040" s="1" t="n">
        <v>44067</v>
      </c>
      <c r="C4040" s="1" t="n">
        <v>45353</v>
      </c>
      <c r="D4040" t="inlineStr">
        <is>
          <t>VÄRMLANDS LÄN</t>
        </is>
      </c>
      <c r="E4040" t="inlineStr">
        <is>
          <t>FORSHAGA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39952-2020</t>
        </is>
      </c>
      <c r="B4041" s="1" t="n">
        <v>44067</v>
      </c>
      <c r="C4041" s="1" t="n">
        <v>45353</v>
      </c>
      <c r="D4041" t="inlineStr">
        <is>
          <t>VÄRMLANDS LÄN</t>
        </is>
      </c>
      <c r="E4041" t="inlineStr">
        <is>
          <t>SUNNE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39806-2020</t>
        </is>
      </c>
      <c r="B4042" s="1" t="n">
        <v>44067</v>
      </c>
      <c r="C4042" s="1" t="n">
        <v>45353</v>
      </c>
      <c r="D4042" t="inlineStr">
        <is>
          <t>VÄRMLANDS LÄN</t>
        </is>
      </c>
      <c r="E4042" t="inlineStr">
        <is>
          <t>KARLSTAD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39813-2020</t>
        </is>
      </c>
      <c r="B4043" s="1" t="n">
        <v>44067</v>
      </c>
      <c r="C4043" s="1" t="n">
        <v>45353</v>
      </c>
      <c r="D4043" t="inlineStr">
        <is>
          <t>VÄRMLANDS LÄN</t>
        </is>
      </c>
      <c r="E4043" t="inlineStr">
        <is>
          <t>FILIPSTAD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39985-2020</t>
        </is>
      </c>
      <c r="B4044" s="1" t="n">
        <v>44067</v>
      </c>
      <c r="C4044" s="1" t="n">
        <v>45353</v>
      </c>
      <c r="D4044" t="inlineStr">
        <is>
          <t>VÄRMLANDS LÄN</t>
        </is>
      </c>
      <c r="E4044" t="inlineStr">
        <is>
          <t>FORSHAGA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40015-2020</t>
        </is>
      </c>
      <c r="B4045" s="1" t="n">
        <v>44067</v>
      </c>
      <c r="C4045" s="1" t="n">
        <v>45353</v>
      </c>
      <c r="D4045" t="inlineStr">
        <is>
          <t>VÄRMLANDS LÄN</t>
        </is>
      </c>
      <c r="E4045" t="inlineStr">
        <is>
          <t>TORSBY</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40328-2020</t>
        </is>
      </c>
      <c r="B4046" s="1" t="n">
        <v>44067</v>
      </c>
      <c r="C4046" s="1" t="n">
        <v>45353</v>
      </c>
      <c r="D4046" t="inlineStr">
        <is>
          <t>VÄRMLANDS LÄN</t>
        </is>
      </c>
      <c r="E4046" t="inlineStr">
        <is>
          <t>KIL</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40331-2020</t>
        </is>
      </c>
      <c r="B4047" s="1" t="n">
        <v>44067</v>
      </c>
      <c r="C4047" s="1" t="n">
        <v>45353</v>
      </c>
      <c r="D4047" t="inlineStr">
        <is>
          <t>VÄRMLANDS LÄN</t>
        </is>
      </c>
      <c r="E4047" t="inlineStr">
        <is>
          <t>ARVIKA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39996-2020</t>
        </is>
      </c>
      <c r="B4048" s="1" t="n">
        <v>44067</v>
      </c>
      <c r="C4048" s="1" t="n">
        <v>45353</v>
      </c>
      <c r="D4048" t="inlineStr">
        <is>
          <t>VÄRMLANDS LÄN</t>
        </is>
      </c>
      <c r="E4048" t="inlineStr">
        <is>
          <t>SUNNE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40824-2020</t>
        </is>
      </c>
      <c r="B4049" s="1" t="n">
        <v>44067</v>
      </c>
      <c r="C4049" s="1" t="n">
        <v>45353</v>
      </c>
      <c r="D4049" t="inlineStr">
        <is>
          <t>VÄRMLANDS LÄN</t>
        </is>
      </c>
      <c r="E4049" t="inlineStr">
        <is>
          <t>HAGFORS</t>
        </is>
      </c>
      <c r="F4049" t="inlineStr">
        <is>
          <t>Kyrkan</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40332-2020</t>
        </is>
      </c>
      <c r="B4050" s="1" t="n">
        <v>44067</v>
      </c>
      <c r="C4050" s="1" t="n">
        <v>45353</v>
      </c>
      <c r="D4050" t="inlineStr">
        <is>
          <t>VÄRMLANDS LÄN</t>
        </is>
      </c>
      <c r="E4050" t="inlineStr">
        <is>
          <t>SÄFFLE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40177-2020</t>
        </is>
      </c>
      <c r="B4051" s="1" t="n">
        <v>44068</v>
      </c>
      <c r="C4051" s="1" t="n">
        <v>45353</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40245-2020</t>
        </is>
      </c>
      <c r="B4052" s="1" t="n">
        <v>44068</v>
      </c>
      <c r="C4052" s="1" t="n">
        <v>45353</v>
      </c>
      <c r="D4052" t="inlineStr">
        <is>
          <t>VÄRMLANDS LÄN</t>
        </is>
      </c>
      <c r="E4052" t="inlineStr">
        <is>
          <t>SUNNE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40240-2020</t>
        </is>
      </c>
      <c r="B4053" s="1" t="n">
        <v>44068</v>
      </c>
      <c r="C4053" s="1" t="n">
        <v>45353</v>
      </c>
      <c r="D4053" t="inlineStr">
        <is>
          <t>VÄRMLANDS LÄN</t>
        </is>
      </c>
      <c r="E4053" t="inlineStr">
        <is>
          <t>HAGFORS</t>
        </is>
      </c>
      <c r="F4053" t="inlineStr">
        <is>
          <t>Bergvik skog väst AB</t>
        </is>
      </c>
      <c r="G4053" t="n">
        <v>12.6</v>
      </c>
      <c r="H4053" t="n">
        <v>0</v>
      </c>
      <c r="I4053" t="n">
        <v>0</v>
      </c>
      <c r="J4053" t="n">
        <v>0</v>
      </c>
      <c r="K4053" t="n">
        <v>0</v>
      </c>
      <c r="L4053" t="n">
        <v>0</v>
      </c>
      <c r="M4053" t="n">
        <v>0</v>
      </c>
      <c r="N4053" t="n">
        <v>0</v>
      </c>
      <c r="O4053" t="n">
        <v>0</v>
      </c>
      <c r="P4053" t="n">
        <v>0</v>
      </c>
      <c r="Q4053" t="n">
        <v>0</v>
      </c>
      <c r="R4053" s="2" t="inlineStr"/>
    </row>
    <row r="4054" ht="15" customHeight="1">
      <c r="A4054" t="inlineStr">
        <is>
          <t>A 40317-2020</t>
        </is>
      </c>
      <c r="B4054" s="1" t="n">
        <v>44068</v>
      </c>
      <c r="C4054" s="1" t="n">
        <v>45353</v>
      </c>
      <c r="D4054" t="inlineStr">
        <is>
          <t>VÄRMLANDS LÄN</t>
        </is>
      </c>
      <c r="E4054" t="inlineStr">
        <is>
          <t>EDA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40975-2020</t>
        </is>
      </c>
      <c r="B4055" s="1" t="n">
        <v>44068</v>
      </c>
      <c r="C4055" s="1" t="n">
        <v>45353</v>
      </c>
      <c r="D4055" t="inlineStr">
        <is>
          <t>VÄRMLANDS LÄN</t>
        </is>
      </c>
      <c r="E4055" t="inlineStr">
        <is>
          <t>ARVIKA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41000-2020</t>
        </is>
      </c>
      <c r="B4056" s="1" t="n">
        <v>44068</v>
      </c>
      <c r="C4056" s="1" t="n">
        <v>45353</v>
      </c>
      <c r="D4056" t="inlineStr">
        <is>
          <t>VÄRMLANDS LÄN</t>
        </is>
      </c>
      <c r="E4056" t="inlineStr">
        <is>
          <t>ARVIKA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40429-2020</t>
        </is>
      </c>
      <c r="B4057" s="1" t="n">
        <v>44069</v>
      </c>
      <c r="C4057" s="1" t="n">
        <v>45353</v>
      </c>
      <c r="D4057" t="inlineStr">
        <is>
          <t>VÄRMLANDS LÄN</t>
        </is>
      </c>
      <c r="E4057" t="inlineStr">
        <is>
          <t>KIL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40550-2020</t>
        </is>
      </c>
      <c r="B4058" s="1" t="n">
        <v>44069</v>
      </c>
      <c r="C4058" s="1" t="n">
        <v>45353</v>
      </c>
      <c r="D4058" t="inlineStr">
        <is>
          <t>VÄRMLANDS LÄN</t>
        </is>
      </c>
      <c r="E4058" t="inlineStr">
        <is>
          <t>TORSBY</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40594-2020</t>
        </is>
      </c>
      <c r="B4059" s="1" t="n">
        <v>44069</v>
      </c>
      <c r="C4059" s="1" t="n">
        <v>45353</v>
      </c>
      <c r="D4059" t="inlineStr">
        <is>
          <t>VÄRMLANDS LÄN</t>
        </is>
      </c>
      <c r="E4059" t="inlineStr">
        <is>
          <t>TORSBY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40639-2020</t>
        </is>
      </c>
      <c r="B4060" s="1" t="n">
        <v>44069</v>
      </c>
      <c r="C4060" s="1" t="n">
        <v>45353</v>
      </c>
      <c r="D4060" t="inlineStr">
        <is>
          <t>VÄRMLANDS LÄN</t>
        </is>
      </c>
      <c r="E4060" t="inlineStr">
        <is>
          <t>KIL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40653-2020</t>
        </is>
      </c>
      <c r="B4061" s="1" t="n">
        <v>44069</v>
      </c>
      <c r="C4061" s="1" t="n">
        <v>45353</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40436-2020</t>
        </is>
      </c>
      <c r="B4062" s="1" t="n">
        <v>44069</v>
      </c>
      <c r="C4062" s="1" t="n">
        <v>45353</v>
      </c>
      <c r="D4062" t="inlineStr">
        <is>
          <t>VÄRMLANDS LÄN</t>
        </is>
      </c>
      <c r="E4062" t="inlineStr">
        <is>
          <t>KRISTINEHAMN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40511-2020</t>
        </is>
      </c>
      <c r="B4063" s="1" t="n">
        <v>44069</v>
      </c>
      <c r="C4063" s="1" t="n">
        <v>45353</v>
      </c>
      <c r="D4063" t="inlineStr">
        <is>
          <t>VÄRMLANDS LÄN</t>
        </is>
      </c>
      <c r="E4063" t="inlineStr">
        <is>
          <t>EDA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40535-2020</t>
        </is>
      </c>
      <c r="B4064" s="1" t="n">
        <v>44069</v>
      </c>
      <c r="C4064" s="1" t="n">
        <v>45353</v>
      </c>
      <c r="D4064" t="inlineStr">
        <is>
          <t>VÄRMLANDS LÄN</t>
        </is>
      </c>
      <c r="E4064" t="inlineStr">
        <is>
          <t>EDA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40553-2020</t>
        </is>
      </c>
      <c r="B4065" s="1" t="n">
        <v>44069</v>
      </c>
      <c r="C4065" s="1" t="n">
        <v>45353</v>
      </c>
      <c r="D4065" t="inlineStr">
        <is>
          <t>VÄRMLANDS LÄN</t>
        </is>
      </c>
      <c r="E4065" t="inlineStr">
        <is>
          <t>ÅRJÄNG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40572-2020</t>
        </is>
      </c>
      <c r="B4066" s="1" t="n">
        <v>44069</v>
      </c>
      <c r="C4066" s="1" t="n">
        <v>45353</v>
      </c>
      <c r="D4066" t="inlineStr">
        <is>
          <t>VÄRMLANDS LÄN</t>
        </is>
      </c>
      <c r="E4066" t="inlineStr">
        <is>
          <t>ÅRJÄNG</t>
        </is>
      </c>
      <c r="G4066" t="n">
        <v>15.8</v>
      </c>
      <c r="H4066" t="n">
        <v>0</v>
      </c>
      <c r="I4066" t="n">
        <v>0</v>
      </c>
      <c r="J4066" t="n">
        <v>0</v>
      </c>
      <c r="K4066" t="n">
        <v>0</v>
      </c>
      <c r="L4066" t="n">
        <v>0</v>
      </c>
      <c r="M4066" t="n">
        <v>0</v>
      </c>
      <c r="N4066" t="n">
        <v>0</v>
      </c>
      <c r="O4066" t="n">
        <v>0</v>
      </c>
      <c r="P4066" t="n">
        <v>0</v>
      </c>
      <c r="Q4066" t="n">
        <v>0</v>
      </c>
      <c r="R4066" s="2" t="inlineStr"/>
    </row>
    <row r="4067" ht="15" customHeight="1">
      <c r="A4067" t="inlineStr">
        <is>
          <t>A 40509-2020</t>
        </is>
      </c>
      <c r="B4067" s="1" t="n">
        <v>44069</v>
      </c>
      <c r="C4067" s="1" t="n">
        <v>45353</v>
      </c>
      <c r="D4067" t="inlineStr">
        <is>
          <t>VÄRMLANDS LÄN</t>
        </is>
      </c>
      <c r="E4067" t="inlineStr">
        <is>
          <t>TORSBY</t>
        </is>
      </c>
      <c r="F4067" t="inlineStr">
        <is>
          <t>Naturvårdsverket</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40616-2020</t>
        </is>
      </c>
      <c r="B4068" s="1" t="n">
        <v>44069</v>
      </c>
      <c r="C4068" s="1" t="n">
        <v>45353</v>
      </c>
      <c r="D4068" t="inlineStr">
        <is>
          <t>VÄRMLANDS LÄN</t>
        </is>
      </c>
      <c r="E4068" t="inlineStr">
        <is>
          <t>KIL</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40528-2020</t>
        </is>
      </c>
      <c r="B4069" s="1" t="n">
        <v>44069</v>
      </c>
      <c r="C4069" s="1" t="n">
        <v>45353</v>
      </c>
      <c r="D4069" t="inlineStr">
        <is>
          <t>VÄRMLANDS LÄN</t>
        </is>
      </c>
      <c r="E4069" t="inlineStr">
        <is>
          <t>EDA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40601-2020</t>
        </is>
      </c>
      <c r="B4070" s="1" t="n">
        <v>44069</v>
      </c>
      <c r="C4070" s="1" t="n">
        <v>45353</v>
      </c>
      <c r="D4070" t="inlineStr">
        <is>
          <t>VÄRMLANDS LÄN</t>
        </is>
      </c>
      <c r="E4070" t="inlineStr">
        <is>
          <t>TORSBY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40698-2020</t>
        </is>
      </c>
      <c r="B4071" s="1" t="n">
        <v>44069</v>
      </c>
      <c r="C4071" s="1" t="n">
        <v>45353</v>
      </c>
      <c r="D4071" t="inlineStr">
        <is>
          <t>VÄRMLANDS LÄN</t>
        </is>
      </c>
      <c r="E4071" t="inlineStr">
        <is>
          <t>SÄFFLE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40687-2020</t>
        </is>
      </c>
      <c r="B4072" s="1" t="n">
        <v>44069</v>
      </c>
      <c r="C4072" s="1" t="n">
        <v>45353</v>
      </c>
      <c r="D4072" t="inlineStr">
        <is>
          <t>VÄRMLANDS LÄN</t>
        </is>
      </c>
      <c r="E4072" t="inlineStr">
        <is>
          <t>KRISTINEHAMN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40777-2020</t>
        </is>
      </c>
      <c r="B4073" s="1" t="n">
        <v>44070</v>
      </c>
      <c r="C4073" s="1" t="n">
        <v>45353</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40787-2020</t>
        </is>
      </c>
      <c r="B4074" s="1" t="n">
        <v>44070</v>
      </c>
      <c r="C4074" s="1" t="n">
        <v>45353</v>
      </c>
      <c r="D4074" t="inlineStr">
        <is>
          <t>VÄRMLANDS LÄN</t>
        </is>
      </c>
      <c r="E4074" t="inlineStr">
        <is>
          <t>SUNNE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40985-2020</t>
        </is>
      </c>
      <c r="B4075" s="1" t="n">
        <v>44070</v>
      </c>
      <c r="C4075" s="1" t="n">
        <v>45353</v>
      </c>
      <c r="D4075" t="inlineStr">
        <is>
          <t>VÄRMLANDS LÄN</t>
        </is>
      </c>
      <c r="E4075" t="inlineStr">
        <is>
          <t>SUNNE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40994-2020</t>
        </is>
      </c>
      <c r="B4076" s="1" t="n">
        <v>44070</v>
      </c>
      <c r="C4076" s="1" t="n">
        <v>45353</v>
      </c>
      <c r="D4076" t="inlineStr">
        <is>
          <t>VÄRMLANDS LÄN</t>
        </is>
      </c>
      <c r="E4076" t="inlineStr">
        <is>
          <t>TORSBY</t>
        </is>
      </c>
      <c r="F4076" t="inlineStr">
        <is>
          <t>Bergvik skog väst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41613-2020</t>
        </is>
      </c>
      <c r="B4077" s="1" t="n">
        <v>44070</v>
      </c>
      <c r="C4077" s="1" t="n">
        <v>45353</v>
      </c>
      <c r="D4077" t="inlineStr">
        <is>
          <t>VÄRMLANDS LÄN</t>
        </is>
      </c>
      <c r="E4077" t="inlineStr">
        <is>
          <t>GRUMS</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40771-2020</t>
        </is>
      </c>
      <c r="B4078" s="1" t="n">
        <v>44070</v>
      </c>
      <c r="C4078" s="1" t="n">
        <v>45353</v>
      </c>
      <c r="D4078" t="inlineStr">
        <is>
          <t>VÄRMLANDS LÄN</t>
        </is>
      </c>
      <c r="E4078" t="inlineStr">
        <is>
          <t>SÄFFLE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40926-2020</t>
        </is>
      </c>
      <c r="B4079" s="1" t="n">
        <v>44070</v>
      </c>
      <c r="C4079" s="1" t="n">
        <v>45353</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40987-2020</t>
        </is>
      </c>
      <c r="B4080" s="1" t="n">
        <v>44070</v>
      </c>
      <c r="C4080" s="1" t="n">
        <v>45353</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40781-2020</t>
        </is>
      </c>
      <c r="B4081" s="1" t="n">
        <v>44070</v>
      </c>
      <c r="C4081" s="1" t="n">
        <v>45353</v>
      </c>
      <c r="D4081" t="inlineStr">
        <is>
          <t>VÄRMLANDS LÄN</t>
        </is>
      </c>
      <c r="E4081" t="inlineStr">
        <is>
          <t>ÅRJÄNG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40819-2020</t>
        </is>
      </c>
      <c r="B4082" s="1" t="n">
        <v>44070</v>
      </c>
      <c r="C4082" s="1" t="n">
        <v>45353</v>
      </c>
      <c r="D4082" t="inlineStr">
        <is>
          <t>VÄRMLANDS LÄN</t>
        </is>
      </c>
      <c r="E4082" t="inlineStr">
        <is>
          <t>HAGFORS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40873-2020</t>
        </is>
      </c>
      <c r="B4083" s="1" t="n">
        <v>44070</v>
      </c>
      <c r="C4083" s="1" t="n">
        <v>45353</v>
      </c>
      <c r="D4083" t="inlineStr">
        <is>
          <t>VÄRMLANDS LÄN</t>
        </is>
      </c>
      <c r="E4083" t="inlineStr">
        <is>
          <t>FILIPSTAD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40900-2020</t>
        </is>
      </c>
      <c r="B4084" s="1" t="n">
        <v>44070</v>
      </c>
      <c r="C4084" s="1" t="n">
        <v>45353</v>
      </c>
      <c r="D4084" t="inlineStr">
        <is>
          <t>VÄRMLANDS LÄN</t>
        </is>
      </c>
      <c r="E4084" t="inlineStr">
        <is>
          <t>SUNNE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40993-2020</t>
        </is>
      </c>
      <c r="B4085" s="1" t="n">
        <v>44070</v>
      </c>
      <c r="C4085" s="1" t="n">
        <v>45353</v>
      </c>
      <c r="D4085" t="inlineStr">
        <is>
          <t>VÄRMLANDS LÄN</t>
        </is>
      </c>
      <c r="E4085" t="inlineStr">
        <is>
          <t>TORSBY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40780-2020</t>
        </is>
      </c>
      <c r="B4086" s="1" t="n">
        <v>44070</v>
      </c>
      <c r="C4086" s="1" t="n">
        <v>45353</v>
      </c>
      <c r="D4086" t="inlineStr">
        <is>
          <t>VÄRMLANDS LÄN</t>
        </is>
      </c>
      <c r="E4086" t="inlineStr">
        <is>
          <t>GRUMS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40829-2020</t>
        </is>
      </c>
      <c r="B4087" s="1" t="n">
        <v>44070</v>
      </c>
      <c r="C4087" s="1" t="n">
        <v>45353</v>
      </c>
      <c r="D4087" t="inlineStr">
        <is>
          <t>VÄRMLANDS LÄN</t>
        </is>
      </c>
      <c r="E4087" t="inlineStr">
        <is>
          <t>FILIPSTAD</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41621-2020</t>
        </is>
      </c>
      <c r="B4088" s="1" t="n">
        <v>44070</v>
      </c>
      <c r="C4088" s="1" t="n">
        <v>45353</v>
      </c>
      <c r="D4088" t="inlineStr">
        <is>
          <t>VÄRMLANDS LÄN</t>
        </is>
      </c>
      <c r="E4088" t="inlineStr">
        <is>
          <t>GRUMS</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41274-2020</t>
        </is>
      </c>
      <c r="B4089" s="1" t="n">
        <v>44071</v>
      </c>
      <c r="C4089" s="1" t="n">
        <v>45353</v>
      </c>
      <c r="D4089" t="inlineStr">
        <is>
          <t>VÄRMLANDS LÄN</t>
        </is>
      </c>
      <c r="E4089" t="inlineStr">
        <is>
          <t>ARVIKA</t>
        </is>
      </c>
      <c r="F4089" t="inlineStr">
        <is>
          <t>Bergvik skog väst AB</t>
        </is>
      </c>
      <c r="G4089" t="n">
        <v>16.5</v>
      </c>
      <c r="H4089" t="n">
        <v>0</v>
      </c>
      <c r="I4089" t="n">
        <v>0</v>
      </c>
      <c r="J4089" t="n">
        <v>0</v>
      </c>
      <c r="K4089" t="n">
        <v>0</v>
      </c>
      <c r="L4089" t="n">
        <v>0</v>
      </c>
      <c r="M4089" t="n">
        <v>0</v>
      </c>
      <c r="N4089" t="n">
        <v>0</v>
      </c>
      <c r="O4089" t="n">
        <v>0</v>
      </c>
      <c r="P4089" t="n">
        <v>0</v>
      </c>
      <c r="Q4089" t="n">
        <v>0</v>
      </c>
      <c r="R4089" s="2" t="inlineStr"/>
    </row>
    <row r="4090" ht="15" customHeight="1">
      <c r="A4090" t="inlineStr">
        <is>
          <t>A 41117-2020</t>
        </is>
      </c>
      <c r="B4090" s="1" t="n">
        <v>44071</v>
      </c>
      <c r="C4090" s="1" t="n">
        <v>45353</v>
      </c>
      <c r="D4090" t="inlineStr">
        <is>
          <t>VÄRMLANDS LÄN</t>
        </is>
      </c>
      <c r="E4090" t="inlineStr">
        <is>
          <t>SUNNE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41130-2020</t>
        </is>
      </c>
      <c r="B4091" s="1" t="n">
        <v>44071</v>
      </c>
      <c r="C4091" s="1" t="n">
        <v>45353</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41241-2020</t>
        </is>
      </c>
      <c r="B4092" s="1" t="n">
        <v>44071</v>
      </c>
      <c r="C4092" s="1" t="n">
        <v>45353</v>
      </c>
      <c r="D4092" t="inlineStr">
        <is>
          <t>VÄRMLANDS LÄN</t>
        </is>
      </c>
      <c r="E4092" t="inlineStr">
        <is>
          <t>SUNNE</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41332-2020</t>
        </is>
      </c>
      <c r="B4093" s="1" t="n">
        <v>44071</v>
      </c>
      <c r="C4093" s="1" t="n">
        <v>45353</v>
      </c>
      <c r="D4093" t="inlineStr">
        <is>
          <t>VÄRMLANDS LÄN</t>
        </is>
      </c>
      <c r="E4093" t="inlineStr">
        <is>
          <t>FORSHAGA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41444-2020</t>
        </is>
      </c>
      <c r="B4094" s="1" t="n">
        <v>44073</v>
      </c>
      <c r="C4094" s="1" t="n">
        <v>45353</v>
      </c>
      <c r="D4094" t="inlineStr">
        <is>
          <t>VÄRMLANDS LÄN</t>
        </is>
      </c>
      <c r="E4094" t="inlineStr">
        <is>
          <t>KIL</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41547-2020</t>
        </is>
      </c>
      <c r="B4095" s="1" t="n">
        <v>44074</v>
      </c>
      <c r="C4095" s="1" t="n">
        <v>45353</v>
      </c>
      <c r="D4095" t="inlineStr">
        <is>
          <t>VÄRMLANDS LÄN</t>
        </is>
      </c>
      <c r="E4095" t="inlineStr">
        <is>
          <t>SUNNE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41657-2020</t>
        </is>
      </c>
      <c r="B4096" s="1" t="n">
        <v>44074</v>
      </c>
      <c r="C4096" s="1" t="n">
        <v>45353</v>
      </c>
      <c r="D4096" t="inlineStr">
        <is>
          <t>VÄRMLANDS LÄN</t>
        </is>
      </c>
      <c r="E4096" t="inlineStr">
        <is>
          <t>HAGFORS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41545-2020</t>
        </is>
      </c>
      <c r="B4097" s="1" t="n">
        <v>44074</v>
      </c>
      <c r="C4097" s="1" t="n">
        <v>45353</v>
      </c>
      <c r="D4097" t="inlineStr">
        <is>
          <t>VÄRMLANDS LÄN</t>
        </is>
      </c>
      <c r="E4097" t="inlineStr">
        <is>
          <t>SUNNE</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41653-2020</t>
        </is>
      </c>
      <c r="B4098" s="1" t="n">
        <v>44074</v>
      </c>
      <c r="C4098" s="1" t="n">
        <v>45353</v>
      </c>
      <c r="D4098" t="inlineStr">
        <is>
          <t>VÄRMLANDS LÄN</t>
        </is>
      </c>
      <c r="E4098" t="inlineStr">
        <is>
          <t>KARLSTAD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41830-2020</t>
        </is>
      </c>
      <c r="B4099" s="1" t="n">
        <v>44074</v>
      </c>
      <c r="C4099" s="1" t="n">
        <v>45353</v>
      </c>
      <c r="D4099" t="inlineStr">
        <is>
          <t>VÄRMLANDS LÄN</t>
        </is>
      </c>
      <c r="E4099" t="inlineStr">
        <is>
          <t>GRUMS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42103-2020</t>
        </is>
      </c>
      <c r="B4100" s="1" t="n">
        <v>44074</v>
      </c>
      <c r="C4100" s="1" t="n">
        <v>45353</v>
      </c>
      <c r="D4100" t="inlineStr">
        <is>
          <t>VÄRMLANDS LÄN</t>
        </is>
      </c>
      <c r="E4100" t="inlineStr">
        <is>
          <t>KARLSTAD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42431-2020</t>
        </is>
      </c>
      <c r="B4101" s="1" t="n">
        <v>44074</v>
      </c>
      <c r="C4101" s="1" t="n">
        <v>45353</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41469-2020</t>
        </is>
      </c>
      <c r="B4102" s="1" t="n">
        <v>44074</v>
      </c>
      <c r="C4102" s="1" t="n">
        <v>45353</v>
      </c>
      <c r="D4102" t="inlineStr">
        <is>
          <t>VÄRMLANDS LÄN</t>
        </is>
      </c>
      <c r="E4102" t="inlineStr">
        <is>
          <t>TORSBY</t>
        </is>
      </c>
      <c r="F4102" t="inlineStr">
        <is>
          <t>Bergvik skog väst AB</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42427-2020</t>
        </is>
      </c>
      <c r="B4103" s="1" t="n">
        <v>44074</v>
      </c>
      <c r="C4103" s="1" t="n">
        <v>45353</v>
      </c>
      <c r="D4103" t="inlineStr">
        <is>
          <t>VÄRMLANDS LÄN</t>
        </is>
      </c>
      <c r="E4103" t="inlineStr">
        <is>
          <t>ÅRJÄNG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42128-2020</t>
        </is>
      </c>
      <c r="B4104" s="1" t="n">
        <v>44075</v>
      </c>
      <c r="C4104" s="1" t="n">
        <v>45353</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42034-2020</t>
        </is>
      </c>
      <c r="B4105" s="1" t="n">
        <v>44075</v>
      </c>
      <c r="C4105" s="1" t="n">
        <v>45353</v>
      </c>
      <c r="D4105" t="inlineStr">
        <is>
          <t>VÄRMLANDS LÄN</t>
        </is>
      </c>
      <c r="E4105" t="inlineStr">
        <is>
          <t>SUNNE</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41975-2020</t>
        </is>
      </c>
      <c r="B4106" s="1" t="n">
        <v>44075</v>
      </c>
      <c r="C4106" s="1" t="n">
        <v>45353</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42175-2020</t>
        </is>
      </c>
      <c r="B4107" s="1" t="n">
        <v>44075</v>
      </c>
      <c r="C4107" s="1" t="n">
        <v>45353</v>
      </c>
      <c r="D4107" t="inlineStr">
        <is>
          <t>VÄRMLANDS LÄN</t>
        </is>
      </c>
      <c r="E4107" t="inlineStr">
        <is>
          <t>KARLSTAD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42238-2020</t>
        </is>
      </c>
      <c r="B4108" s="1" t="n">
        <v>44075</v>
      </c>
      <c r="C4108" s="1" t="n">
        <v>45353</v>
      </c>
      <c r="D4108" t="inlineStr">
        <is>
          <t>VÄRMLANDS LÄN</t>
        </is>
      </c>
      <c r="E4108" t="inlineStr">
        <is>
          <t>SUNNE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42278-2020</t>
        </is>
      </c>
      <c r="B4109" s="1" t="n">
        <v>44076</v>
      </c>
      <c r="C4109" s="1" t="n">
        <v>45353</v>
      </c>
      <c r="D4109" t="inlineStr">
        <is>
          <t>VÄRMLANDS LÄN</t>
        </is>
      </c>
      <c r="E4109" t="inlineStr">
        <is>
          <t>SÄFFLE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42292-2020</t>
        </is>
      </c>
      <c r="B4110" s="1" t="n">
        <v>44076</v>
      </c>
      <c r="C4110" s="1" t="n">
        <v>45353</v>
      </c>
      <c r="D4110" t="inlineStr">
        <is>
          <t>VÄRMLANDS LÄN</t>
        </is>
      </c>
      <c r="E4110" t="inlineStr">
        <is>
          <t>SÄFFLE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42294-2020</t>
        </is>
      </c>
      <c r="B4111" s="1" t="n">
        <v>44076</v>
      </c>
      <c r="C4111" s="1" t="n">
        <v>45353</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42322-2020</t>
        </is>
      </c>
      <c r="B4112" s="1" t="n">
        <v>44076</v>
      </c>
      <c r="C4112" s="1" t="n">
        <v>45353</v>
      </c>
      <c r="D4112" t="inlineStr">
        <is>
          <t>VÄRMLANDS LÄN</t>
        </is>
      </c>
      <c r="E4112" t="inlineStr">
        <is>
          <t>SUNNE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42267-2020</t>
        </is>
      </c>
      <c r="B4113" s="1" t="n">
        <v>44076</v>
      </c>
      <c r="C4113" s="1" t="n">
        <v>45353</v>
      </c>
      <c r="D4113" t="inlineStr">
        <is>
          <t>VÄRMLANDS LÄN</t>
        </is>
      </c>
      <c r="E4113" t="inlineStr">
        <is>
          <t>ÅRJÄNG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42391-2020</t>
        </is>
      </c>
      <c r="B4114" s="1" t="n">
        <v>44076</v>
      </c>
      <c r="C4114" s="1" t="n">
        <v>45353</v>
      </c>
      <c r="D4114" t="inlineStr">
        <is>
          <t>VÄRMLANDS LÄN</t>
        </is>
      </c>
      <c r="E4114" t="inlineStr">
        <is>
          <t>TORSBY</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42522-2020</t>
        </is>
      </c>
      <c r="B4115" s="1" t="n">
        <v>44077</v>
      </c>
      <c r="C4115" s="1" t="n">
        <v>45353</v>
      </c>
      <c r="D4115" t="inlineStr">
        <is>
          <t>VÄRMLANDS LÄN</t>
        </is>
      </c>
      <c r="E4115" t="inlineStr">
        <is>
          <t>MUNKFORS</t>
        </is>
      </c>
      <c r="F4115" t="inlineStr">
        <is>
          <t>Bergvik skog väst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42566-2020</t>
        </is>
      </c>
      <c r="B4116" s="1" t="n">
        <v>44077</v>
      </c>
      <c r="C4116" s="1" t="n">
        <v>45353</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42623-2020</t>
        </is>
      </c>
      <c r="B4117" s="1" t="n">
        <v>44077</v>
      </c>
      <c r="C4117" s="1" t="n">
        <v>45353</v>
      </c>
      <c r="D4117" t="inlineStr">
        <is>
          <t>VÄRMLANDS LÄN</t>
        </is>
      </c>
      <c r="E4117" t="inlineStr">
        <is>
          <t>KRISTINEHAMN</t>
        </is>
      </c>
      <c r="G4117" t="n">
        <v>9.9</v>
      </c>
      <c r="H4117" t="n">
        <v>0</v>
      </c>
      <c r="I4117" t="n">
        <v>0</v>
      </c>
      <c r="J4117" t="n">
        <v>0</v>
      </c>
      <c r="K4117" t="n">
        <v>0</v>
      </c>
      <c r="L4117" t="n">
        <v>0</v>
      </c>
      <c r="M4117" t="n">
        <v>0</v>
      </c>
      <c r="N4117" t="n">
        <v>0</v>
      </c>
      <c r="O4117" t="n">
        <v>0</v>
      </c>
      <c r="P4117" t="n">
        <v>0</v>
      </c>
      <c r="Q4117" t="n">
        <v>0</v>
      </c>
      <c r="R4117" s="2" t="inlineStr"/>
    </row>
    <row r="4118" ht="15" customHeight="1">
      <c r="A4118" t="inlineStr">
        <is>
          <t>A 42681-2020</t>
        </is>
      </c>
      <c r="B4118" s="1" t="n">
        <v>44077</v>
      </c>
      <c r="C4118" s="1" t="n">
        <v>45353</v>
      </c>
      <c r="D4118" t="inlineStr">
        <is>
          <t>VÄRMLANDS LÄN</t>
        </is>
      </c>
      <c r="E4118" t="inlineStr">
        <is>
          <t>SUNNE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42539-2020</t>
        </is>
      </c>
      <c r="B4119" s="1" t="n">
        <v>44077</v>
      </c>
      <c r="C4119" s="1" t="n">
        <v>45353</v>
      </c>
      <c r="D4119" t="inlineStr">
        <is>
          <t>VÄRMLANDS LÄN</t>
        </is>
      </c>
      <c r="E4119" t="inlineStr">
        <is>
          <t>MUNKFORS</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42584-2020</t>
        </is>
      </c>
      <c r="B4120" s="1" t="n">
        <v>44077</v>
      </c>
      <c r="C4120" s="1" t="n">
        <v>45353</v>
      </c>
      <c r="D4120" t="inlineStr">
        <is>
          <t>VÄRMLANDS LÄN</t>
        </is>
      </c>
      <c r="E4120" t="inlineStr">
        <is>
          <t>FILIPSTAD</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42531-2020</t>
        </is>
      </c>
      <c r="B4121" s="1" t="n">
        <v>44077</v>
      </c>
      <c r="C4121" s="1" t="n">
        <v>45353</v>
      </c>
      <c r="D4121" t="inlineStr">
        <is>
          <t>VÄRMLANDS LÄN</t>
        </is>
      </c>
      <c r="E4121" t="inlineStr">
        <is>
          <t>KARLSTAD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42572-2020</t>
        </is>
      </c>
      <c r="B4122" s="1" t="n">
        <v>44077</v>
      </c>
      <c r="C4122" s="1" t="n">
        <v>45353</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42710-2020</t>
        </is>
      </c>
      <c r="B4123" s="1" t="n">
        <v>44077</v>
      </c>
      <c r="C4123" s="1" t="n">
        <v>45353</v>
      </c>
      <c r="D4123" t="inlineStr">
        <is>
          <t>VÄRMLANDS LÄN</t>
        </is>
      </c>
      <c r="E4123" t="inlineStr">
        <is>
          <t>KIL</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42707-2020</t>
        </is>
      </c>
      <c r="B4124" s="1" t="n">
        <v>44077</v>
      </c>
      <c r="C4124" s="1" t="n">
        <v>45353</v>
      </c>
      <c r="D4124" t="inlineStr">
        <is>
          <t>VÄRMLANDS LÄN</t>
        </is>
      </c>
      <c r="E4124" t="inlineStr">
        <is>
          <t>SUNNE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42627-2020</t>
        </is>
      </c>
      <c r="B4125" s="1" t="n">
        <v>44077</v>
      </c>
      <c r="C4125" s="1" t="n">
        <v>45353</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42716-2020</t>
        </is>
      </c>
      <c r="B4126" s="1" t="n">
        <v>44077</v>
      </c>
      <c r="C4126" s="1" t="n">
        <v>45353</v>
      </c>
      <c r="D4126" t="inlineStr">
        <is>
          <t>VÄRMLANDS LÄN</t>
        </is>
      </c>
      <c r="E4126" t="inlineStr">
        <is>
          <t>KIL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42597-2020</t>
        </is>
      </c>
      <c r="B4127" s="1" t="n">
        <v>44077</v>
      </c>
      <c r="C4127" s="1" t="n">
        <v>45353</v>
      </c>
      <c r="D4127" t="inlineStr">
        <is>
          <t>VÄRMLANDS LÄN</t>
        </is>
      </c>
      <c r="E4127" t="inlineStr">
        <is>
          <t>FILIPSTAD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42877-2020</t>
        </is>
      </c>
      <c r="B4128" s="1" t="n">
        <v>44078</v>
      </c>
      <c r="C4128" s="1" t="n">
        <v>45353</v>
      </c>
      <c r="D4128" t="inlineStr">
        <is>
          <t>VÄRMLANDS LÄN</t>
        </is>
      </c>
      <c r="E4128" t="inlineStr">
        <is>
          <t>KARLSTAD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42960-2020</t>
        </is>
      </c>
      <c r="B4129" s="1" t="n">
        <v>44078</v>
      </c>
      <c r="C4129" s="1" t="n">
        <v>45353</v>
      </c>
      <c r="D4129" t="inlineStr">
        <is>
          <t>VÄRMLANDS LÄN</t>
        </is>
      </c>
      <c r="E4129" t="inlineStr">
        <is>
          <t>FORSHAGA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42967-2020</t>
        </is>
      </c>
      <c r="B4130" s="1" t="n">
        <v>44078</v>
      </c>
      <c r="C4130" s="1" t="n">
        <v>45353</v>
      </c>
      <c r="D4130" t="inlineStr">
        <is>
          <t>VÄRMLANDS LÄN</t>
        </is>
      </c>
      <c r="E4130" t="inlineStr">
        <is>
          <t>FORSHAGA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42982-2020</t>
        </is>
      </c>
      <c r="B4131" s="1" t="n">
        <v>44078</v>
      </c>
      <c r="C4131" s="1" t="n">
        <v>45353</v>
      </c>
      <c r="D4131" t="inlineStr">
        <is>
          <t>VÄRMLANDS LÄN</t>
        </is>
      </c>
      <c r="E4131" t="inlineStr">
        <is>
          <t>TORSBY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42993-2020</t>
        </is>
      </c>
      <c r="B4132" s="1" t="n">
        <v>44078</v>
      </c>
      <c r="C4132" s="1" t="n">
        <v>45353</v>
      </c>
      <c r="D4132" t="inlineStr">
        <is>
          <t>VÄRMLANDS LÄN</t>
        </is>
      </c>
      <c r="E4132" t="inlineStr">
        <is>
          <t>FORSHAGA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43208-2020</t>
        </is>
      </c>
      <c r="B4133" s="1" t="n">
        <v>44078</v>
      </c>
      <c r="C4133" s="1" t="n">
        <v>45353</v>
      </c>
      <c r="D4133" t="inlineStr">
        <is>
          <t>VÄRMLANDS LÄN</t>
        </is>
      </c>
      <c r="E4133" t="inlineStr">
        <is>
          <t>SUNNE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42964-2020</t>
        </is>
      </c>
      <c r="B4134" s="1" t="n">
        <v>44078</v>
      </c>
      <c r="C4134" s="1" t="n">
        <v>45353</v>
      </c>
      <c r="D4134" t="inlineStr">
        <is>
          <t>VÄRMLANDS LÄN</t>
        </is>
      </c>
      <c r="E4134" t="inlineStr">
        <is>
          <t>HAGFORS</t>
        </is>
      </c>
      <c r="F4134" t="inlineStr">
        <is>
          <t>Bergvik skog väst AB</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43052-2020</t>
        </is>
      </c>
      <c r="B4135" s="1" t="n">
        <v>44078</v>
      </c>
      <c r="C4135" s="1" t="n">
        <v>45353</v>
      </c>
      <c r="D4135" t="inlineStr">
        <is>
          <t>VÄRMLANDS LÄN</t>
        </is>
      </c>
      <c r="E4135" t="inlineStr">
        <is>
          <t>SUNNE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42910-2020</t>
        </is>
      </c>
      <c r="B4136" s="1" t="n">
        <v>44078</v>
      </c>
      <c r="C4136" s="1" t="n">
        <v>45353</v>
      </c>
      <c r="D4136" t="inlineStr">
        <is>
          <t>VÄRMLANDS LÄN</t>
        </is>
      </c>
      <c r="E4136" t="inlineStr">
        <is>
          <t>FORSHAGA</t>
        </is>
      </c>
      <c r="F4136" t="inlineStr">
        <is>
          <t>Bergvik skog väst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42970-2020</t>
        </is>
      </c>
      <c r="B4137" s="1" t="n">
        <v>44078</v>
      </c>
      <c r="C4137" s="1" t="n">
        <v>45353</v>
      </c>
      <c r="D4137" t="inlineStr">
        <is>
          <t>VÄRMLANDS LÄN</t>
        </is>
      </c>
      <c r="E4137" t="inlineStr">
        <is>
          <t>FORSHAGA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42984-2020</t>
        </is>
      </c>
      <c r="B4138" s="1" t="n">
        <v>44078</v>
      </c>
      <c r="C4138" s="1" t="n">
        <v>45353</v>
      </c>
      <c r="D4138" t="inlineStr">
        <is>
          <t>VÄRMLANDS LÄN</t>
        </is>
      </c>
      <c r="E4138" t="inlineStr">
        <is>
          <t>FORSHAGA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43679-2020</t>
        </is>
      </c>
      <c r="B4139" s="1" t="n">
        <v>44078</v>
      </c>
      <c r="C4139" s="1" t="n">
        <v>45353</v>
      </c>
      <c r="D4139" t="inlineStr">
        <is>
          <t>VÄRMLANDS LÄN</t>
        </is>
      </c>
      <c r="E4139" t="inlineStr">
        <is>
          <t>KARLSTAD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43049-2020</t>
        </is>
      </c>
      <c r="B4140" s="1" t="n">
        <v>44078</v>
      </c>
      <c r="C4140" s="1" t="n">
        <v>45353</v>
      </c>
      <c r="D4140" t="inlineStr">
        <is>
          <t>VÄRMLANDS LÄN</t>
        </is>
      </c>
      <c r="E4140" t="inlineStr">
        <is>
          <t>KARLSTAD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43669-2020</t>
        </is>
      </c>
      <c r="B4141" s="1" t="n">
        <v>44078</v>
      </c>
      <c r="C4141" s="1" t="n">
        <v>45353</v>
      </c>
      <c r="D4141" t="inlineStr">
        <is>
          <t>VÄRMLANDS LÄN</t>
        </is>
      </c>
      <c r="E4141" t="inlineStr">
        <is>
          <t>KARLSTAD</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44722-2020</t>
        </is>
      </c>
      <c r="B4142" s="1" t="n">
        <v>44078</v>
      </c>
      <c r="C4142" s="1" t="n">
        <v>45353</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42965-2020</t>
        </is>
      </c>
      <c r="B4143" s="1" t="n">
        <v>44078</v>
      </c>
      <c r="C4143" s="1" t="n">
        <v>45353</v>
      </c>
      <c r="D4143" t="inlineStr">
        <is>
          <t>VÄRMLANDS LÄN</t>
        </is>
      </c>
      <c r="E4143" t="inlineStr">
        <is>
          <t>FORSHAGA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43547-2020</t>
        </is>
      </c>
      <c r="B4144" s="1" t="n">
        <v>44078</v>
      </c>
      <c r="C4144" s="1" t="n">
        <v>45353</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44715-2020</t>
        </is>
      </c>
      <c r="B4145" s="1" t="n">
        <v>44078</v>
      </c>
      <c r="C4145" s="1" t="n">
        <v>45353</v>
      </c>
      <c r="D4145" t="inlineStr">
        <is>
          <t>VÄRMLANDS LÄN</t>
        </is>
      </c>
      <c r="E4145" t="inlineStr">
        <is>
          <t>TORSBY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44720-2020</t>
        </is>
      </c>
      <c r="B4146" s="1" t="n">
        <v>44078</v>
      </c>
      <c r="C4146" s="1" t="n">
        <v>45353</v>
      </c>
      <c r="D4146" t="inlineStr">
        <is>
          <t>VÄRMLANDS LÄN</t>
        </is>
      </c>
      <c r="E4146" t="inlineStr">
        <is>
          <t>TORSBY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43133-2020</t>
        </is>
      </c>
      <c r="B4147" s="1" t="n">
        <v>44080</v>
      </c>
      <c r="C4147" s="1" t="n">
        <v>45353</v>
      </c>
      <c r="D4147" t="inlineStr">
        <is>
          <t>VÄRMLANDS LÄN</t>
        </is>
      </c>
      <c r="E4147" t="inlineStr">
        <is>
          <t>KRISTINEHAMN</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43132-2020</t>
        </is>
      </c>
      <c r="B4148" s="1" t="n">
        <v>44080</v>
      </c>
      <c r="C4148" s="1" t="n">
        <v>45353</v>
      </c>
      <c r="D4148" t="inlineStr">
        <is>
          <t>VÄRMLANDS LÄN</t>
        </is>
      </c>
      <c r="E4148" t="inlineStr">
        <is>
          <t>KRISTINEHAMN</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43179-2020</t>
        </is>
      </c>
      <c r="B4149" s="1" t="n">
        <v>44081</v>
      </c>
      <c r="C4149" s="1" t="n">
        <v>45353</v>
      </c>
      <c r="D4149" t="inlineStr">
        <is>
          <t>VÄRMLANDS LÄN</t>
        </is>
      </c>
      <c r="E4149" t="inlineStr">
        <is>
          <t>KARLSTAD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43267-2020</t>
        </is>
      </c>
      <c r="B4150" s="1" t="n">
        <v>44081</v>
      </c>
      <c r="C4150" s="1" t="n">
        <v>45353</v>
      </c>
      <c r="D4150" t="inlineStr">
        <is>
          <t>VÄRMLANDS LÄN</t>
        </is>
      </c>
      <c r="E4150" t="inlineStr">
        <is>
          <t>ÅRJÄNG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43428-2020</t>
        </is>
      </c>
      <c r="B4151" s="1" t="n">
        <v>44081</v>
      </c>
      <c r="C4151" s="1" t="n">
        <v>45353</v>
      </c>
      <c r="D4151" t="inlineStr">
        <is>
          <t>VÄRMLANDS LÄN</t>
        </is>
      </c>
      <c r="E4151" t="inlineStr">
        <is>
          <t>KRISTINEHAMN</t>
        </is>
      </c>
      <c r="F4151" t="inlineStr">
        <is>
          <t>Bergvik skog väst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43193-2020</t>
        </is>
      </c>
      <c r="B4152" s="1" t="n">
        <v>44081</v>
      </c>
      <c r="C4152" s="1" t="n">
        <v>45353</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43426-2020</t>
        </is>
      </c>
      <c r="B4153" s="1" t="n">
        <v>44081</v>
      </c>
      <c r="C4153" s="1" t="n">
        <v>45353</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43618-2020</t>
        </is>
      </c>
      <c r="B4154" s="1" t="n">
        <v>44082</v>
      </c>
      <c r="C4154" s="1" t="n">
        <v>45353</v>
      </c>
      <c r="D4154" t="inlineStr">
        <is>
          <t>VÄRMLANDS LÄN</t>
        </is>
      </c>
      <c r="E4154" t="inlineStr">
        <is>
          <t>SÄFFLE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43613-2020</t>
        </is>
      </c>
      <c r="B4155" s="1" t="n">
        <v>44082</v>
      </c>
      <c r="C4155" s="1" t="n">
        <v>45353</v>
      </c>
      <c r="D4155" t="inlineStr">
        <is>
          <t>VÄRMLANDS LÄN</t>
        </is>
      </c>
      <c r="E4155" t="inlineStr">
        <is>
          <t>FILIPSTAD</t>
        </is>
      </c>
      <c r="F4155" t="inlineStr">
        <is>
          <t>Bergvik skog väst AB</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43671-2020</t>
        </is>
      </c>
      <c r="B4156" s="1" t="n">
        <v>44082</v>
      </c>
      <c r="C4156" s="1" t="n">
        <v>45353</v>
      </c>
      <c r="D4156" t="inlineStr">
        <is>
          <t>VÄRMLANDS LÄN</t>
        </is>
      </c>
      <c r="E4156" t="inlineStr">
        <is>
          <t>FILIPSTAD</t>
        </is>
      </c>
      <c r="F4156" t="inlineStr">
        <is>
          <t>Bergvik skog väst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43725-2020</t>
        </is>
      </c>
      <c r="B4157" s="1" t="n">
        <v>44082</v>
      </c>
      <c r="C4157" s="1" t="n">
        <v>45353</v>
      </c>
      <c r="D4157" t="inlineStr">
        <is>
          <t>VÄRMLANDS LÄN</t>
        </is>
      </c>
      <c r="E4157" t="inlineStr">
        <is>
          <t>TORSBY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44127-2020</t>
        </is>
      </c>
      <c r="B4158" s="1" t="n">
        <v>44082</v>
      </c>
      <c r="C4158" s="1" t="n">
        <v>45353</v>
      </c>
      <c r="D4158" t="inlineStr">
        <is>
          <t>VÄRMLANDS LÄN</t>
        </is>
      </c>
      <c r="E4158" t="inlineStr">
        <is>
          <t>SUNNE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44304-2020</t>
        </is>
      </c>
      <c r="B4159" s="1" t="n">
        <v>44082</v>
      </c>
      <c r="C4159" s="1" t="n">
        <v>45353</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44309-2020</t>
        </is>
      </c>
      <c r="B4160" s="1" t="n">
        <v>44082</v>
      </c>
      <c r="C4160" s="1" t="n">
        <v>45353</v>
      </c>
      <c r="D4160" t="inlineStr">
        <is>
          <t>VÄRMLANDS LÄN</t>
        </is>
      </c>
      <c r="E4160" t="inlineStr">
        <is>
          <t>KARLSTAD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43879-2020</t>
        </is>
      </c>
      <c r="B4161" s="1" t="n">
        <v>44083</v>
      </c>
      <c r="C4161" s="1" t="n">
        <v>45353</v>
      </c>
      <c r="D4161" t="inlineStr">
        <is>
          <t>VÄRMLANDS LÄN</t>
        </is>
      </c>
      <c r="E4161" t="inlineStr">
        <is>
          <t>HAGFORS</t>
        </is>
      </c>
      <c r="F4161" t="inlineStr">
        <is>
          <t>Bergvik skog väst AB</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43870-2020</t>
        </is>
      </c>
      <c r="B4162" s="1" t="n">
        <v>44083</v>
      </c>
      <c r="C4162" s="1" t="n">
        <v>45353</v>
      </c>
      <c r="D4162" t="inlineStr">
        <is>
          <t>VÄRMLANDS LÄN</t>
        </is>
      </c>
      <c r="E4162" t="inlineStr">
        <is>
          <t>EDA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43869-2020</t>
        </is>
      </c>
      <c r="B4163" s="1" t="n">
        <v>44083</v>
      </c>
      <c r="C4163" s="1" t="n">
        <v>45353</v>
      </c>
      <c r="D4163" t="inlineStr">
        <is>
          <t>VÄRMLANDS LÄN</t>
        </is>
      </c>
      <c r="E4163" t="inlineStr">
        <is>
          <t>EDA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45123-2020</t>
        </is>
      </c>
      <c r="B4164" s="1" t="n">
        <v>44083</v>
      </c>
      <c r="C4164" s="1" t="n">
        <v>45353</v>
      </c>
      <c r="D4164" t="inlineStr">
        <is>
          <t>VÄRMLANDS LÄN</t>
        </is>
      </c>
      <c r="E4164" t="inlineStr">
        <is>
          <t>KARLSTAD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44298-2020</t>
        </is>
      </c>
      <c r="B4165" s="1" t="n">
        <v>44084</v>
      </c>
      <c r="C4165" s="1" t="n">
        <v>45353</v>
      </c>
      <c r="D4165" t="inlineStr">
        <is>
          <t>VÄRMLANDS LÄN</t>
        </is>
      </c>
      <c r="E4165" t="inlineStr">
        <is>
          <t>ÅRJÄNG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44471-2020</t>
        </is>
      </c>
      <c r="B4166" s="1" t="n">
        <v>44084</v>
      </c>
      <c r="C4166" s="1" t="n">
        <v>45353</v>
      </c>
      <c r="D4166" t="inlineStr">
        <is>
          <t>VÄRMLANDS LÄN</t>
        </is>
      </c>
      <c r="E4166" t="inlineStr">
        <is>
          <t>SÄFFLE</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44319-2020</t>
        </is>
      </c>
      <c r="B4167" s="1" t="n">
        <v>44084</v>
      </c>
      <c r="C4167" s="1" t="n">
        <v>45353</v>
      </c>
      <c r="D4167" t="inlineStr">
        <is>
          <t>VÄRMLANDS LÄN</t>
        </is>
      </c>
      <c r="E4167" t="inlineStr">
        <is>
          <t>ÅRJÄNG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45182-2020</t>
        </is>
      </c>
      <c r="B4168" s="1" t="n">
        <v>44084</v>
      </c>
      <c r="C4168" s="1" t="n">
        <v>45353</v>
      </c>
      <c r="D4168" t="inlineStr">
        <is>
          <t>VÄRMLANDS LÄN</t>
        </is>
      </c>
      <c r="E4168" t="inlineStr">
        <is>
          <t>KARLSTAD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45186-2020</t>
        </is>
      </c>
      <c r="B4169" s="1" t="n">
        <v>44084</v>
      </c>
      <c r="C4169" s="1" t="n">
        <v>45353</v>
      </c>
      <c r="D4169" t="inlineStr">
        <is>
          <t>VÄRMLANDS LÄN</t>
        </is>
      </c>
      <c r="E4169" t="inlineStr">
        <is>
          <t>KARLSTAD</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45174-2020</t>
        </is>
      </c>
      <c r="B4170" s="1" t="n">
        <v>44084</v>
      </c>
      <c r="C4170" s="1" t="n">
        <v>45353</v>
      </c>
      <c r="D4170" t="inlineStr">
        <is>
          <t>VÄRMLANDS LÄN</t>
        </is>
      </c>
      <c r="E4170" t="inlineStr">
        <is>
          <t>KARLSTAD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44610-2020</t>
        </is>
      </c>
      <c r="B4171" s="1" t="n">
        <v>44085</v>
      </c>
      <c r="C4171" s="1" t="n">
        <v>45353</v>
      </c>
      <c r="D4171" t="inlineStr">
        <is>
          <t>VÄRMLANDS LÄN</t>
        </is>
      </c>
      <c r="E4171" t="inlineStr">
        <is>
          <t>HAGFORS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44767-2020</t>
        </is>
      </c>
      <c r="B4172" s="1" t="n">
        <v>44085</v>
      </c>
      <c r="C4172" s="1" t="n">
        <v>45353</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44546-2020</t>
        </is>
      </c>
      <c r="B4173" s="1" t="n">
        <v>44085</v>
      </c>
      <c r="C4173" s="1" t="n">
        <v>45353</v>
      </c>
      <c r="D4173" t="inlineStr">
        <is>
          <t>VÄRMLANDS LÄN</t>
        </is>
      </c>
      <c r="E4173" t="inlineStr">
        <is>
          <t>GRUMS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44629-2020</t>
        </is>
      </c>
      <c r="B4174" s="1" t="n">
        <v>44085</v>
      </c>
      <c r="C4174" s="1" t="n">
        <v>45353</v>
      </c>
      <c r="D4174" t="inlineStr">
        <is>
          <t>VÄRMLANDS LÄN</t>
        </is>
      </c>
      <c r="E4174" t="inlineStr">
        <is>
          <t>HAGFORS</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44666-2020</t>
        </is>
      </c>
      <c r="B4175" s="1" t="n">
        <v>44085</v>
      </c>
      <c r="C4175" s="1" t="n">
        <v>45353</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44689-2020</t>
        </is>
      </c>
      <c r="B4176" s="1" t="n">
        <v>44085</v>
      </c>
      <c r="C4176" s="1" t="n">
        <v>45353</v>
      </c>
      <c r="D4176" t="inlineStr">
        <is>
          <t>VÄRMLANDS LÄN</t>
        </is>
      </c>
      <c r="E4176" t="inlineStr">
        <is>
          <t>ARVIKA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44702-2020</t>
        </is>
      </c>
      <c r="B4177" s="1" t="n">
        <v>44085</v>
      </c>
      <c r="C4177" s="1" t="n">
        <v>45353</v>
      </c>
      <c r="D4177" t="inlineStr">
        <is>
          <t>VÄRMLANDS LÄN</t>
        </is>
      </c>
      <c r="E4177" t="inlineStr">
        <is>
          <t>EDA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45319-2020</t>
        </is>
      </c>
      <c r="B4178" s="1" t="n">
        <v>44085</v>
      </c>
      <c r="C4178" s="1" t="n">
        <v>45353</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44815-2020</t>
        </is>
      </c>
      <c r="B4179" s="1" t="n">
        <v>44085</v>
      </c>
      <c r="C4179" s="1" t="n">
        <v>45353</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45328-2020</t>
        </is>
      </c>
      <c r="B4180" s="1" t="n">
        <v>44085</v>
      </c>
      <c r="C4180" s="1" t="n">
        <v>45353</v>
      </c>
      <c r="D4180" t="inlineStr">
        <is>
          <t>VÄRMLANDS LÄN</t>
        </is>
      </c>
      <c r="E4180" t="inlineStr">
        <is>
          <t>KARLSTAD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45463-2020</t>
        </is>
      </c>
      <c r="B4181" s="1" t="n">
        <v>44085</v>
      </c>
      <c r="C4181" s="1" t="n">
        <v>45353</v>
      </c>
      <c r="D4181" t="inlineStr">
        <is>
          <t>VÄRMLANDS LÄN</t>
        </is>
      </c>
      <c r="E4181" t="inlineStr">
        <is>
          <t>KARLSTAD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44548-2020</t>
        </is>
      </c>
      <c r="B4182" s="1" t="n">
        <v>44085</v>
      </c>
      <c r="C4182" s="1" t="n">
        <v>45353</v>
      </c>
      <c r="D4182" t="inlineStr">
        <is>
          <t>VÄRMLANDS LÄN</t>
        </is>
      </c>
      <c r="E4182" t="inlineStr">
        <is>
          <t>GRUMS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44967-2020</t>
        </is>
      </c>
      <c r="B4183" s="1" t="n">
        <v>44088</v>
      </c>
      <c r="C4183" s="1" t="n">
        <v>45353</v>
      </c>
      <c r="D4183" t="inlineStr">
        <is>
          <t>VÄRMLANDS LÄN</t>
        </is>
      </c>
      <c r="E4183" t="inlineStr">
        <is>
          <t>KIL</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45402-2020</t>
        </is>
      </c>
      <c r="B4184" s="1" t="n">
        <v>44089</v>
      </c>
      <c r="C4184" s="1" t="n">
        <v>45353</v>
      </c>
      <c r="D4184" t="inlineStr">
        <is>
          <t>VÄRMLANDS LÄN</t>
        </is>
      </c>
      <c r="E4184" t="inlineStr">
        <is>
          <t>KRISTINEHAMN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45485-2020</t>
        </is>
      </c>
      <c r="B4185" s="1" t="n">
        <v>44089</v>
      </c>
      <c r="C4185" s="1" t="n">
        <v>45353</v>
      </c>
      <c r="D4185" t="inlineStr">
        <is>
          <t>VÄRMLANDS LÄN</t>
        </is>
      </c>
      <c r="E4185" t="inlineStr">
        <is>
          <t>SUNNE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45524-2020</t>
        </is>
      </c>
      <c r="B4186" s="1" t="n">
        <v>44089</v>
      </c>
      <c r="C4186" s="1" t="n">
        <v>45353</v>
      </c>
      <c r="D4186" t="inlineStr">
        <is>
          <t>VÄRMLANDS LÄN</t>
        </is>
      </c>
      <c r="E4186" t="inlineStr">
        <is>
          <t>ARVIKA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45269-2020</t>
        </is>
      </c>
      <c r="B4187" s="1" t="n">
        <v>44089</v>
      </c>
      <c r="C4187" s="1" t="n">
        <v>45353</v>
      </c>
      <c r="D4187" t="inlineStr">
        <is>
          <t>VÄRMLANDS LÄN</t>
        </is>
      </c>
      <c r="E4187" t="inlineStr">
        <is>
          <t>KRISTINEHAMN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46482-2020</t>
        </is>
      </c>
      <c r="B4188" s="1" t="n">
        <v>44089</v>
      </c>
      <c r="C4188" s="1" t="n">
        <v>45353</v>
      </c>
      <c r="D4188" t="inlineStr">
        <is>
          <t>VÄRMLANDS LÄN</t>
        </is>
      </c>
      <c r="E4188" t="inlineStr">
        <is>
          <t>TORSBY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46701-2020</t>
        </is>
      </c>
      <c r="B4189" s="1" t="n">
        <v>44089</v>
      </c>
      <c r="C4189" s="1" t="n">
        <v>45353</v>
      </c>
      <c r="D4189" t="inlineStr">
        <is>
          <t>VÄRMLANDS LÄN</t>
        </is>
      </c>
      <c r="E4189" t="inlineStr">
        <is>
          <t>GRUMS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45404-2020</t>
        </is>
      </c>
      <c r="B4190" s="1" t="n">
        <v>44089</v>
      </c>
      <c r="C4190" s="1" t="n">
        <v>45353</v>
      </c>
      <c r="D4190" t="inlineStr">
        <is>
          <t>VÄRMLANDS LÄN</t>
        </is>
      </c>
      <c r="E4190" t="inlineStr">
        <is>
          <t>TORSBY</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45258-2020</t>
        </is>
      </c>
      <c r="B4191" s="1" t="n">
        <v>44089</v>
      </c>
      <c r="C4191" s="1" t="n">
        <v>45353</v>
      </c>
      <c r="D4191" t="inlineStr">
        <is>
          <t>VÄRMLANDS LÄN</t>
        </is>
      </c>
      <c r="E4191" t="inlineStr">
        <is>
          <t>ARVIKA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45767-2020</t>
        </is>
      </c>
      <c r="B4192" s="1" t="n">
        <v>44090</v>
      </c>
      <c r="C4192" s="1" t="n">
        <v>45353</v>
      </c>
      <c r="D4192" t="inlineStr">
        <is>
          <t>VÄRMLANDS LÄN</t>
        </is>
      </c>
      <c r="E4192" t="inlineStr">
        <is>
          <t>SUNNE</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45799-2020</t>
        </is>
      </c>
      <c r="B4193" s="1" t="n">
        <v>44090</v>
      </c>
      <c r="C4193" s="1" t="n">
        <v>45353</v>
      </c>
      <c r="D4193" t="inlineStr">
        <is>
          <t>VÄRMLANDS LÄN</t>
        </is>
      </c>
      <c r="E4193" t="inlineStr">
        <is>
          <t>KRISTINEHAMN</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45805-2020</t>
        </is>
      </c>
      <c r="B4194" s="1" t="n">
        <v>44090</v>
      </c>
      <c r="C4194" s="1" t="n">
        <v>45353</v>
      </c>
      <c r="D4194" t="inlineStr">
        <is>
          <t>VÄRMLANDS LÄN</t>
        </is>
      </c>
      <c r="E4194" t="inlineStr">
        <is>
          <t>KRISTINEHAMN</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45779-2020</t>
        </is>
      </c>
      <c r="B4195" s="1" t="n">
        <v>44090</v>
      </c>
      <c r="C4195" s="1" t="n">
        <v>45353</v>
      </c>
      <c r="D4195" t="inlineStr">
        <is>
          <t>VÄRMLANDS LÄN</t>
        </is>
      </c>
      <c r="E4195" t="inlineStr">
        <is>
          <t>SÄFFLE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45803-2020</t>
        </is>
      </c>
      <c r="B4196" s="1" t="n">
        <v>44090</v>
      </c>
      <c r="C4196" s="1" t="n">
        <v>45353</v>
      </c>
      <c r="D4196" t="inlineStr">
        <is>
          <t>VÄRMLANDS LÄN</t>
        </is>
      </c>
      <c r="E4196" t="inlineStr">
        <is>
          <t>KRISTINEHAMN</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45811-2020</t>
        </is>
      </c>
      <c r="B4197" s="1" t="n">
        <v>44090</v>
      </c>
      <c r="C4197" s="1" t="n">
        <v>45353</v>
      </c>
      <c r="D4197" t="inlineStr">
        <is>
          <t>VÄRMLANDS LÄN</t>
        </is>
      </c>
      <c r="E4197" t="inlineStr">
        <is>
          <t>KRISTINEHAMN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46836-2020</t>
        </is>
      </c>
      <c r="B4198" s="1" t="n">
        <v>44090</v>
      </c>
      <c r="C4198" s="1" t="n">
        <v>45353</v>
      </c>
      <c r="D4198" t="inlineStr">
        <is>
          <t>VÄRMLANDS LÄN</t>
        </is>
      </c>
      <c r="E4198" t="inlineStr">
        <is>
          <t>KARLSTAD</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46971-2020</t>
        </is>
      </c>
      <c r="B4199" s="1" t="n">
        <v>44090</v>
      </c>
      <c r="C4199" s="1" t="n">
        <v>45353</v>
      </c>
      <c r="D4199" t="inlineStr">
        <is>
          <t>VÄRMLANDS LÄN</t>
        </is>
      </c>
      <c r="E4199" t="inlineStr">
        <is>
          <t>GRUMS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45872-2020</t>
        </is>
      </c>
      <c r="B4200" s="1" t="n">
        <v>44091</v>
      </c>
      <c r="C4200" s="1" t="n">
        <v>45353</v>
      </c>
      <c r="D4200" t="inlineStr">
        <is>
          <t>VÄRMLANDS LÄN</t>
        </is>
      </c>
      <c r="E4200" t="inlineStr">
        <is>
          <t>TORSBY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45898-2020</t>
        </is>
      </c>
      <c r="B4201" s="1" t="n">
        <v>44091</v>
      </c>
      <c r="C4201" s="1" t="n">
        <v>45353</v>
      </c>
      <c r="D4201" t="inlineStr">
        <is>
          <t>VÄRMLANDS LÄN</t>
        </is>
      </c>
      <c r="E4201" t="inlineStr">
        <is>
          <t>TORSBY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45959-2020</t>
        </is>
      </c>
      <c r="B4202" s="1" t="n">
        <v>44091</v>
      </c>
      <c r="C4202" s="1" t="n">
        <v>45353</v>
      </c>
      <c r="D4202" t="inlineStr">
        <is>
          <t>VÄRMLANDS LÄN</t>
        </is>
      </c>
      <c r="E4202" t="inlineStr">
        <is>
          <t>SUNNE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45971-2020</t>
        </is>
      </c>
      <c r="B4203" s="1" t="n">
        <v>44091</v>
      </c>
      <c r="C4203" s="1" t="n">
        <v>45353</v>
      </c>
      <c r="D4203" t="inlineStr">
        <is>
          <t>VÄRMLANDS LÄN</t>
        </is>
      </c>
      <c r="E4203" t="inlineStr">
        <is>
          <t>ÅRJÄNG</t>
        </is>
      </c>
      <c r="G4203" t="n">
        <v>12.7</v>
      </c>
      <c r="H4203" t="n">
        <v>0</v>
      </c>
      <c r="I4203" t="n">
        <v>0</v>
      </c>
      <c r="J4203" t="n">
        <v>0</v>
      </c>
      <c r="K4203" t="n">
        <v>0</v>
      </c>
      <c r="L4203" t="n">
        <v>0</v>
      </c>
      <c r="M4203" t="n">
        <v>0</v>
      </c>
      <c r="N4203" t="n">
        <v>0</v>
      </c>
      <c r="O4203" t="n">
        <v>0</v>
      </c>
      <c r="P4203" t="n">
        <v>0</v>
      </c>
      <c r="Q4203" t="n">
        <v>0</v>
      </c>
      <c r="R4203" s="2" t="inlineStr"/>
    </row>
    <row r="4204" ht="15" customHeight="1">
      <c r="A4204" t="inlineStr">
        <is>
          <t>A 46002-2020</t>
        </is>
      </c>
      <c r="B4204" s="1" t="n">
        <v>44091</v>
      </c>
      <c r="C4204" s="1" t="n">
        <v>45353</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45853-2020</t>
        </is>
      </c>
      <c r="B4205" s="1" t="n">
        <v>44091</v>
      </c>
      <c r="C4205" s="1" t="n">
        <v>45353</v>
      </c>
      <c r="D4205" t="inlineStr">
        <is>
          <t>VÄRMLANDS LÄN</t>
        </is>
      </c>
      <c r="E4205" t="inlineStr">
        <is>
          <t>SUNNE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46072-2020</t>
        </is>
      </c>
      <c r="B4206" s="1" t="n">
        <v>44091</v>
      </c>
      <c r="C4206" s="1" t="n">
        <v>45353</v>
      </c>
      <c r="D4206" t="inlineStr">
        <is>
          <t>VÄRMLANDS LÄN</t>
        </is>
      </c>
      <c r="E4206" t="inlineStr">
        <is>
          <t>FILIPSTAD</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46113-2020</t>
        </is>
      </c>
      <c r="B4207" s="1" t="n">
        <v>44091</v>
      </c>
      <c r="C4207" s="1" t="n">
        <v>45353</v>
      </c>
      <c r="D4207" t="inlineStr">
        <is>
          <t>VÄRMLANDS LÄN</t>
        </is>
      </c>
      <c r="E4207" t="inlineStr">
        <is>
          <t>FILIPSTAD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46245-2020</t>
        </is>
      </c>
      <c r="B4208" s="1" t="n">
        <v>44092</v>
      </c>
      <c r="C4208" s="1" t="n">
        <v>45353</v>
      </c>
      <c r="D4208" t="inlineStr">
        <is>
          <t>VÄRMLANDS LÄN</t>
        </is>
      </c>
      <c r="E4208" t="inlineStr">
        <is>
          <t>GRUMS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46192-2020</t>
        </is>
      </c>
      <c r="B4209" s="1" t="n">
        <v>44092</v>
      </c>
      <c r="C4209" s="1" t="n">
        <v>45353</v>
      </c>
      <c r="D4209" t="inlineStr">
        <is>
          <t>VÄRMLANDS LÄN</t>
        </is>
      </c>
      <c r="E4209" t="inlineStr">
        <is>
          <t>ARVIKA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46271-2020</t>
        </is>
      </c>
      <c r="B4210" s="1" t="n">
        <v>44092</v>
      </c>
      <c r="C4210" s="1" t="n">
        <v>45353</v>
      </c>
      <c r="D4210" t="inlineStr">
        <is>
          <t>VÄRMLANDS LÄN</t>
        </is>
      </c>
      <c r="E4210" t="inlineStr">
        <is>
          <t>TORSBY</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47333-2020</t>
        </is>
      </c>
      <c r="B4211" s="1" t="n">
        <v>44092</v>
      </c>
      <c r="C4211" s="1" t="n">
        <v>45353</v>
      </c>
      <c r="D4211" t="inlineStr">
        <is>
          <t>VÄRMLANDS LÄN</t>
        </is>
      </c>
      <c r="E4211" t="inlineStr">
        <is>
          <t>SÄFFLE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46187-2020</t>
        </is>
      </c>
      <c r="B4212" s="1" t="n">
        <v>44092</v>
      </c>
      <c r="C4212" s="1" t="n">
        <v>45353</v>
      </c>
      <c r="D4212" t="inlineStr">
        <is>
          <t>VÄRMLANDS LÄN</t>
        </is>
      </c>
      <c r="E4212" t="inlineStr">
        <is>
          <t>SUNNE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46666-2020</t>
        </is>
      </c>
      <c r="B4213" s="1" t="n">
        <v>44095</v>
      </c>
      <c r="C4213" s="1" t="n">
        <v>45353</v>
      </c>
      <c r="D4213" t="inlineStr">
        <is>
          <t>VÄRMLANDS LÄN</t>
        </is>
      </c>
      <c r="E4213" t="inlineStr">
        <is>
          <t>KARLSTAD</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46680-2020</t>
        </is>
      </c>
      <c r="B4214" s="1" t="n">
        <v>44095</v>
      </c>
      <c r="C4214" s="1" t="n">
        <v>45353</v>
      </c>
      <c r="D4214" t="inlineStr">
        <is>
          <t>VÄRMLANDS LÄN</t>
        </is>
      </c>
      <c r="E4214" t="inlineStr">
        <is>
          <t>ARVIKA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46563-2020</t>
        </is>
      </c>
      <c r="B4215" s="1" t="n">
        <v>44095</v>
      </c>
      <c r="C4215" s="1" t="n">
        <v>45353</v>
      </c>
      <c r="D4215" t="inlineStr">
        <is>
          <t>VÄRMLANDS LÄN</t>
        </is>
      </c>
      <c r="E4215" t="inlineStr">
        <is>
          <t>SÄFFLE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46929-2020</t>
        </is>
      </c>
      <c r="B4216" s="1" t="n">
        <v>44096</v>
      </c>
      <c r="C4216" s="1" t="n">
        <v>45353</v>
      </c>
      <c r="D4216" t="inlineStr">
        <is>
          <t>VÄRMLANDS LÄN</t>
        </is>
      </c>
      <c r="E4216" t="inlineStr">
        <is>
          <t>HAGFORS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46981-2020</t>
        </is>
      </c>
      <c r="B4217" s="1" t="n">
        <v>44096</v>
      </c>
      <c r="C4217" s="1" t="n">
        <v>45353</v>
      </c>
      <c r="D4217" t="inlineStr">
        <is>
          <t>VÄRMLANDS LÄN</t>
        </is>
      </c>
      <c r="E4217" t="inlineStr">
        <is>
          <t>ÅRJÄNG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47042-2020</t>
        </is>
      </c>
      <c r="B4218" s="1" t="n">
        <v>44096</v>
      </c>
      <c r="C4218" s="1" t="n">
        <v>45353</v>
      </c>
      <c r="D4218" t="inlineStr">
        <is>
          <t>VÄRMLANDS LÄN</t>
        </is>
      </c>
      <c r="E4218" t="inlineStr">
        <is>
          <t>FORSHAGA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47707-2020</t>
        </is>
      </c>
      <c r="B4219" s="1" t="n">
        <v>44096</v>
      </c>
      <c r="C4219" s="1" t="n">
        <v>45353</v>
      </c>
      <c r="D4219" t="inlineStr">
        <is>
          <t>VÄRMLANDS LÄN</t>
        </is>
      </c>
      <c r="E4219" t="inlineStr">
        <is>
          <t>TORSBY</t>
        </is>
      </c>
      <c r="F4219" t="inlineStr">
        <is>
          <t>Kyrkan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47728-2020</t>
        </is>
      </c>
      <c r="B4220" s="1" t="n">
        <v>44096</v>
      </c>
      <c r="C4220" s="1" t="n">
        <v>45353</v>
      </c>
      <c r="D4220" t="inlineStr">
        <is>
          <t>VÄRMLANDS LÄN</t>
        </is>
      </c>
      <c r="E4220" t="inlineStr">
        <is>
          <t>KRISTINEHAMN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47709-2020</t>
        </is>
      </c>
      <c r="B4221" s="1" t="n">
        <v>44096</v>
      </c>
      <c r="C4221" s="1" t="n">
        <v>45353</v>
      </c>
      <c r="D4221" t="inlineStr">
        <is>
          <t>VÄRMLANDS LÄN</t>
        </is>
      </c>
      <c r="E4221" t="inlineStr">
        <is>
          <t>TORSBY</t>
        </is>
      </c>
      <c r="F4221" t="inlineStr">
        <is>
          <t>Kyrkan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47394-2020</t>
        </is>
      </c>
      <c r="B4222" s="1" t="n">
        <v>44097</v>
      </c>
      <c r="C4222" s="1" t="n">
        <v>45353</v>
      </c>
      <c r="D4222" t="inlineStr">
        <is>
          <t>VÄRMLANDS LÄN</t>
        </is>
      </c>
      <c r="E4222" t="inlineStr">
        <is>
          <t>ÅRJÄNG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48203-2020</t>
        </is>
      </c>
      <c r="B4223" s="1" t="n">
        <v>44097</v>
      </c>
      <c r="C4223" s="1" t="n">
        <v>45353</v>
      </c>
      <c r="D4223" t="inlineStr">
        <is>
          <t>VÄRMLANDS LÄN</t>
        </is>
      </c>
      <c r="E4223" t="inlineStr">
        <is>
          <t>SUNNE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47266-2020</t>
        </is>
      </c>
      <c r="B4224" s="1" t="n">
        <v>44097</v>
      </c>
      <c r="C4224" s="1" t="n">
        <v>45353</v>
      </c>
      <c r="D4224" t="inlineStr">
        <is>
          <t>VÄRMLANDS LÄN</t>
        </is>
      </c>
      <c r="E4224" t="inlineStr">
        <is>
          <t>ARVIKA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47147-2020</t>
        </is>
      </c>
      <c r="B4225" s="1" t="n">
        <v>44097</v>
      </c>
      <c r="C4225" s="1" t="n">
        <v>45353</v>
      </c>
      <c r="D4225" t="inlineStr">
        <is>
          <t>VÄRMLANDS LÄN</t>
        </is>
      </c>
      <c r="E4225" t="inlineStr">
        <is>
          <t>ARVIKA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47328-2020</t>
        </is>
      </c>
      <c r="B4226" s="1" t="n">
        <v>44097</v>
      </c>
      <c r="C4226" s="1" t="n">
        <v>45353</v>
      </c>
      <c r="D4226" t="inlineStr">
        <is>
          <t>VÄRMLANDS LÄN</t>
        </is>
      </c>
      <c r="E4226" t="inlineStr">
        <is>
          <t>ARVIKA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47434-2020</t>
        </is>
      </c>
      <c r="B4227" s="1" t="n">
        <v>44097</v>
      </c>
      <c r="C4227" s="1" t="n">
        <v>45353</v>
      </c>
      <c r="D4227" t="inlineStr">
        <is>
          <t>VÄRMLANDS LÄN</t>
        </is>
      </c>
      <c r="E4227" t="inlineStr">
        <is>
          <t>FILIPSTAD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47540-2020</t>
        </is>
      </c>
      <c r="B4228" s="1" t="n">
        <v>44098</v>
      </c>
      <c r="C4228" s="1" t="n">
        <v>45353</v>
      </c>
      <c r="D4228" t="inlineStr">
        <is>
          <t>VÄRMLANDS LÄN</t>
        </is>
      </c>
      <c r="E4228" t="inlineStr">
        <is>
          <t>FILIPSTAD</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47490-2020</t>
        </is>
      </c>
      <c r="B4229" s="1" t="n">
        <v>44098</v>
      </c>
      <c r="C4229" s="1" t="n">
        <v>45353</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47673-2020</t>
        </is>
      </c>
      <c r="B4230" s="1" t="n">
        <v>44098</v>
      </c>
      <c r="C4230" s="1" t="n">
        <v>45353</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47674-2020</t>
        </is>
      </c>
      <c r="B4231" s="1" t="n">
        <v>44098</v>
      </c>
      <c r="C4231" s="1" t="n">
        <v>45353</v>
      </c>
      <c r="D4231" t="inlineStr">
        <is>
          <t>VÄRMLANDS LÄN</t>
        </is>
      </c>
      <c r="E4231" t="inlineStr">
        <is>
          <t>FILIPSTAD</t>
        </is>
      </c>
      <c r="F4231" t="inlineStr">
        <is>
          <t>Bergvik skog väst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47670-2020</t>
        </is>
      </c>
      <c r="B4232" s="1" t="n">
        <v>44098</v>
      </c>
      <c r="C4232" s="1" t="n">
        <v>45353</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47817-2020</t>
        </is>
      </c>
      <c r="B4233" s="1" t="n">
        <v>44098</v>
      </c>
      <c r="C4233" s="1" t="n">
        <v>45353</v>
      </c>
      <c r="D4233" t="inlineStr">
        <is>
          <t>VÄRMLANDS LÄN</t>
        </is>
      </c>
      <c r="E4233" t="inlineStr">
        <is>
          <t>SUNNE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48553-2020</t>
        </is>
      </c>
      <c r="B4234" s="1" t="n">
        <v>44098</v>
      </c>
      <c r="C4234" s="1" t="n">
        <v>45353</v>
      </c>
      <c r="D4234" t="inlineStr">
        <is>
          <t>VÄRMLANDS LÄN</t>
        </is>
      </c>
      <c r="E4234" t="inlineStr">
        <is>
          <t>KARLSTAD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48568-2020</t>
        </is>
      </c>
      <c r="B4235" s="1" t="n">
        <v>44098</v>
      </c>
      <c r="C4235" s="1" t="n">
        <v>45353</v>
      </c>
      <c r="D4235" t="inlineStr">
        <is>
          <t>VÄRMLANDS LÄN</t>
        </is>
      </c>
      <c r="E4235" t="inlineStr">
        <is>
          <t>KARLSTAD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48566-2020</t>
        </is>
      </c>
      <c r="B4236" s="1" t="n">
        <v>44098</v>
      </c>
      <c r="C4236" s="1" t="n">
        <v>45353</v>
      </c>
      <c r="D4236" t="inlineStr">
        <is>
          <t>VÄRMLANDS LÄN</t>
        </is>
      </c>
      <c r="E4236" t="inlineStr">
        <is>
          <t>KARLSTAD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48561-2020</t>
        </is>
      </c>
      <c r="B4237" s="1" t="n">
        <v>44098</v>
      </c>
      <c r="C4237" s="1" t="n">
        <v>45353</v>
      </c>
      <c r="D4237" t="inlineStr">
        <is>
          <t>VÄRMLANDS LÄN</t>
        </is>
      </c>
      <c r="E4237" t="inlineStr">
        <is>
          <t>KARLSTAD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48560-2020</t>
        </is>
      </c>
      <c r="B4238" s="1" t="n">
        <v>44098</v>
      </c>
      <c r="C4238" s="1" t="n">
        <v>45353</v>
      </c>
      <c r="D4238" t="inlineStr">
        <is>
          <t>VÄRMLANDS LÄN</t>
        </is>
      </c>
      <c r="E4238" t="inlineStr">
        <is>
          <t>KARLSTAD</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48677-2020</t>
        </is>
      </c>
      <c r="B4239" s="1" t="n">
        <v>44098</v>
      </c>
      <c r="C4239" s="1" t="n">
        <v>45353</v>
      </c>
      <c r="D4239" t="inlineStr">
        <is>
          <t>VÄRMLANDS LÄN</t>
        </is>
      </c>
      <c r="E4239" t="inlineStr">
        <is>
          <t>KRISTINEHAMN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48700-2020</t>
        </is>
      </c>
      <c r="B4240" s="1" t="n">
        <v>44098</v>
      </c>
      <c r="C4240" s="1" t="n">
        <v>45353</v>
      </c>
      <c r="D4240" t="inlineStr">
        <is>
          <t>VÄRMLANDS LÄN</t>
        </is>
      </c>
      <c r="E4240" t="inlineStr">
        <is>
          <t>KRISTINEHAMN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47872-2020</t>
        </is>
      </c>
      <c r="B4241" s="1" t="n">
        <v>44099</v>
      </c>
      <c r="C4241" s="1" t="n">
        <v>45353</v>
      </c>
      <c r="D4241" t="inlineStr">
        <is>
          <t>VÄRMLANDS LÄN</t>
        </is>
      </c>
      <c r="E4241" t="inlineStr">
        <is>
          <t>EDA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47928-2020</t>
        </is>
      </c>
      <c r="B4242" s="1" t="n">
        <v>44099</v>
      </c>
      <c r="C4242" s="1" t="n">
        <v>45353</v>
      </c>
      <c r="D4242" t="inlineStr">
        <is>
          <t>VÄRMLANDS LÄN</t>
        </is>
      </c>
      <c r="E4242" t="inlineStr">
        <is>
          <t>ARVIKA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48020-2020</t>
        </is>
      </c>
      <c r="B4243" s="1" t="n">
        <v>44099</v>
      </c>
      <c r="C4243" s="1" t="n">
        <v>45353</v>
      </c>
      <c r="D4243" t="inlineStr">
        <is>
          <t>VÄRMLANDS LÄN</t>
        </is>
      </c>
      <c r="E4243" t="inlineStr">
        <is>
          <t>ARVIKA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48847-2020</t>
        </is>
      </c>
      <c r="B4244" s="1" t="n">
        <v>44099</v>
      </c>
      <c r="C4244" s="1" t="n">
        <v>45353</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48911-2020</t>
        </is>
      </c>
      <c r="B4245" s="1" t="n">
        <v>44100</v>
      </c>
      <c r="C4245" s="1" t="n">
        <v>45353</v>
      </c>
      <c r="D4245" t="inlineStr">
        <is>
          <t>VÄRMLANDS LÄN</t>
        </is>
      </c>
      <c r="E4245" t="inlineStr">
        <is>
          <t>SÄFFLE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48089-2020</t>
        </is>
      </c>
      <c r="B4246" s="1" t="n">
        <v>44101</v>
      </c>
      <c r="C4246" s="1" t="n">
        <v>45353</v>
      </c>
      <c r="D4246" t="inlineStr">
        <is>
          <t>VÄRMLANDS LÄN</t>
        </is>
      </c>
      <c r="E4246" t="inlineStr">
        <is>
          <t>ÅRJÄNG</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48105-2020</t>
        </is>
      </c>
      <c r="B4247" s="1" t="n">
        <v>44101</v>
      </c>
      <c r="C4247" s="1" t="n">
        <v>45353</v>
      </c>
      <c r="D4247" t="inlineStr">
        <is>
          <t>VÄRMLANDS LÄN</t>
        </is>
      </c>
      <c r="E4247" t="inlineStr">
        <is>
          <t>HAGFORS</t>
        </is>
      </c>
      <c r="F4247" t="inlineStr">
        <is>
          <t>Bergvik skog väst AB</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48104-2020</t>
        </is>
      </c>
      <c r="B4248" s="1" t="n">
        <v>44101</v>
      </c>
      <c r="C4248" s="1" t="n">
        <v>45353</v>
      </c>
      <c r="D4248" t="inlineStr">
        <is>
          <t>VÄRMLANDS LÄN</t>
        </is>
      </c>
      <c r="E4248" t="inlineStr">
        <is>
          <t>MUNKFORS</t>
        </is>
      </c>
      <c r="F4248" t="inlineStr">
        <is>
          <t>Bergvik skog väst AB</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48106-2020</t>
        </is>
      </c>
      <c r="B4249" s="1" t="n">
        <v>44101</v>
      </c>
      <c r="C4249" s="1" t="n">
        <v>45353</v>
      </c>
      <c r="D4249" t="inlineStr">
        <is>
          <t>VÄRMLANDS LÄN</t>
        </is>
      </c>
      <c r="E4249" t="inlineStr">
        <is>
          <t>FORSHAGA</t>
        </is>
      </c>
      <c r="F4249" t="inlineStr">
        <is>
          <t>Bergvik skog väst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48114-2020</t>
        </is>
      </c>
      <c r="B4250" s="1" t="n">
        <v>44101</v>
      </c>
      <c r="C4250" s="1" t="n">
        <v>45353</v>
      </c>
      <c r="D4250" t="inlineStr">
        <is>
          <t>VÄRMLANDS LÄN</t>
        </is>
      </c>
      <c r="E4250" t="inlineStr">
        <is>
          <t>MUNKFORS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48241-2020</t>
        </is>
      </c>
      <c r="B4251" s="1" t="n">
        <v>44102</v>
      </c>
      <c r="C4251" s="1" t="n">
        <v>45353</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48359-2020</t>
        </is>
      </c>
      <c r="B4252" s="1" t="n">
        <v>44102</v>
      </c>
      <c r="C4252" s="1" t="n">
        <v>45353</v>
      </c>
      <c r="D4252" t="inlineStr">
        <is>
          <t>VÄRMLANDS LÄN</t>
        </is>
      </c>
      <c r="E4252" t="inlineStr">
        <is>
          <t>SUNNE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48145-2020</t>
        </is>
      </c>
      <c r="B4253" s="1" t="n">
        <v>44102</v>
      </c>
      <c r="C4253" s="1" t="n">
        <v>45353</v>
      </c>
      <c r="D4253" t="inlineStr">
        <is>
          <t>VÄRMLANDS LÄN</t>
        </is>
      </c>
      <c r="E4253" t="inlineStr">
        <is>
          <t>FORSHAGA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48358-2020</t>
        </is>
      </c>
      <c r="B4254" s="1" t="n">
        <v>44102</v>
      </c>
      <c r="C4254" s="1" t="n">
        <v>45353</v>
      </c>
      <c r="D4254" t="inlineStr">
        <is>
          <t>VÄRMLANDS LÄN</t>
        </is>
      </c>
      <c r="E4254" t="inlineStr">
        <is>
          <t>SÄFFLE</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48314-2020</t>
        </is>
      </c>
      <c r="B4255" s="1" t="n">
        <v>44102</v>
      </c>
      <c r="C4255" s="1" t="n">
        <v>45353</v>
      </c>
      <c r="D4255" t="inlineStr">
        <is>
          <t>VÄRMLANDS LÄN</t>
        </is>
      </c>
      <c r="E4255" t="inlineStr">
        <is>
          <t>FORSHAGA</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48374-2020</t>
        </is>
      </c>
      <c r="B4256" s="1" t="n">
        <v>44102</v>
      </c>
      <c r="C4256" s="1" t="n">
        <v>45353</v>
      </c>
      <c r="D4256" t="inlineStr">
        <is>
          <t>VÄRMLANDS LÄN</t>
        </is>
      </c>
      <c r="E4256" t="inlineStr">
        <is>
          <t>ÅRJÄNG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48132-2020</t>
        </is>
      </c>
      <c r="B4257" s="1" t="n">
        <v>44102</v>
      </c>
      <c r="C4257" s="1" t="n">
        <v>45353</v>
      </c>
      <c r="D4257" t="inlineStr">
        <is>
          <t>VÄRMLANDS LÄN</t>
        </is>
      </c>
      <c r="E4257" t="inlineStr">
        <is>
          <t>ÅRJÄNG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48231-2020</t>
        </is>
      </c>
      <c r="B4258" s="1" t="n">
        <v>44102</v>
      </c>
      <c r="C4258" s="1" t="n">
        <v>45353</v>
      </c>
      <c r="D4258" t="inlineStr">
        <is>
          <t>VÄRMLANDS LÄN</t>
        </is>
      </c>
      <c r="E4258" t="inlineStr">
        <is>
          <t>TORSBY</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48243-2020</t>
        </is>
      </c>
      <c r="B4259" s="1" t="n">
        <v>44102</v>
      </c>
      <c r="C4259" s="1" t="n">
        <v>45353</v>
      </c>
      <c r="D4259" t="inlineStr">
        <is>
          <t>VÄRMLANDS LÄN</t>
        </is>
      </c>
      <c r="E4259" t="inlineStr">
        <is>
          <t>KARLSTAD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48383-2020</t>
        </is>
      </c>
      <c r="B4260" s="1" t="n">
        <v>44102</v>
      </c>
      <c r="C4260" s="1" t="n">
        <v>45353</v>
      </c>
      <c r="D4260" t="inlineStr">
        <is>
          <t>VÄRMLANDS LÄN</t>
        </is>
      </c>
      <c r="E4260" t="inlineStr">
        <is>
          <t>TORSBY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49030-2020</t>
        </is>
      </c>
      <c r="B4261" s="1" t="n">
        <v>44102</v>
      </c>
      <c r="C4261" s="1" t="n">
        <v>45353</v>
      </c>
      <c r="D4261" t="inlineStr">
        <is>
          <t>VÄRMLANDS LÄN</t>
        </is>
      </c>
      <c r="E4261" t="inlineStr">
        <is>
          <t>KIL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49398-2020</t>
        </is>
      </c>
      <c r="B4262" s="1" t="n">
        <v>44102</v>
      </c>
      <c r="C4262" s="1" t="n">
        <v>45353</v>
      </c>
      <c r="D4262" t="inlineStr">
        <is>
          <t>VÄRMLANDS LÄN</t>
        </is>
      </c>
      <c r="E4262" t="inlineStr">
        <is>
          <t>GRUMS</t>
        </is>
      </c>
      <c r="F4262" t="inlineStr">
        <is>
          <t>Bergvik skog väst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49446-2020</t>
        </is>
      </c>
      <c r="B4263" s="1" t="n">
        <v>44102</v>
      </c>
      <c r="C4263" s="1" t="n">
        <v>45353</v>
      </c>
      <c r="D4263" t="inlineStr">
        <is>
          <t>VÄRMLANDS LÄN</t>
        </is>
      </c>
      <c r="E4263" t="inlineStr">
        <is>
          <t>SÄFFLE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48594-2020</t>
        </is>
      </c>
      <c r="B4264" s="1" t="n">
        <v>44103</v>
      </c>
      <c r="C4264" s="1" t="n">
        <v>45353</v>
      </c>
      <c r="D4264" t="inlineStr">
        <is>
          <t>VÄRMLANDS LÄN</t>
        </is>
      </c>
      <c r="E4264" t="inlineStr">
        <is>
          <t>ÅRJÄNG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48695-2020</t>
        </is>
      </c>
      <c r="B4265" s="1" t="n">
        <v>44103</v>
      </c>
      <c r="C4265" s="1" t="n">
        <v>45353</v>
      </c>
      <c r="D4265" t="inlineStr">
        <is>
          <t>VÄRMLANDS LÄN</t>
        </is>
      </c>
      <c r="E4265" t="inlineStr">
        <is>
          <t>HAGFORS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48652-2020</t>
        </is>
      </c>
      <c r="B4266" s="1" t="n">
        <v>44103</v>
      </c>
      <c r="C4266" s="1" t="n">
        <v>45353</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48488-2020</t>
        </is>
      </c>
      <c r="B4267" s="1" t="n">
        <v>44103</v>
      </c>
      <c r="C4267" s="1" t="n">
        <v>45353</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48599-2020</t>
        </is>
      </c>
      <c r="B4268" s="1" t="n">
        <v>44103</v>
      </c>
      <c r="C4268" s="1" t="n">
        <v>45353</v>
      </c>
      <c r="D4268" t="inlineStr">
        <is>
          <t>VÄRMLANDS LÄN</t>
        </is>
      </c>
      <c r="E4268" t="inlineStr">
        <is>
          <t>SÄFFLE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48702-2020</t>
        </is>
      </c>
      <c r="B4269" s="1" t="n">
        <v>44103</v>
      </c>
      <c r="C4269" s="1" t="n">
        <v>45353</v>
      </c>
      <c r="D4269" t="inlineStr">
        <is>
          <t>VÄRMLANDS LÄN</t>
        </is>
      </c>
      <c r="E4269" t="inlineStr">
        <is>
          <t>HAGFORS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48645-2020</t>
        </is>
      </c>
      <c r="B4270" s="1" t="n">
        <v>44103</v>
      </c>
      <c r="C4270" s="1" t="n">
        <v>45353</v>
      </c>
      <c r="D4270" t="inlineStr">
        <is>
          <t>VÄRMLANDS LÄN</t>
        </is>
      </c>
      <c r="E4270" t="inlineStr">
        <is>
          <t>SÄFFLE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48697-2020</t>
        </is>
      </c>
      <c r="B4271" s="1" t="n">
        <v>44103</v>
      </c>
      <c r="C4271" s="1" t="n">
        <v>45353</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53557-2020</t>
        </is>
      </c>
      <c r="B4272" s="1" t="n">
        <v>44104</v>
      </c>
      <c r="C4272" s="1" t="n">
        <v>45353</v>
      </c>
      <c r="D4272" t="inlineStr">
        <is>
          <t>VÄRMLANDS LÄN</t>
        </is>
      </c>
      <c r="E4272" t="inlineStr">
        <is>
          <t>TORSBY</t>
        </is>
      </c>
      <c r="F4272" t="inlineStr">
        <is>
          <t>Övriga statliga verk och myndigheter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49082-2020</t>
        </is>
      </c>
      <c r="B4273" s="1" t="n">
        <v>44104</v>
      </c>
      <c r="C4273" s="1" t="n">
        <v>45353</v>
      </c>
      <c r="D4273" t="inlineStr">
        <is>
          <t>VÄRMLANDS LÄN</t>
        </is>
      </c>
      <c r="E4273" t="inlineStr">
        <is>
          <t>SUNNE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49192-2020</t>
        </is>
      </c>
      <c r="B4274" s="1" t="n">
        <v>44105</v>
      </c>
      <c r="C4274" s="1" t="n">
        <v>45353</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49306-2020</t>
        </is>
      </c>
      <c r="B4275" s="1" t="n">
        <v>44105</v>
      </c>
      <c r="C4275" s="1" t="n">
        <v>45353</v>
      </c>
      <c r="D4275" t="inlineStr">
        <is>
          <t>VÄRMLANDS LÄN</t>
        </is>
      </c>
      <c r="E4275" t="inlineStr">
        <is>
          <t>SUNNE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49382-2020</t>
        </is>
      </c>
      <c r="B4276" s="1" t="n">
        <v>44105</v>
      </c>
      <c r="C4276" s="1" t="n">
        <v>45353</v>
      </c>
      <c r="D4276" t="inlineStr">
        <is>
          <t>VÄRMLANDS LÄN</t>
        </is>
      </c>
      <c r="E4276" t="inlineStr">
        <is>
          <t>KRISTINEHAMN</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49304-2020</t>
        </is>
      </c>
      <c r="B4277" s="1" t="n">
        <v>44105</v>
      </c>
      <c r="C4277" s="1" t="n">
        <v>45353</v>
      </c>
      <c r="D4277" t="inlineStr">
        <is>
          <t>VÄRMLANDS LÄN</t>
        </is>
      </c>
      <c r="E4277" t="inlineStr">
        <is>
          <t>SUNNE</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50664-2020</t>
        </is>
      </c>
      <c r="B4278" s="1" t="n">
        <v>44105</v>
      </c>
      <c r="C4278" s="1" t="n">
        <v>45353</v>
      </c>
      <c r="D4278" t="inlineStr">
        <is>
          <t>VÄRMLANDS LÄN</t>
        </is>
      </c>
      <c r="E4278" t="inlineStr">
        <is>
          <t>ÅRJÄNG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49449-2020</t>
        </is>
      </c>
      <c r="B4279" s="1" t="n">
        <v>44105</v>
      </c>
      <c r="C4279" s="1" t="n">
        <v>45353</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49456-2020</t>
        </is>
      </c>
      <c r="B4280" s="1" t="n">
        <v>44105</v>
      </c>
      <c r="C4280" s="1" t="n">
        <v>45353</v>
      </c>
      <c r="D4280" t="inlineStr">
        <is>
          <t>VÄRMLANDS LÄN</t>
        </is>
      </c>
      <c r="E4280" t="inlineStr">
        <is>
          <t>MUNKFORS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49693-2020</t>
        </is>
      </c>
      <c r="B4281" s="1" t="n">
        <v>44106</v>
      </c>
      <c r="C4281" s="1" t="n">
        <v>45353</v>
      </c>
      <c r="D4281" t="inlineStr">
        <is>
          <t>VÄRMLANDS LÄN</t>
        </is>
      </c>
      <c r="E4281" t="inlineStr">
        <is>
          <t>SÄFFLE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49794-2020</t>
        </is>
      </c>
      <c r="B4282" s="1" t="n">
        <v>44106</v>
      </c>
      <c r="C4282" s="1" t="n">
        <v>45353</v>
      </c>
      <c r="D4282" t="inlineStr">
        <is>
          <t>VÄRMLANDS LÄN</t>
        </is>
      </c>
      <c r="E4282" t="inlineStr">
        <is>
          <t>SUNNE</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49876-2020</t>
        </is>
      </c>
      <c r="B4283" s="1" t="n">
        <v>44107</v>
      </c>
      <c r="C4283" s="1" t="n">
        <v>45353</v>
      </c>
      <c r="D4283" t="inlineStr">
        <is>
          <t>VÄRMLANDS LÄN</t>
        </is>
      </c>
      <c r="E4283" t="inlineStr">
        <is>
          <t>SUNNE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49899-2020</t>
        </is>
      </c>
      <c r="B4284" s="1" t="n">
        <v>44108</v>
      </c>
      <c r="C4284" s="1" t="n">
        <v>45353</v>
      </c>
      <c r="D4284" t="inlineStr">
        <is>
          <t>VÄRMLANDS LÄN</t>
        </is>
      </c>
      <c r="E4284" t="inlineStr">
        <is>
          <t>SUNNE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49900-2020</t>
        </is>
      </c>
      <c r="B4285" s="1" t="n">
        <v>44108</v>
      </c>
      <c r="C4285" s="1" t="n">
        <v>45353</v>
      </c>
      <c r="D4285" t="inlineStr">
        <is>
          <t>VÄRMLANDS LÄN</t>
        </is>
      </c>
      <c r="E4285" t="inlineStr">
        <is>
          <t>SUNNE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49902-2020</t>
        </is>
      </c>
      <c r="B4286" s="1" t="n">
        <v>44108</v>
      </c>
      <c r="C4286" s="1" t="n">
        <v>45353</v>
      </c>
      <c r="D4286" t="inlineStr">
        <is>
          <t>VÄRMLANDS LÄN</t>
        </is>
      </c>
      <c r="E4286" t="inlineStr">
        <is>
          <t>SUNNE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50037-2020</t>
        </is>
      </c>
      <c r="B4287" s="1" t="n">
        <v>44109</v>
      </c>
      <c r="C4287" s="1" t="n">
        <v>45353</v>
      </c>
      <c r="D4287" t="inlineStr">
        <is>
          <t>VÄRMLANDS LÄN</t>
        </is>
      </c>
      <c r="E4287" t="inlineStr">
        <is>
          <t>SUNNE</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50078-2020</t>
        </is>
      </c>
      <c r="B4288" s="1" t="n">
        <v>44109</v>
      </c>
      <c r="C4288" s="1" t="n">
        <v>45353</v>
      </c>
      <c r="D4288" t="inlineStr">
        <is>
          <t>VÄRMLANDS LÄN</t>
        </is>
      </c>
      <c r="E4288" t="inlineStr">
        <is>
          <t>HAGFORS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50084-2020</t>
        </is>
      </c>
      <c r="B4289" s="1" t="n">
        <v>44109</v>
      </c>
      <c r="C4289" s="1" t="n">
        <v>45353</v>
      </c>
      <c r="D4289" t="inlineStr">
        <is>
          <t>VÄRMLANDS LÄN</t>
        </is>
      </c>
      <c r="E4289" t="inlineStr">
        <is>
          <t>TORSBY</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50092-2020</t>
        </is>
      </c>
      <c r="B4290" s="1" t="n">
        <v>44109</v>
      </c>
      <c r="C4290" s="1" t="n">
        <v>45353</v>
      </c>
      <c r="D4290" t="inlineStr">
        <is>
          <t>VÄRMLANDS LÄN</t>
        </is>
      </c>
      <c r="E4290" t="inlineStr">
        <is>
          <t>TORSBY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50103-2020</t>
        </is>
      </c>
      <c r="B4291" s="1" t="n">
        <v>44109</v>
      </c>
      <c r="C4291" s="1" t="n">
        <v>45353</v>
      </c>
      <c r="D4291" t="inlineStr">
        <is>
          <t>VÄRMLANDS LÄN</t>
        </is>
      </c>
      <c r="E4291" t="inlineStr">
        <is>
          <t>TORSBY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50079-2020</t>
        </is>
      </c>
      <c r="B4292" s="1" t="n">
        <v>44109</v>
      </c>
      <c r="C4292" s="1" t="n">
        <v>45353</v>
      </c>
      <c r="D4292" t="inlineStr">
        <is>
          <t>VÄRMLANDS LÄN</t>
        </is>
      </c>
      <c r="E4292" t="inlineStr">
        <is>
          <t>STORFORS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50210-2020</t>
        </is>
      </c>
      <c r="B4293" s="1" t="n">
        <v>44109</v>
      </c>
      <c r="C4293" s="1" t="n">
        <v>45353</v>
      </c>
      <c r="D4293" t="inlineStr">
        <is>
          <t>VÄRMLANDS LÄN</t>
        </is>
      </c>
      <c r="E4293" t="inlineStr">
        <is>
          <t>FILIPSTAD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50221-2020</t>
        </is>
      </c>
      <c r="B4294" s="1" t="n">
        <v>44109</v>
      </c>
      <c r="C4294" s="1" t="n">
        <v>45353</v>
      </c>
      <c r="D4294" t="inlineStr">
        <is>
          <t>VÄRMLANDS LÄN</t>
        </is>
      </c>
      <c r="E4294" t="inlineStr">
        <is>
          <t>EDA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50080-2020</t>
        </is>
      </c>
      <c r="B4295" s="1" t="n">
        <v>44109</v>
      </c>
      <c r="C4295" s="1" t="n">
        <v>45353</v>
      </c>
      <c r="D4295" t="inlineStr">
        <is>
          <t>VÄRMLANDS LÄN</t>
        </is>
      </c>
      <c r="E4295" t="inlineStr">
        <is>
          <t>HAGFORS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50096-2020</t>
        </is>
      </c>
      <c r="B4296" s="1" t="n">
        <v>44109</v>
      </c>
      <c r="C4296" s="1" t="n">
        <v>45353</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51867-2020</t>
        </is>
      </c>
      <c r="B4297" s="1" t="n">
        <v>44109</v>
      </c>
      <c r="C4297" s="1" t="n">
        <v>45353</v>
      </c>
      <c r="D4297" t="inlineStr">
        <is>
          <t>VÄRMLANDS LÄN</t>
        </is>
      </c>
      <c r="E4297" t="inlineStr">
        <is>
          <t>KIL</t>
        </is>
      </c>
      <c r="F4297" t="inlineStr">
        <is>
          <t>Kommuner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51882-2020</t>
        </is>
      </c>
      <c r="B4298" s="1" t="n">
        <v>44109</v>
      </c>
      <c r="C4298" s="1" t="n">
        <v>45353</v>
      </c>
      <c r="D4298" t="inlineStr">
        <is>
          <t>VÄRMLANDS LÄN</t>
        </is>
      </c>
      <c r="E4298" t="inlineStr">
        <is>
          <t>KIL</t>
        </is>
      </c>
      <c r="F4298" t="inlineStr">
        <is>
          <t>Kommuner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51878-2020</t>
        </is>
      </c>
      <c r="B4299" s="1" t="n">
        <v>44109</v>
      </c>
      <c r="C4299" s="1" t="n">
        <v>45353</v>
      </c>
      <c r="D4299" t="inlineStr">
        <is>
          <t>VÄRMLANDS LÄN</t>
        </is>
      </c>
      <c r="E4299" t="inlineStr">
        <is>
          <t>KIL</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51940-2020</t>
        </is>
      </c>
      <c r="B4300" s="1" t="n">
        <v>44109</v>
      </c>
      <c r="C4300" s="1" t="n">
        <v>45353</v>
      </c>
      <c r="D4300" t="inlineStr">
        <is>
          <t>VÄRMLANDS LÄN</t>
        </is>
      </c>
      <c r="E4300" t="inlineStr">
        <is>
          <t>STORFORS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51876-2020</t>
        </is>
      </c>
      <c r="B4301" s="1" t="n">
        <v>44109</v>
      </c>
      <c r="C4301" s="1" t="n">
        <v>45353</v>
      </c>
      <c r="D4301" t="inlineStr">
        <is>
          <t>VÄRMLANDS LÄN</t>
        </is>
      </c>
      <c r="E4301" t="inlineStr">
        <is>
          <t>KIL</t>
        </is>
      </c>
      <c r="F4301" t="inlineStr">
        <is>
          <t>Kommuner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51942-2020</t>
        </is>
      </c>
      <c r="B4302" s="1" t="n">
        <v>44109</v>
      </c>
      <c r="C4302" s="1" t="n">
        <v>45353</v>
      </c>
      <c r="D4302" t="inlineStr">
        <is>
          <t>VÄRMLANDS LÄN</t>
        </is>
      </c>
      <c r="E4302" t="inlineStr">
        <is>
          <t>STORFORS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49983-2020</t>
        </is>
      </c>
      <c r="B4303" s="1" t="n">
        <v>44109</v>
      </c>
      <c r="C4303" s="1" t="n">
        <v>45353</v>
      </c>
      <c r="D4303" t="inlineStr">
        <is>
          <t>VÄRMLANDS LÄN</t>
        </is>
      </c>
      <c r="E4303" t="inlineStr">
        <is>
          <t>SUNNE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49945-2020</t>
        </is>
      </c>
      <c r="B4304" s="1" t="n">
        <v>44109</v>
      </c>
      <c r="C4304" s="1" t="n">
        <v>45353</v>
      </c>
      <c r="D4304" t="inlineStr">
        <is>
          <t>VÄRMLANDS LÄN</t>
        </is>
      </c>
      <c r="E4304" t="inlineStr">
        <is>
          <t>ÅRJÄNG</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50294-2020</t>
        </is>
      </c>
      <c r="B4305" s="1" t="n">
        <v>44110</v>
      </c>
      <c r="C4305" s="1" t="n">
        <v>45353</v>
      </c>
      <c r="D4305" t="inlineStr">
        <is>
          <t>VÄRMLANDS LÄN</t>
        </is>
      </c>
      <c r="E4305" t="inlineStr">
        <is>
          <t>EDA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50439-2020</t>
        </is>
      </c>
      <c r="B4306" s="1" t="n">
        <v>44110</v>
      </c>
      <c r="C4306" s="1" t="n">
        <v>45353</v>
      </c>
      <c r="D4306" t="inlineStr">
        <is>
          <t>VÄRMLANDS LÄN</t>
        </is>
      </c>
      <c r="E4306" t="inlineStr">
        <is>
          <t>EDA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50471-2020</t>
        </is>
      </c>
      <c r="B4307" s="1" t="n">
        <v>44110</v>
      </c>
      <c r="C4307" s="1" t="n">
        <v>45353</v>
      </c>
      <c r="D4307" t="inlineStr">
        <is>
          <t>VÄRMLANDS LÄN</t>
        </is>
      </c>
      <c r="E4307" t="inlineStr">
        <is>
          <t>STORFORS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50484-2020</t>
        </is>
      </c>
      <c r="B4308" s="1" t="n">
        <v>44110</v>
      </c>
      <c r="C4308" s="1" t="n">
        <v>45353</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50296-2020</t>
        </is>
      </c>
      <c r="B4309" s="1" t="n">
        <v>44110</v>
      </c>
      <c r="C4309" s="1" t="n">
        <v>45353</v>
      </c>
      <c r="D4309" t="inlineStr">
        <is>
          <t>VÄRMLANDS LÄN</t>
        </is>
      </c>
      <c r="E4309" t="inlineStr">
        <is>
          <t>ÅRJÄNG</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50486-2020</t>
        </is>
      </c>
      <c r="B4310" s="1" t="n">
        <v>44110</v>
      </c>
      <c r="C4310" s="1" t="n">
        <v>45353</v>
      </c>
      <c r="D4310" t="inlineStr">
        <is>
          <t>VÄRMLANDS LÄN</t>
        </is>
      </c>
      <c r="E4310" t="inlineStr">
        <is>
          <t>TORSBY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50504-2020</t>
        </is>
      </c>
      <c r="B4311" s="1" t="n">
        <v>44110</v>
      </c>
      <c r="C4311" s="1" t="n">
        <v>45353</v>
      </c>
      <c r="D4311" t="inlineStr">
        <is>
          <t>VÄRMLANDS LÄN</t>
        </is>
      </c>
      <c r="E4311" t="inlineStr">
        <is>
          <t>KRISTINEHAMN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50539-2020</t>
        </is>
      </c>
      <c r="B4312" s="1" t="n">
        <v>44110</v>
      </c>
      <c r="C4312" s="1" t="n">
        <v>45353</v>
      </c>
      <c r="D4312" t="inlineStr">
        <is>
          <t>VÄRMLANDS LÄN</t>
        </is>
      </c>
      <c r="E4312" t="inlineStr">
        <is>
          <t>HAGFORS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50373-2020</t>
        </is>
      </c>
      <c r="B4313" s="1" t="n">
        <v>44110</v>
      </c>
      <c r="C4313" s="1" t="n">
        <v>45353</v>
      </c>
      <c r="D4313" t="inlineStr">
        <is>
          <t>VÄRMLANDS LÄN</t>
        </is>
      </c>
      <c r="E4313" t="inlineStr">
        <is>
          <t>EDA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50448-2020</t>
        </is>
      </c>
      <c r="B4314" s="1" t="n">
        <v>44110</v>
      </c>
      <c r="C4314" s="1" t="n">
        <v>45353</v>
      </c>
      <c r="D4314" t="inlineStr">
        <is>
          <t>VÄRMLANDS LÄN</t>
        </is>
      </c>
      <c r="E4314" t="inlineStr">
        <is>
          <t>SUNNE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50482-2020</t>
        </is>
      </c>
      <c r="B4315" s="1" t="n">
        <v>44110</v>
      </c>
      <c r="C4315" s="1" t="n">
        <v>45353</v>
      </c>
      <c r="D4315" t="inlineStr">
        <is>
          <t>VÄRMLANDS LÄN</t>
        </is>
      </c>
      <c r="E4315" t="inlineStr">
        <is>
          <t>HAGFORS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50295-2020</t>
        </is>
      </c>
      <c r="B4316" s="1" t="n">
        <v>44110</v>
      </c>
      <c r="C4316" s="1" t="n">
        <v>45353</v>
      </c>
      <c r="D4316" t="inlineStr">
        <is>
          <t>VÄRMLANDS LÄN</t>
        </is>
      </c>
      <c r="E4316" t="inlineStr">
        <is>
          <t>ÅRJÄNG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50543-2020</t>
        </is>
      </c>
      <c r="B4317" s="1" t="n">
        <v>44110</v>
      </c>
      <c r="C4317" s="1" t="n">
        <v>45353</v>
      </c>
      <c r="D4317" t="inlineStr">
        <is>
          <t>VÄRMLANDS LÄN</t>
        </is>
      </c>
      <c r="E4317" t="inlineStr">
        <is>
          <t>HAGFORS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50563-2020</t>
        </is>
      </c>
      <c r="B4318" s="1" t="n">
        <v>44110</v>
      </c>
      <c r="C4318" s="1" t="n">
        <v>45353</v>
      </c>
      <c r="D4318" t="inlineStr">
        <is>
          <t>VÄRMLANDS LÄN</t>
        </is>
      </c>
      <c r="E4318" t="inlineStr">
        <is>
          <t>HAGFORS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51956-2020</t>
        </is>
      </c>
      <c r="B4319" s="1" t="n">
        <v>44110</v>
      </c>
      <c r="C4319" s="1" t="n">
        <v>45353</v>
      </c>
      <c r="D4319" t="inlineStr">
        <is>
          <t>VÄRMLANDS LÄN</t>
        </is>
      </c>
      <c r="E4319" t="inlineStr">
        <is>
          <t>KARLSTAD</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51948-2020</t>
        </is>
      </c>
      <c r="B4320" s="1" t="n">
        <v>44110</v>
      </c>
      <c r="C4320" s="1" t="n">
        <v>45353</v>
      </c>
      <c r="D4320" t="inlineStr">
        <is>
          <t>VÄRMLANDS LÄN</t>
        </is>
      </c>
      <c r="E4320" t="inlineStr">
        <is>
          <t>KARLSTAD</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50668-2020</t>
        </is>
      </c>
      <c r="B4321" s="1" t="n">
        <v>44111</v>
      </c>
      <c r="C4321" s="1" t="n">
        <v>45353</v>
      </c>
      <c r="D4321" t="inlineStr">
        <is>
          <t>VÄRMLANDS LÄN</t>
        </is>
      </c>
      <c r="E4321" t="inlineStr">
        <is>
          <t>KRISTINEHAMN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50673-2020</t>
        </is>
      </c>
      <c r="B4322" s="1" t="n">
        <v>44111</v>
      </c>
      <c r="C4322" s="1" t="n">
        <v>45353</v>
      </c>
      <c r="D4322" t="inlineStr">
        <is>
          <t>VÄRMLANDS LÄN</t>
        </is>
      </c>
      <c r="E4322" t="inlineStr">
        <is>
          <t>KRISTINEHAMN</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50944-2020</t>
        </is>
      </c>
      <c r="B4323" s="1" t="n">
        <v>44111</v>
      </c>
      <c r="C4323" s="1" t="n">
        <v>45353</v>
      </c>
      <c r="D4323" t="inlineStr">
        <is>
          <t>VÄRMLANDS LÄN</t>
        </is>
      </c>
      <c r="E4323" t="inlineStr">
        <is>
          <t>KIL</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50943-2020</t>
        </is>
      </c>
      <c r="B4324" s="1" t="n">
        <v>44111</v>
      </c>
      <c r="C4324" s="1" t="n">
        <v>45353</v>
      </c>
      <c r="D4324" t="inlineStr">
        <is>
          <t>VÄRMLANDS LÄN</t>
        </is>
      </c>
      <c r="E4324" t="inlineStr">
        <is>
          <t>TORSBY</t>
        </is>
      </c>
      <c r="F4324" t="inlineStr">
        <is>
          <t>Bergvik skog väst AB</t>
        </is>
      </c>
      <c r="G4324" t="n">
        <v>18.4</v>
      </c>
      <c r="H4324" t="n">
        <v>0</v>
      </c>
      <c r="I4324" t="n">
        <v>0</v>
      </c>
      <c r="J4324" t="n">
        <v>0</v>
      </c>
      <c r="K4324" t="n">
        <v>0</v>
      </c>
      <c r="L4324" t="n">
        <v>0</v>
      </c>
      <c r="M4324" t="n">
        <v>0</v>
      </c>
      <c r="N4324" t="n">
        <v>0</v>
      </c>
      <c r="O4324" t="n">
        <v>0</v>
      </c>
      <c r="P4324" t="n">
        <v>0</v>
      </c>
      <c r="Q4324" t="n">
        <v>0</v>
      </c>
      <c r="R4324" s="2" t="inlineStr"/>
    </row>
    <row r="4325" ht="15" customHeight="1">
      <c r="A4325" t="inlineStr">
        <is>
          <t>A 50833-2020</t>
        </is>
      </c>
      <c r="B4325" s="1" t="n">
        <v>44111</v>
      </c>
      <c r="C4325" s="1" t="n">
        <v>45353</v>
      </c>
      <c r="D4325" t="inlineStr">
        <is>
          <t>VÄRMLANDS LÄN</t>
        </is>
      </c>
      <c r="E4325" t="inlineStr">
        <is>
          <t>KARLSTAD</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51097-2020</t>
        </is>
      </c>
      <c r="B4326" s="1" t="n">
        <v>44112</v>
      </c>
      <c r="C4326" s="1" t="n">
        <v>45353</v>
      </c>
      <c r="D4326" t="inlineStr">
        <is>
          <t>VÄRMLANDS LÄN</t>
        </is>
      </c>
      <c r="E4326" t="inlineStr">
        <is>
          <t>SÄFFLE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51088-2020</t>
        </is>
      </c>
      <c r="B4327" s="1" t="n">
        <v>44112</v>
      </c>
      <c r="C4327" s="1" t="n">
        <v>45353</v>
      </c>
      <c r="D4327" t="inlineStr">
        <is>
          <t>VÄRMLANDS LÄN</t>
        </is>
      </c>
      <c r="E4327" t="inlineStr">
        <is>
          <t>SÄFFLE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51254-2020</t>
        </is>
      </c>
      <c r="B4328" s="1" t="n">
        <v>44112</v>
      </c>
      <c r="C4328" s="1" t="n">
        <v>45353</v>
      </c>
      <c r="D4328" t="inlineStr">
        <is>
          <t>VÄRMLANDS LÄN</t>
        </is>
      </c>
      <c r="E4328" t="inlineStr">
        <is>
          <t>FILIPSTAD</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51300-2020</t>
        </is>
      </c>
      <c r="B4329" s="1" t="n">
        <v>44112</v>
      </c>
      <c r="C4329" s="1" t="n">
        <v>45353</v>
      </c>
      <c r="D4329" t="inlineStr">
        <is>
          <t>VÄRMLANDS LÄN</t>
        </is>
      </c>
      <c r="E4329" t="inlineStr">
        <is>
          <t>FILIPSTAD</t>
        </is>
      </c>
      <c r="F4329" t="inlineStr">
        <is>
          <t>Bergvik skog väst AB</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51344-2020</t>
        </is>
      </c>
      <c r="B4330" s="1" t="n">
        <v>44112</v>
      </c>
      <c r="C4330" s="1" t="n">
        <v>45353</v>
      </c>
      <c r="D4330" t="inlineStr">
        <is>
          <t>VÄRMLANDS LÄN</t>
        </is>
      </c>
      <c r="E4330" t="inlineStr">
        <is>
          <t>MUNKFORS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52285-2020</t>
        </is>
      </c>
      <c r="B4331" s="1" t="n">
        <v>44112</v>
      </c>
      <c r="C4331" s="1" t="n">
        <v>45353</v>
      </c>
      <c r="D4331" t="inlineStr">
        <is>
          <t>VÄRMLANDS LÄN</t>
        </is>
      </c>
      <c r="E4331" t="inlineStr">
        <is>
          <t>SÄFFLE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51380-2020</t>
        </is>
      </c>
      <c r="B4332" s="1" t="n">
        <v>44113</v>
      </c>
      <c r="C4332" s="1" t="n">
        <v>45353</v>
      </c>
      <c r="D4332" t="inlineStr">
        <is>
          <t>VÄRMLANDS LÄN</t>
        </is>
      </c>
      <c r="E4332" t="inlineStr">
        <is>
          <t>TORSBY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51385-2020</t>
        </is>
      </c>
      <c r="B4333" s="1" t="n">
        <v>44113</v>
      </c>
      <c r="C4333" s="1" t="n">
        <v>45353</v>
      </c>
      <c r="D4333" t="inlineStr">
        <is>
          <t>VÄRMLANDS LÄN</t>
        </is>
      </c>
      <c r="E4333" t="inlineStr">
        <is>
          <t>TORSBY</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51389-2020</t>
        </is>
      </c>
      <c r="B4334" s="1" t="n">
        <v>44113</v>
      </c>
      <c r="C4334" s="1" t="n">
        <v>45353</v>
      </c>
      <c r="D4334" t="inlineStr">
        <is>
          <t>VÄRMLANDS LÄN</t>
        </is>
      </c>
      <c r="E4334" t="inlineStr">
        <is>
          <t>TORSBY</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51428-2020</t>
        </is>
      </c>
      <c r="B4335" s="1" t="n">
        <v>44113</v>
      </c>
      <c r="C4335" s="1" t="n">
        <v>45353</v>
      </c>
      <c r="D4335" t="inlineStr">
        <is>
          <t>VÄRMLANDS LÄN</t>
        </is>
      </c>
      <c r="E4335" t="inlineStr">
        <is>
          <t>HAGFORS</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51382-2020</t>
        </is>
      </c>
      <c r="B4336" s="1" t="n">
        <v>44113</v>
      </c>
      <c r="C4336" s="1" t="n">
        <v>45353</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51455-2020</t>
        </is>
      </c>
      <c r="B4337" s="1" t="n">
        <v>44113</v>
      </c>
      <c r="C4337" s="1" t="n">
        <v>45353</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51381-2020</t>
        </is>
      </c>
      <c r="B4338" s="1" t="n">
        <v>44113</v>
      </c>
      <c r="C4338" s="1" t="n">
        <v>45353</v>
      </c>
      <c r="D4338" t="inlineStr">
        <is>
          <t>VÄRMLANDS LÄN</t>
        </is>
      </c>
      <c r="E4338" t="inlineStr">
        <is>
          <t>TORSBY</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51386-2020</t>
        </is>
      </c>
      <c r="B4339" s="1" t="n">
        <v>44113</v>
      </c>
      <c r="C4339" s="1" t="n">
        <v>45353</v>
      </c>
      <c r="D4339" t="inlineStr">
        <is>
          <t>VÄRMLANDS LÄN</t>
        </is>
      </c>
      <c r="E4339" t="inlineStr">
        <is>
          <t>TORSBY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51390-2020</t>
        </is>
      </c>
      <c r="B4340" s="1" t="n">
        <v>44113</v>
      </c>
      <c r="C4340" s="1" t="n">
        <v>45353</v>
      </c>
      <c r="D4340" t="inlineStr">
        <is>
          <t>VÄRMLANDS LÄN</t>
        </is>
      </c>
      <c r="E4340" t="inlineStr">
        <is>
          <t>KARLSTAD</t>
        </is>
      </c>
      <c r="F4340" t="inlineStr">
        <is>
          <t>Övriga statliga verk och myndigheter</t>
        </is>
      </c>
      <c r="G4340" t="n">
        <v>11.6</v>
      </c>
      <c r="H4340" t="n">
        <v>0</v>
      </c>
      <c r="I4340" t="n">
        <v>0</v>
      </c>
      <c r="J4340" t="n">
        <v>0</v>
      </c>
      <c r="K4340" t="n">
        <v>0</v>
      </c>
      <c r="L4340" t="n">
        <v>0</v>
      </c>
      <c r="M4340" t="n">
        <v>0</v>
      </c>
      <c r="N4340" t="n">
        <v>0</v>
      </c>
      <c r="O4340" t="n">
        <v>0</v>
      </c>
      <c r="P4340" t="n">
        <v>0</v>
      </c>
      <c r="Q4340" t="n">
        <v>0</v>
      </c>
      <c r="R4340" s="2" t="inlineStr"/>
    </row>
    <row r="4341" ht="15" customHeight="1">
      <c r="A4341" t="inlineStr">
        <is>
          <t>A 51510-2020</t>
        </is>
      </c>
      <c r="B4341" s="1" t="n">
        <v>44113</v>
      </c>
      <c r="C4341" s="1" t="n">
        <v>45353</v>
      </c>
      <c r="D4341" t="inlineStr">
        <is>
          <t>VÄRMLANDS LÄN</t>
        </is>
      </c>
      <c r="E4341" t="inlineStr">
        <is>
          <t>KARLSTAD</t>
        </is>
      </c>
      <c r="F4341" t="inlineStr">
        <is>
          <t>Kommuner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51586-2020</t>
        </is>
      </c>
      <c r="B4342" s="1" t="n">
        <v>44113</v>
      </c>
      <c r="C4342" s="1" t="n">
        <v>45353</v>
      </c>
      <c r="D4342" t="inlineStr">
        <is>
          <t>VÄRMLANDS LÄN</t>
        </is>
      </c>
      <c r="E4342" t="inlineStr">
        <is>
          <t>SUNNE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51635-2020</t>
        </is>
      </c>
      <c r="B4343" s="1" t="n">
        <v>44113</v>
      </c>
      <c r="C4343" s="1" t="n">
        <v>45353</v>
      </c>
      <c r="D4343" t="inlineStr">
        <is>
          <t>VÄRMLANDS LÄN</t>
        </is>
      </c>
      <c r="E4343" t="inlineStr">
        <is>
          <t>TORSBY</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51383-2020</t>
        </is>
      </c>
      <c r="B4344" s="1" t="n">
        <v>44113</v>
      </c>
      <c r="C4344" s="1" t="n">
        <v>45353</v>
      </c>
      <c r="D4344" t="inlineStr">
        <is>
          <t>VÄRMLANDS LÄN</t>
        </is>
      </c>
      <c r="E4344" t="inlineStr">
        <is>
          <t>TORSBY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51742-2020</t>
        </is>
      </c>
      <c r="B4345" s="1" t="n">
        <v>44114</v>
      </c>
      <c r="C4345" s="1" t="n">
        <v>45353</v>
      </c>
      <c r="D4345" t="inlineStr">
        <is>
          <t>VÄRMLANDS LÄN</t>
        </is>
      </c>
      <c r="E4345" t="inlineStr">
        <is>
          <t>FILIPSTAD</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51743-2020</t>
        </is>
      </c>
      <c r="B4346" s="1" t="n">
        <v>44114</v>
      </c>
      <c r="C4346" s="1" t="n">
        <v>45353</v>
      </c>
      <c r="D4346" t="inlineStr">
        <is>
          <t>VÄRMLANDS LÄN</t>
        </is>
      </c>
      <c r="E4346" t="inlineStr">
        <is>
          <t>FILIPSTAD</t>
        </is>
      </c>
      <c r="F4346" t="inlineStr">
        <is>
          <t>Bergvik skog väst AB</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52462-2020</t>
        </is>
      </c>
      <c r="B4347" s="1" t="n">
        <v>44115</v>
      </c>
      <c r="C4347" s="1" t="n">
        <v>45353</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51795-2020</t>
        </is>
      </c>
      <c r="B4348" s="1" t="n">
        <v>44116</v>
      </c>
      <c r="C4348" s="1" t="n">
        <v>45353</v>
      </c>
      <c r="D4348" t="inlineStr">
        <is>
          <t>VÄRMLANDS LÄN</t>
        </is>
      </c>
      <c r="E4348" t="inlineStr">
        <is>
          <t>ARVIKA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51838-2020</t>
        </is>
      </c>
      <c r="B4349" s="1" t="n">
        <v>44116</v>
      </c>
      <c r="C4349" s="1" t="n">
        <v>45353</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51892-2020</t>
        </is>
      </c>
      <c r="B4350" s="1" t="n">
        <v>44116</v>
      </c>
      <c r="C4350" s="1" t="n">
        <v>45353</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52460-2020</t>
        </is>
      </c>
      <c r="B4351" s="1" t="n">
        <v>44116</v>
      </c>
      <c r="C4351" s="1" t="n">
        <v>45353</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51837-2020</t>
        </is>
      </c>
      <c r="B4352" s="1" t="n">
        <v>44116</v>
      </c>
      <c r="C4352" s="1" t="n">
        <v>45353</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52252-2020</t>
        </is>
      </c>
      <c r="B4353" s="1" t="n">
        <v>44117</v>
      </c>
      <c r="C4353" s="1" t="n">
        <v>45353</v>
      </c>
      <c r="D4353" t="inlineStr">
        <is>
          <t>VÄRMLANDS LÄN</t>
        </is>
      </c>
      <c r="E4353" t="inlineStr">
        <is>
          <t>SÄFFLE</t>
        </is>
      </c>
      <c r="F4353" t="inlineStr">
        <is>
          <t>Kyrkan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52141-2020</t>
        </is>
      </c>
      <c r="B4354" s="1" t="n">
        <v>44117</v>
      </c>
      <c r="C4354" s="1" t="n">
        <v>45353</v>
      </c>
      <c r="D4354" t="inlineStr">
        <is>
          <t>VÄRMLANDS LÄN</t>
        </is>
      </c>
      <c r="E4354" t="inlineStr">
        <is>
          <t>TORSBY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52317-2020</t>
        </is>
      </c>
      <c r="B4355" s="1" t="n">
        <v>44117</v>
      </c>
      <c r="C4355" s="1" t="n">
        <v>45353</v>
      </c>
      <c r="D4355" t="inlineStr">
        <is>
          <t>VÄRMLANDS LÄN</t>
        </is>
      </c>
      <c r="E4355" t="inlineStr">
        <is>
          <t>EDA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52411-2020</t>
        </is>
      </c>
      <c r="B4356" s="1" t="n">
        <v>44118</v>
      </c>
      <c r="C4356" s="1" t="n">
        <v>45353</v>
      </c>
      <c r="D4356" t="inlineStr">
        <is>
          <t>VÄRMLANDS LÄN</t>
        </is>
      </c>
      <c r="E4356" t="inlineStr">
        <is>
          <t>KIL</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52577-2020</t>
        </is>
      </c>
      <c r="B4357" s="1" t="n">
        <v>44118</v>
      </c>
      <c r="C4357" s="1" t="n">
        <v>45353</v>
      </c>
      <c r="D4357" t="inlineStr">
        <is>
          <t>VÄRMLANDS LÄN</t>
        </is>
      </c>
      <c r="E4357" t="inlineStr">
        <is>
          <t>KRISTINEHAMN</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52621-2020</t>
        </is>
      </c>
      <c r="B4358" s="1" t="n">
        <v>44118</v>
      </c>
      <c r="C4358" s="1" t="n">
        <v>45353</v>
      </c>
      <c r="D4358" t="inlineStr">
        <is>
          <t>VÄRMLANDS LÄN</t>
        </is>
      </c>
      <c r="E4358" t="inlineStr">
        <is>
          <t>KARLSTAD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52482-2020</t>
        </is>
      </c>
      <c r="B4359" s="1" t="n">
        <v>44118</v>
      </c>
      <c r="C4359" s="1" t="n">
        <v>45353</v>
      </c>
      <c r="D4359" t="inlineStr">
        <is>
          <t>VÄRMLANDS LÄN</t>
        </is>
      </c>
      <c r="E4359" t="inlineStr">
        <is>
          <t>GRUMS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52758-2020</t>
        </is>
      </c>
      <c r="B4360" s="1" t="n">
        <v>44118</v>
      </c>
      <c r="C4360" s="1" t="n">
        <v>45353</v>
      </c>
      <c r="D4360" t="inlineStr">
        <is>
          <t>VÄRMLANDS LÄN</t>
        </is>
      </c>
      <c r="E4360" t="inlineStr">
        <is>
          <t>FORSHAGA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52799-2020</t>
        </is>
      </c>
      <c r="B4361" s="1" t="n">
        <v>44119</v>
      </c>
      <c r="C4361" s="1" t="n">
        <v>45353</v>
      </c>
      <c r="D4361" t="inlineStr">
        <is>
          <t>VÄRMLANDS LÄN</t>
        </is>
      </c>
      <c r="E4361" t="inlineStr">
        <is>
          <t>TORSBY</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53009-2020</t>
        </is>
      </c>
      <c r="B4362" s="1" t="n">
        <v>44119</v>
      </c>
      <c r="C4362" s="1" t="n">
        <v>45353</v>
      </c>
      <c r="D4362" t="inlineStr">
        <is>
          <t>VÄRMLANDS LÄN</t>
        </is>
      </c>
      <c r="E4362" t="inlineStr">
        <is>
          <t>HAGFORS</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53014-2020</t>
        </is>
      </c>
      <c r="B4363" s="1" t="n">
        <v>44119</v>
      </c>
      <c r="C4363" s="1" t="n">
        <v>45353</v>
      </c>
      <c r="D4363" t="inlineStr">
        <is>
          <t>VÄRMLANDS LÄN</t>
        </is>
      </c>
      <c r="E4363" t="inlineStr">
        <is>
          <t>HAGFORS</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52979-2020</t>
        </is>
      </c>
      <c r="B4364" s="1" t="n">
        <v>44120</v>
      </c>
      <c r="C4364" s="1" t="n">
        <v>45353</v>
      </c>
      <c r="D4364" t="inlineStr">
        <is>
          <t>VÄRMLANDS LÄN</t>
        </is>
      </c>
      <c r="E4364" t="inlineStr">
        <is>
          <t>TORSBY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53111-2020</t>
        </is>
      </c>
      <c r="B4365" s="1" t="n">
        <v>44120</v>
      </c>
      <c r="C4365" s="1" t="n">
        <v>45353</v>
      </c>
      <c r="D4365" t="inlineStr">
        <is>
          <t>VÄRMLANDS LÄN</t>
        </is>
      </c>
      <c r="E4365" t="inlineStr">
        <is>
          <t>TORSBY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53382-2020</t>
        </is>
      </c>
      <c r="B4366" s="1" t="n">
        <v>44123</v>
      </c>
      <c r="C4366" s="1" t="n">
        <v>45353</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53300-2020</t>
        </is>
      </c>
      <c r="B4367" s="1" t="n">
        <v>44123</v>
      </c>
      <c r="C4367" s="1" t="n">
        <v>45353</v>
      </c>
      <c r="D4367" t="inlineStr">
        <is>
          <t>VÄRMLANDS LÄN</t>
        </is>
      </c>
      <c r="E4367" t="inlineStr">
        <is>
          <t>ARVIKA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53361-2020</t>
        </is>
      </c>
      <c r="B4368" s="1" t="n">
        <v>44123</v>
      </c>
      <c r="C4368" s="1" t="n">
        <v>45353</v>
      </c>
      <c r="D4368" t="inlineStr">
        <is>
          <t>VÄRMLANDS LÄN</t>
        </is>
      </c>
      <c r="E4368" t="inlineStr">
        <is>
          <t>KRISTINEHAMN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53235-2020</t>
        </is>
      </c>
      <c r="B4369" s="1" t="n">
        <v>44123</v>
      </c>
      <c r="C4369" s="1" t="n">
        <v>45353</v>
      </c>
      <c r="D4369" t="inlineStr">
        <is>
          <t>VÄRMLANDS LÄN</t>
        </is>
      </c>
      <c r="E4369" t="inlineStr">
        <is>
          <t>ÅRJÄNG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53412-2020</t>
        </is>
      </c>
      <c r="B4370" s="1" t="n">
        <v>44123</v>
      </c>
      <c r="C4370" s="1" t="n">
        <v>45353</v>
      </c>
      <c r="D4370" t="inlineStr">
        <is>
          <t>VÄRMLANDS LÄN</t>
        </is>
      </c>
      <c r="E4370" t="inlineStr">
        <is>
          <t>STORFORS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53486-2020</t>
        </is>
      </c>
      <c r="B4371" s="1" t="n">
        <v>44123</v>
      </c>
      <c r="C4371" s="1" t="n">
        <v>45353</v>
      </c>
      <c r="D4371" t="inlineStr">
        <is>
          <t>VÄRMLANDS LÄN</t>
        </is>
      </c>
      <c r="E4371" t="inlineStr">
        <is>
          <t>SUNNE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53494-2020</t>
        </is>
      </c>
      <c r="B4372" s="1" t="n">
        <v>44123</v>
      </c>
      <c r="C4372" s="1" t="n">
        <v>45353</v>
      </c>
      <c r="D4372" t="inlineStr">
        <is>
          <t>VÄRMLANDS LÄN</t>
        </is>
      </c>
      <c r="E4372" t="inlineStr">
        <is>
          <t>FORSHAGA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53362-2020</t>
        </is>
      </c>
      <c r="B4373" s="1" t="n">
        <v>44123</v>
      </c>
      <c r="C4373" s="1" t="n">
        <v>45353</v>
      </c>
      <c r="D4373" t="inlineStr">
        <is>
          <t>VÄRMLANDS LÄN</t>
        </is>
      </c>
      <c r="E4373" t="inlineStr">
        <is>
          <t>KRISTINEHAMN</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53417-2020</t>
        </is>
      </c>
      <c r="B4374" s="1" t="n">
        <v>44123</v>
      </c>
      <c r="C4374" s="1" t="n">
        <v>45353</v>
      </c>
      <c r="D4374" t="inlineStr">
        <is>
          <t>VÄRMLANDS LÄN</t>
        </is>
      </c>
      <c r="E4374" t="inlineStr">
        <is>
          <t>FILIPSTAD</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54027-2020</t>
        </is>
      </c>
      <c r="B4375" s="1" t="n">
        <v>44123</v>
      </c>
      <c r="C4375" s="1" t="n">
        <v>45353</v>
      </c>
      <c r="D4375" t="inlineStr">
        <is>
          <t>VÄRMLANDS LÄN</t>
        </is>
      </c>
      <c r="E4375" t="inlineStr">
        <is>
          <t>STORFORS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54972-2020</t>
        </is>
      </c>
      <c r="B4376" s="1" t="n">
        <v>44123</v>
      </c>
      <c r="C4376" s="1" t="n">
        <v>45353</v>
      </c>
      <c r="D4376" t="inlineStr">
        <is>
          <t>VÄRMLANDS LÄN</t>
        </is>
      </c>
      <c r="E4376" t="inlineStr">
        <is>
          <t>HAGFORS</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53590-2020</t>
        </is>
      </c>
      <c r="B4377" s="1" t="n">
        <v>44124</v>
      </c>
      <c r="C4377" s="1" t="n">
        <v>45353</v>
      </c>
      <c r="D4377" t="inlineStr">
        <is>
          <t>VÄRMLANDS LÄN</t>
        </is>
      </c>
      <c r="E4377" t="inlineStr">
        <is>
          <t>FORSHAGA</t>
        </is>
      </c>
      <c r="F4377" t="inlineStr">
        <is>
          <t>Bergvik skog väst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53715-2020</t>
        </is>
      </c>
      <c r="B4378" s="1" t="n">
        <v>44124</v>
      </c>
      <c r="C4378" s="1" t="n">
        <v>45353</v>
      </c>
      <c r="D4378" t="inlineStr">
        <is>
          <t>VÄRMLANDS LÄN</t>
        </is>
      </c>
      <c r="E4378" t="inlineStr">
        <is>
          <t>ARVIKA</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53771-2020</t>
        </is>
      </c>
      <c r="B4379" s="1" t="n">
        <v>44124</v>
      </c>
      <c r="C4379" s="1" t="n">
        <v>45353</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53786-2020</t>
        </is>
      </c>
      <c r="B4380" s="1" t="n">
        <v>44124</v>
      </c>
      <c r="C4380" s="1" t="n">
        <v>45353</v>
      </c>
      <c r="D4380" t="inlineStr">
        <is>
          <t>VÄRMLANDS LÄN</t>
        </is>
      </c>
      <c r="E4380" t="inlineStr">
        <is>
          <t>FILIPSTAD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54154-2020</t>
        </is>
      </c>
      <c r="B4381" s="1" t="n">
        <v>44124</v>
      </c>
      <c r="C4381" s="1" t="n">
        <v>45353</v>
      </c>
      <c r="D4381" t="inlineStr">
        <is>
          <t>VÄRMLANDS LÄN</t>
        </is>
      </c>
      <c r="E4381" t="inlineStr">
        <is>
          <t>SÄFFLE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54157-2020</t>
        </is>
      </c>
      <c r="B4382" s="1" t="n">
        <v>44124</v>
      </c>
      <c r="C4382" s="1" t="n">
        <v>45353</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54255-2020</t>
        </is>
      </c>
      <c r="B4383" s="1" t="n">
        <v>44124</v>
      </c>
      <c r="C4383" s="1" t="n">
        <v>45353</v>
      </c>
      <c r="D4383" t="inlineStr">
        <is>
          <t>VÄRMLANDS LÄN</t>
        </is>
      </c>
      <c r="E4383" t="inlineStr">
        <is>
          <t>SÄFFLE</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53806-2020</t>
        </is>
      </c>
      <c r="B4384" s="1" t="n">
        <v>44124</v>
      </c>
      <c r="C4384" s="1" t="n">
        <v>45353</v>
      </c>
      <c r="D4384" t="inlineStr">
        <is>
          <t>VÄRMLANDS LÄN</t>
        </is>
      </c>
      <c r="E4384" t="inlineStr">
        <is>
          <t>MUNKFORS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53733-2020</t>
        </is>
      </c>
      <c r="B4385" s="1" t="n">
        <v>44124</v>
      </c>
      <c r="C4385" s="1" t="n">
        <v>45353</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54264-2020</t>
        </is>
      </c>
      <c r="B4386" s="1" t="n">
        <v>44124</v>
      </c>
      <c r="C4386" s="1" t="n">
        <v>45353</v>
      </c>
      <c r="D4386" t="inlineStr">
        <is>
          <t>VÄRMLANDS LÄN</t>
        </is>
      </c>
      <c r="E4386" t="inlineStr">
        <is>
          <t>ARVIKA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54331-2020</t>
        </is>
      </c>
      <c r="B4387" s="1" t="n">
        <v>44124</v>
      </c>
      <c r="C4387" s="1" t="n">
        <v>45353</v>
      </c>
      <c r="D4387" t="inlineStr">
        <is>
          <t>VÄRMLANDS LÄN</t>
        </is>
      </c>
      <c r="E4387" t="inlineStr">
        <is>
          <t>TORSBY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54060-2020</t>
        </is>
      </c>
      <c r="B4388" s="1" t="n">
        <v>44125</v>
      </c>
      <c r="C4388" s="1" t="n">
        <v>45353</v>
      </c>
      <c r="D4388" t="inlineStr">
        <is>
          <t>VÄRMLANDS LÄN</t>
        </is>
      </c>
      <c r="E4388" t="inlineStr">
        <is>
          <t>TORSBY</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54162-2020</t>
        </is>
      </c>
      <c r="B4389" s="1" t="n">
        <v>44125</v>
      </c>
      <c r="C4389" s="1" t="n">
        <v>45353</v>
      </c>
      <c r="D4389" t="inlineStr">
        <is>
          <t>VÄRMLANDS LÄN</t>
        </is>
      </c>
      <c r="E4389" t="inlineStr">
        <is>
          <t>FILIPSTAD</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54160-2020</t>
        </is>
      </c>
      <c r="B4390" s="1" t="n">
        <v>44125</v>
      </c>
      <c r="C4390" s="1" t="n">
        <v>45353</v>
      </c>
      <c r="D4390" t="inlineStr">
        <is>
          <t>VÄRMLANDS LÄN</t>
        </is>
      </c>
      <c r="E4390" t="inlineStr">
        <is>
          <t>SUNNE</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54072-2020</t>
        </is>
      </c>
      <c r="B4391" s="1" t="n">
        <v>44125</v>
      </c>
      <c r="C4391" s="1" t="n">
        <v>45353</v>
      </c>
      <c r="D4391" t="inlineStr">
        <is>
          <t>VÄRMLANDS LÄN</t>
        </is>
      </c>
      <c r="E4391" t="inlineStr">
        <is>
          <t>TORSBY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54375-2020</t>
        </is>
      </c>
      <c r="B4392" s="1" t="n">
        <v>44126</v>
      </c>
      <c r="C4392" s="1" t="n">
        <v>45353</v>
      </c>
      <c r="D4392" t="inlineStr">
        <is>
          <t>VÄRMLANDS LÄN</t>
        </is>
      </c>
      <c r="E4392" t="inlineStr">
        <is>
          <t>KIL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54326-2020</t>
        </is>
      </c>
      <c r="B4393" s="1" t="n">
        <v>44126</v>
      </c>
      <c r="C4393" s="1" t="n">
        <v>45353</v>
      </c>
      <c r="D4393" t="inlineStr">
        <is>
          <t>VÄRMLANDS LÄN</t>
        </is>
      </c>
      <c r="E4393" t="inlineStr">
        <is>
          <t>HAMMARÖ</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54373-2020</t>
        </is>
      </c>
      <c r="B4394" s="1" t="n">
        <v>44126</v>
      </c>
      <c r="C4394" s="1" t="n">
        <v>45353</v>
      </c>
      <c r="D4394" t="inlineStr">
        <is>
          <t>VÄRMLANDS LÄN</t>
        </is>
      </c>
      <c r="E4394" t="inlineStr">
        <is>
          <t>KIL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54350-2020</t>
        </is>
      </c>
      <c r="B4395" s="1" t="n">
        <v>44126</v>
      </c>
      <c r="C4395" s="1" t="n">
        <v>45353</v>
      </c>
      <c r="D4395" t="inlineStr">
        <is>
          <t>VÄRMLANDS LÄN</t>
        </is>
      </c>
      <c r="E4395" t="inlineStr">
        <is>
          <t>KIL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54343-2020</t>
        </is>
      </c>
      <c r="B4396" s="1" t="n">
        <v>44126</v>
      </c>
      <c r="C4396" s="1" t="n">
        <v>45353</v>
      </c>
      <c r="D4396" t="inlineStr">
        <is>
          <t>VÄRMLANDS LÄN</t>
        </is>
      </c>
      <c r="E4396" t="inlineStr">
        <is>
          <t>KIL</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54503-2020</t>
        </is>
      </c>
      <c r="B4397" s="1" t="n">
        <v>44126</v>
      </c>
      <c r="C4397" s="1" t="n">
        <v>45353</v>
      </c>
      <c r="D4397" t="inlineStr">
        <is>
          <t>VÄRMLANDS LÄN</t>
        </is>
      </c>
      <c r="E4397" t="inlineStr">
        <is>
          <t>ARVIKA</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54623-2020</t>
        </is>
      </c>
      <c r="B4398" s="1" t="n">
        <v>44127</v>
      </c>
      <c r="C4398" s="1" t="n">
        <v>45353</v>
      </c>
      <c r="D4398" t="inlineStr">
        <is>
          <t>VÄRMLANDS LÄN</t>
        </is>
      </c>
      <c r="E4398" t="inlineStr">
        <is>
          <t>FILIPSTAD</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54665-2020</t>
        </is>
      </c>
      <c r="B4399" s="1" t="n">
        <v>44127</v>
      </c>
      <c r="C4399" s="1" t="n">
        <v>45353</v>
      </c>
      <c r="D4399" t="inlineStr">
        <is>
          <t>VÄRMLANDS LÄN</t>
        </is>
      </c>
      <c r="E4399" t="inlineStr">
        <is>
          <t>SÄFFLE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54839-2020</t>
        </is>
      </c>
      <c r="B4400" s="1" t="n">
        <v>44127</v>
      </c>
      <c r="C4400" s="1" t="n">
        <v>45353</v>
      </c>
      <c r="D4400" t="inlineStr">
        <is>
          <t>VÄRMLANDS LÄN</t>
        </is>
      </c>
      <c r="E4400" t="inlineStr">
        <is>
          <t>EDA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54916-2020</t>
        </is>
      </c>
      <c r="B4401" s="1" t="n">
        <v>44127</v>
      </c>
      <c r="C4401" s="1" t="n">
        <v>45353</v>
      </c>
      <c r="D4401" t="inlineStr">
        <is>
          <t>VÄRMLANDS LÄN</t>
        </is>
      </c>
      <c r="E4401" t="inlineStr">
        <is>
          <t>TORSBY</t>
        </is>
      </c>
      <c r="F4401" t="inlineStr">
        <is>
          <t>Kyrkan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54924-2020</t>
        </is>
      </c>
      <c r="B4402" s="1" t="n">
        <v>44127</v>
      </c>
      <c r="C4402" s="1" t="n">
        <v>45353</v>
      </c>
      <c r="D4402" t="inlineStr">
        <is>
          <t>VÄRMLANDS LÄN</t>
        </is>
      </c>
      <c r="E4402" t="inlineStr">
        <is>
          <t>TORSBY</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54960-2020</t>
        </is>
      </c>
      <c r="B4403" s="1" t="n">
        <v>44130</v>
      </c>
      <c r="C4403" s="1" t="n">
        <v>45353</v>
      </c>
      <c r="D4403" t="inlineStr">
        <is>
          <t>VÄRMLANDS LÄN</t>
        </is>
      </c>
      <c r="E4403" t="inlineStr">
        <is>
          <t>SUNNE</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55058-2020</t>
        </is>
      </c>
      <c r="B4404" s="1" t="n">
        <v>44130</v>
      </c>
      <c r="C4404" s="1" t="n">
        <v>45353</v>
      </c>
      <c r="D4404" t="inlineStr">
        <is>
          <t>VÄRMLANDS LÄN</t>
        </is>
      </c>
      <c r="E4404" t="inlineStr">
        <is>
          <t>TORSBY</t>
        </is>
      </c>
      <c r="F4404" t="inlineStr">
        <is>
          <t>Bergvik skog väst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55217-2020</t>
        </is>
      </c>
      <c r="B4405" s="1" t="n">
        <v>44130</v>
      </c>
      <c r="C4405" s="1" t="n">
        <v>45353</v>
      </c>
      <c r="D4405" t="inlineStr">
        <is>
          <t>VÄRMLANDS LÄN</t>
        </is>
      </c>
      <c r="E4405" t="inlineStr">
        <is>
          <t>TORSBY</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55015-2020</t>
        </is>
      </c>
      <c r="B4406" s="1" t="n">
        <v>44130</v>
      </c>
      <c r="C4406" s="1" t="n">
        <v>45353</v>
      </c>
      <c r="D4406" t="inlineStr">
        <is>
          <t>VÄRMLANDS LÄN</t>
        </is>
      </c>
      <c r="E4406" t="inlineStr">
        <is>
          <t>SÄFFLE</t>
        </is>
      </c>
      <c r="F4406" t="inlineStr">
        <is>
          <t>Bergvik skog väst AB</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55082-2020</t>
        </is>
      </c>
      <c r="B4407" s="1" t="n">
        <v>44130</v>
      </c>
      <c r="C4407" s="1" t="n">
        <v>45353</v>
      </c>
      <c r="D4407" t="inlineStr">
        <is>
          <t>VÄRMLANDS LÄN</t>
        </is>
      </c>
      <c r="E4407" t="inlineStr">
        <is>
          <t>SUNNE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55173-2020</t>
        </is>
      </c>
      <c r="B4408" s="1" t="n">
        <v>44130</v>
      </c>
      <c r="C4408" s="1" t="n">
        <v>45353</v>
      </c>
      <c r="D4408" t="inlineStr">
        <is>
          <t>VÄRMLANDS LÄN</t>
        </is>
      </c>
      <c r="E4408" t="inlineStr">
        <is>
          <t>SÄFFLE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55256-2020</t>
        </is>
      </c>
      <c r="B4409" s="1" t="n">
        <v>44130</v>
      </c>
      <c r="C4409" s="1" t="n">
        <v>45353</v>
      </c>
      <c r="D4409" t="inlineStr">
        <is>
          <t>VÄRMLANDS LÄN</t>
        </is>
      </c>
      <c r="E4409" t="inlineStr">
        <is>
          <t>SÄFFLE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55457-2020</t>
        </is>
      </c>
      <c r="B4410" s="1" t="n">
        <v>44130</v>
      </c>
      <c r="C4410" s="1" t="n">
        <v>45353</v>
      </c>
      <c r="D4410" t="inlineStr">
        <is>
          <t>VÄRMLANDS LÄN</t>
        </is>
      </c>
      <c r="E4410" t="inlineStr">
        <is>
          <t>KARLSTAD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55129-2020</t>
        </is>
      </c>
      <c r="B4411" s="1" t="n">
        <v>44130</v>
      </c>
      <c r="C4411" s="1" t="n">
        <v>45353</v>
      </c>
      <c r="D4411" t="inlineStr">
        <is>
          <t>VÄRMLANDS LÄN</t>
        </is>
      </c>
      <c r="E4411" t="inlineStr">
        <is>
          <t>HAGFORS</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55433-2020</t>
        </is>
      </c>
      <c r="B4412" s="1" t="n">
        <v>44130</v>
      </c>
      <c r="C4412" s="1" t="n">
        <v>45353</v>
      </c>
      <c r="D4412" t="inlineStr">
        <is>
          <t>VÄRMLANDS LÄN</t>
        </is>
      </c>
      <c r="E4412" t="inlineStr">
        <is>
          <t>KARLSTAD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55071-2020</t>
        </is>
      </c>
      <c r="B4413" s="1" t="n">
        <v>44130</v>
      </c>
      <c r="C4413" s="1" t="n">
        <v>45353</v>
      </c>
      <c r="D4413" t="inlineStr">
        <is>
          <t>VÄRMLANDS LÄN</t>
        </is>
      </c>
      <c r="E4413" t="inlineStr">
        <is>
          <t>STORFORS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55401-2020</t>
        </is>
      </c>
      <c r="B4414" s="1" t="n">
        <v>44131</v>
      </c>
      <c r="C4414" s="1" t="n">
        <v>45353</v>
      </c>
      <c r="D4414" t="inlineStr">
        <is>
          <t>VÄRMLANDS LÄN</t>
        </is>
      </c>
      <c r="E4414" t="inlineStr">
        <is>
          <t>TORSBY</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55579-2020</t>
        </is>
      </c>
      <c r="B4415" s="1" t="n">
        <v>44131</v>
      </c>
      <c r="C4415" s="1" t="n">
        <v>45353</v>
      </c>
      <c r="D4415" t="inlineStr">
        <is>
          <t>VÄRMLANDS LÄN</t>
        </is>
      </c>
      <c r="E4415" t="inlineStr">
        <is>
          <t>EDA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55546-2020</t>
        </is>
      </c>
      <c r="B4416" s="1" t="n">
        <v>44131</v>
      </c>
      <c r="C4416" s="1" t="n">
        <v>45353</v>
      </c>
      <c r="D4416" t="inlineStr">
        <is>
          <t>VÄRMLANDS LÄN</t>
        </is>
      </c>
      <c r="E4416" t="inlineStr">
        <is>
          <t>EDA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57016-2020</t>
        </is>
      </c>
      <c r="B4417" s="1" t="n">
        <v>44131</v>
      </c>
      <c r="C4417" s="1" t="n">
        <v>45353</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55790-2020</t>
        </is>
      </c>
      <c r="B4418" s="1" t="n">
        <v>44131</v>
      </c>
      <c r="C4418" s="1" t="n">
        <v>45353</v>
      </c>
      <c r="D4418" t="inlineStr">
        <is>
          <t>VÄRMLANDS LÄN</t>
        </is>
      </c>
      <c r="E4418" t="inlineStr">
        <is>
          <t>KARLSTAD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56867-2020</t>
        </is>
      </c>
      <c r="B4419" s="1" t="n">
        <v>44131</v>
      </c>
      <c r="C4419" s="1" t="n">
        <v>45353</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56870-2020</t>
        </is>
      </c>
      <c r="B4420" s="1" t="n">
        <v>44131</v>
      </c>
      <c r="C4420" s="1" t="n">
        <v>45353</v>
      </c>
      <c r="D4420" t="inlineStr">
        <is>
          <t>VÄRMLANDS LÄN</t>
        </is>
      </c>
      <c r="E4420" t="inlineStr">
        <is>
          <t>EDA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55806-2020</t>
        </is>
      </c>
      <c r="B4421" s="1" t="n">
        <v>44132</v>
      </c>
      <c r="C4421" s="1" t="n">
        <v>45353</v>
      </c>
      <c r="D4421" t="inlineStr">
        <is>
          <t>VÄRMLANDS LÄN</t>
        </is>
      </c>
      <c r="E4421" t="inlineStr">
        <is>
          <t>FILIPSTAD</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55737-2020</t>
        </is>
      </c>
      <c r="B4422" s="1" t="n">
        <v>44132</v>
      </c>
      <c r="C4422" s="1" t="n">
        <v>45353</v>
      </c>
      <c r="D4422" t="inlineStr">
        <is>
          <t>VÄRMLANDS LÄN</t>
        </is>
      </c>
      <c r="E4422" t="inlineStr">
        <is>
          <t>KARLSTAD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55802-2020</t>
        </is>
      </c>
      <c r="B4423" s="1" t="n">
        <v>44132</v>
      </c>
      <c r="C4423" s="1" t="n">
        <v>45353</v>
      </c>
      <c r="D4423" t="inlineStr">
        <is>
          <t>VÄRMLANDS LÄN</t>
        </is>
      </c>
      <c r="E4423" t="inlineStr">
        <is>
          <t>FILIPSTAD</t>
        </is>
      </c>
      <c r="F4423" t="inlineStr">
        <is>
          <t>Bergvik skog väst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55921-2020</t>
        </is>
      </c>
      <c r="B4424" s="1" t="n">
        <v>44132</v>
      </c>
      <c r="C4424" s="1" t="n">
        <v>45353</v>
      </c>
      <c r="D4424" t="inlineStr">
        <is>
          <t>VÄRMLANDS LÄN</t>
        </is>
      </c>
      <c r="E4424" t="inlineStr">
        <is>
          <t>HAGFORS</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55903-2020</t>
        </is>
      </c>
      <c r="B4425" s="1" t="n">
        <v>44132</v>
      </c>
      <c r="C4425" s="1" t="n">
        <v>45353</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55923-2020</t>
        </is>
      </c>
      <c r="B4426" s="1" t="n">
        <v>44132</v>
      </c>
      <c r="C4426" s="1" t="n">
        <v>45353</v>
      </c>
      <c r="D4426" t="inlineStr">
        <is>
          <t>VÄRMLANDS LÄN</t>
        </is>
      </c>
      <c r="E4426" t="inlineStr">
        <is>
          <t>FILIPSTAD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56052-2020</t>
        </is>
      </c>
      <c r="B4427" s="1" t="n">
        <v>44133</v>
      </c>
      <c r="C4427" s="1" t="n">
        <v>45353</v>
      </c>
      <c r="D4427" t="inlineStr">
        <is>
          <t>VÄRMLANDS LÄN</t>
        </is>
      </c>
      <c r="E4427" t="inlineStr">
        <is>
          <t>KRISTINEHAMN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55959-2020</t>
        </is>
      </c>
      <c r="B4428" s="1" t="n">
        <v>44133</v>
      </c>
      <c r="C4428" s="1" t="n">
        <v>45353</v>
      </c>
      <c r="D4428" t="inlineStr">
        <is>
          <t>VÄRMLANDS LÄN</t>
        </is>
      </c>
      <c r="E4428" t="inlineStr">
        <is>
          <t>EDA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56045-2020</t>
        </is>
      </c>
      <c r="B4429" s="1" t="n">
        <v>44133</v>
      </c>
      <c r="C4429" s="1" t="n">
        <v>45353</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56146-2020</t>
        </is>
      </c>
      <c r="B4430" s="1" t="n">
        <v>44133</v>
      </c>
      <c r="C4430" s="1" t="n">
        <v>45353</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55987-2020</t>
        </is>
      </c>
      <c r="B4431" s="1" t="n">
        <v>44133</v>
      </c>
      <c r="C4431" s="1" t="n">
        <v>45353</v>
      </c>
      <c r="D4431" t="inlineStr">
        <is>
          <t>VÄRMLANDS LÄN</t>
        </is>
      </c>
      <c r="E4431" t="inlineStr">
        <is>
          <t>EDA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56279-2020</t>
        </is>
      </c>
      <c r="B4432" s="1" t="n">
        <v>44134</v>
      </c>
      <c r="C4432" s="1" t="n">
        <v>45353</v>
      </c>
      <c r="D4432" t="inlineStr">
        <is>
          <t>VÄRMLANDS LÄN</t>
        </is>
      </c>
      <c r="E4432" t="inlineStr">
        <is>
          <t>FILIPSTAD</t>
        </is>
      </c>
      <c r="F4432" t="inlineStr">
        <is>
          <t>Bergvik skog väst AB</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56849-2020</t>
        </is>
      </c>
      <c r="B4433" s="1" t="n">
        <v>44134</v>
      </c>
      <c r="C4433" s="1" t="n">
        <v>45353</v>
      </c>
      <c r="D4433" t="inlineStr">
        <is>
          <t>VÄRMLANDS LÄN</t>
        </is>
      </c>
      <c r="E4433" t="inlineStr">
        <is>
          <t>ÅRJÄNG</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56271-2020</t>
        </is>
      </c>
      <c r="B4434" s="1" t="n">
        <v>44134</v>
      </c>
      <c r="C4434" s="1" t="n">
        <v>45353</v>
      </c>
      <c r="D4434" t="inlineStr">
        <is>
          <t>VÄRMLANDS LÄN</t>
        </is>
      </c>
      <c r="E4434" t="inlineStr">
        <is>
          <t>SÄFFLE</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56287-2020</t>
        </is>
      </c>
      <c r="B4435" s="1" t="n">
        <v>44134</v>
      </c>
      <c r="C4435" s="1" t="n">
        <v>45353</v>
      </c>
      <c r="D4435" t="inlineStr">
        <is>
          <t>VÄRMLANDS LÄN</t>
        </is>
      </c>
      <c r="E4435" t="inlineStr">
        <is>
          <t>ÅRJÄNG</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56226-2020</t>
        </is>
      </c>
      <c r="B4436" s="1" t="n">
        <v>44134</v>
      </c>
      <c r="C4436" s="1" t="n">
        <v>45353</v>
      </c>
      <c r="D4436" t="inlineStr">
        <is>
          <t>VÄRMLANDS LÄN</t>
        </is>
      </c>
      <c r="E4436" t="inlineStr">
        <is>
          <t>EDA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56413-2020</t>
        </is>
      </c>
      <c r="B4437" s="1" t="n">
        <v>44137</v>
      </c>
      <c r="C4437" s="1" t="n">
        <v>45353</v>
      </c>
      <c r="D4437" t="inlineStr">
        <is>
          <t>VÄRMLANDS LÄN</t>
        </is>
      </c>
      <c r="E4437" t="inlineStr">
        <is>
          <t>EDA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56406-2020</t>
        </is>
      </c>
      <c r="B4438" s="1" t="n">
        <v>44137</v>
      </c>
      <c r="C4438" s="1" t="n">
        <v>45353</v>
      </c>
      <c r="D4438" t="inlineStr">
        <is>
          <t>VÄRMLANDS LÄN</t>
        </is>
      </c>
      <c r="E4438" t="inlineStr">
        <is>
          <t>FILIPSTAD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56567-2020</t>
        </is>
      </c>
      <c r="B4439" s="1" t="n">
        <v>44137</v>
      </c>
      <c r="C4439" s="1" t="n">
        <v>45353</v>
      </c>
      <c r="D4439" t="inlineStr">
        <is>
          <t>VÄRMLANDS LÄN</t>
        </is>
      </c>
      <c r="E4439" t="inlineStr">
        <is>
          <t>HAGFORS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56531-2020</t>
        </is>
      </c>
      <c r="B4440" s="1" t="n">
        <v>44137</v>
      </c>
      <c r="C4440" s="1" t="n">
        <v>45353</v>
      </c>
      <c r="D4440" t="inlineStr">
        <is>
          <t>VÄRMLANDS LÄN</t>
        </is>
      </c>
      <c r="E4440" t="inlineStr">
        <is>
          <t>GRUMS</t>
        </is>
      </c>
      <c r="G4440" t="n">
        <v>15.3</v>
      </c>
      <c r="H4440" t="n">
        <v>0</v>
      </c>
      <c r="I4440" t="n">
        <v>0</v>
      </c>
      <c r="J4440" t="n">
        <v>0</v>
      </c>
      <c r="K4440" t="n">
        <v>0</v>
      </c>
      <c r="L4440" t="n">
        <v>0</v>
      </c>
      <c r="M4440" t="n">
        <v>0</v>
      </c>
      <c r="N4440" t="n">
        <v>0</v>
      </c>
      <c r="O4440" t="n">
        <v>0</v>
      </c>
      <c r="P4440" t="n">
        <v>0</v>
      </c>
      <c r="Q4440" t="n">
        <v>0</v>
      </c>
      <c r="R4440" s="2" t="inlineStr"/>
    </row>
    <row r="4441" ht="15" customHeight="1">
      <c r="A4441" t="inlineStr">
        <is>
          <t>A 56624-2020</t>
        </is>
      </c>
      <c r="B4441" s="1" t="n">
        <v>44137</v>
      </c>
      <c r="C4441" s="1" t="n">
        <v>45353</v>
      </c>
      <c r="D4441" t="inlineStr">
        <is>
          <t>VÄRMLANDS LÄN</t>
        </is>
      </c>
      <c r="E4441" t="inlineStr">
        <is>
          <t>ARVIKA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57037-2020</t>
        </is>
      </c>
      <c r="B4442" s="1" t="n">
        <v>44137</v>
      </c>
      <c r="C4442" s="1" t="n">
        <v>45353</v>
      </c>
      <c r="D4442" t="inlineStr">
        <is>
          <t>VÄRMLANDS LÄN</t>
        </is>
      </c>
      <c r="E4442" t="inlineStr">
        <is>
          <t>SÄFFLE</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56518-2020</t>
        </is>
      </c>
      <c r="B4443" s="1" t="n">
        <v>44137</v>
      </c>
      <c r="C4443" s="1" t="n">
        <v>45353</v>
      </c>
      <c r="D4443" t="inlineStr">
        <is>
          <t>VÄRMLANDS LÄN</t>
        </is>
      </c>
      <c r="E4443" t="inlineStr">
        <is>
          <t>ARVIKA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57028-2020</t>
        </is>
      </c>
      <c r="B4444" s="1" t="n">
        <v>44137</v>
      </c>
      <c r="C4444" s="1" t="n">
        <v>45353</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56822-2020</t>
        </is>
      </c>
      <c r="B4445" s="1" t="n">
        <v>44138</v>
      </c>
      <c r="C4445" s="1" t="n">
        <v>45353</v>
      </c>
      <c r="D4445" t="inlineStr">
        <is>
          <t>VÄRMLANDS LÄN</t>
        </is>
      </c>
      <c r="E4445" t="inlineStr">
        <is>
          <t>KIL</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56861-2020</t>
        </is>
      </c>
      <c r="B4446" s="1" t="n">
        <v>44138</v>
      </c>
      <c r="C4446" s="1" t="n">
        <v>45353</v>
      </c>
      <c r="D4446" t="inlineStr">
        <is>
          <t>VÄRMLANDS LÄN</t>
        </is>
      </c>
      <c r="E4446" t="inlineStr">
        <is>
          <t>FILIPSTAD</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56908-2020</t>
        </is>
      </c>
      <c r="B4447" s="1" t="n">
        <v>44138</v>
      </c>
      <c r="C4447" s="1" t="n">
        <v>45353</v>
      </c>
      <c r="D4447" t="inlineStr">
        <is>
          <t>VÄRMLANDS LÄN</t>
        </is>
      </c>
      <c r="E4447" t="inlineStr">
        <is>
          <t>ÅRJÄNG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56979-2020</t>
        </is>
      </c>
      <c r="B4448" s="1" t="n">
        <v>44138</v>
      </c>
      <c r="C4448" s="1" t="n">
        <v>45353</v>
      </c>
      <c r="D4448" t="inlineStr">
        <is>
          <t>VÄRMLANDS LÄN</t>
        </is>
      </c>
      <c r="E4448" t="inlineStr">
        <is>
          <t>TORSBY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57003-2020</t>
        </is>
      </c>
      <c r="B4449" s="1" t="n">
        <v>44138</v>
      </c>
      <c r="C4449" s="1" t="n">
        <v>45353</v>
      </c>
      <c r="D4449" t="inlineStr">
        <is>
          <t>VÄRMLANDS LÄN</t>
        </is>
      </c>
      <c r="E4449" t="inlineStr">
        <is>
          <t>KARLSTAD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57219-2020</t>
        </is>
      </c>
      <c r="B4450" s="1" t="n">
        <v>44138</v>
      </c>
      <c r="C4450" s="1" t="n">
        <v>45353</v>
      </c>
      <c r="D4450" t="inlineStr">
        <is>
          <t>VÄRMLANDS LÄN</t>
        </is>
      </c>
      <c r="E4450" t="inlineStr">
        <is>
          <t>ARVIKA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56871-2020</t>
        </is>
      </c>
      <c r="B4451" s="1" t="n">
        <v>44138</v>
      </c>
      <c r="C4451" s="1" t="n">
        <v>45353</v>
      </c>
      <c r="D4451" t="inlineStr">
        <is>
          <t>VÄRMLANDS LÄN</t>
        </is>
      </c>
      <c r="E4451" t="inlineStr">
        <is>
          <t>FORSHAGA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57119-2020</t>
        </is>
      </c>
      <c r="B4452" s="1" t="n">
        <v>44139</v>
      </c>
      <c r="C4452" s="1" t="n">
        <v>45353</v>
      </c>
      <c r="D4452" t="inlineStr">
        <is>
          <t>VÄRMLANDS LÄN</t>
        </is>
      </c>
      <c r="E4452" t="inlineStr">
        <is>
          <t>TORSBY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57230-2020</t>
        </is>
      </c>
      <c r="B4453" s="1" t="n">
        <v>44139</v>
      </c>
      <c r="C4453" s="1" t="n">
        <v>45353</v>
      </c>
      <c r="D4453" t="inlineStr">
        <is>
          <t>VÄRMLANDS LÄN</t>
        </is>
      </c>
      <c r="E4453" t="inlineStr">
        <is>
          <t>SÄFFLE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57331-2020</t>
        </is>
      </c>
      <c r="B4454" s="1" t="n">
        <v>44139</v>
      </c>
      <c r="C4454" s="1" t="n">
        <v>45353</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57605-2020</t>
        </is>
      </c>
      <c r="B4455" s="1" t="n">
        <v>44140</v>
      </c>
      <c r="C4455" s="1" t="n">
        <v>45353</v>
      </c>
      <c r="D4455" t="inlineStr">
        <is>
          <t>VÄRMLANDS LÄN</t>
        </is>
      </c>
      <c r="E4455" t="inlineStr">
        <is>
          <t>ÅRJÄNG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57437-2020</t>
        </is>
      </c>
      <c r="B4456" s="1" t="n">
        <v>44140</v>
      </c>
      <c r="C4456" s="1" t="n">
        <v>45353</v>
      </c>
      <c r="D4456" t="inlineStr">
        <is>
          <t>VÄRMLANDS LÄN</t>
        </is>
      </c>
      <c r="E4456" t="inlineStr">
        <is>
          <t>ÅRJÄNG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57444-2020</t>
        </is>
      </c>
      <c r="B4457" s="1" t="n">
        <v>44140</v>
      </c>
      <c r="C4457" s="1" t="n">
        <v>45353</v>
      </c>
      <c r="D4457" t="inlineStr">
        <is>
          <t>VÄRMLANDS LÄN</t>
        </is>
      </c>
      <c r="E4457" t="inlineStr">
        <is>
          <t>ÅRJÄNG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57708-2020</t>
        </is>
      </c>
      <c r="B4458" s="1" t="n">
        <v>44140</v>
      </c>
      <c r="C4458" s="1" t="n">
        <v>45353</v>
      </c>
      <c r="D4458" t="inlineStr">
        <is>
          <t>VÄRMLANDS LÄN</t>
        </is>
      </c>
      <c r="E4458" t="inlineStr">
        <is>
          <t>GRUMS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57748-2020</t>
        </is>
      </c>
      <c r="B4459" s="1" t="n">
        <v>44140</v>
      </c>
      <c r="C4459" s="1" t="n">
        <v>45353</v>
      </c>
      <c r="D4459" t="inlineStr">
        <is>
          <t>VÄRMLANDS LÄN</t>
        </is>
      </c>
      <c r="E4459" t="inlineStr">
        <is>
          <t>ÅRJÄNG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57761-2020</t>
        </is>
      </c>
      <c r="B4460" s="1" t="n">
        <v>44140</v>
      </c>
      <c r="C4460" s="1" t="n">
        <v>45353</v>
      </c>
      <c r="D4460" t="inlineStr">
        <is>
          <t>VÄRMLANDS LÄN</t>
        </is>
      </c>
      <c r="E4460" t="inlineStr">
        <is>
          <t>ÅRJÄNG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57775-2020</t>
        </is>
      </c>
      <c r="B4461" s="1" t="n">
        <v>44141</v>
      </c>
      <c r="C4461" s="1" t="n">
        <v>45353</v>
      </c>
      <c r="D4461" t="inlineStr">
        <is>
          <t>VÄRMLANDS LÄN</t>
        </is>
      </c>
      <c r="E4461" t="inlineStr">
        <is>
          <t>KRISTINEHAMN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57780-2020</t>
        </is>
      </c>
      <c r="B4462" s="1" t="n">
        <v>44141</v>
      </c>
      <c r="C4462" s="1" t="n">
        <v>45353</v>
      </c>
      <c r="D4462" t="inlineStr">
        <is>
          <t>VÄRMLANDS LÄN</t>
        </is>
      </c>
      <c r="E4462" t="inlineStr">
        <is>
          <t>KRISTINEHAMN</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57776-2020</t>
        </is>
      </c>
      <c r="B4463" s="1" t="n">
        <v>44141</v>
      </c>
      <c r="C4463" s="1" t="n">
        <v>45353</v>
      </c>
      <c r="D4463" t="inlineStr">
        <is>
          <t>VÄRMLANDS LÄN</t>
        </is>
      </c>
      <c r="E4463" t="inlineStr">
        <is>
          <t>KRISTINEHAMN</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57772-2020</t>
        </is>
      </c>
      <c r="B4464" s="1" t="n">
        <v>44141</v>
      </c>
      <c r="C4464" s="1" t="n">
        <v>45353</v>
      </c>
      <c r="D4464" t="inlineStr">
        <is>
          <t>VÄRMLANDS LÄN</t>
        </is>
      </c>
      <c r="E4464" t="inlineStr">
        <is>
          <t>KRISTINEHAMN</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57778-2020</t>
        </is>
      </c>
      <c r="B4465" s="1" t="n">
        <v>44141</v>
      </c>
      <c r="C4465" s="1" t="n">
        <v>45353</v>
      </c>
      <c r="D4465" t="inlineStr">
        <is>
          <t>VÄRMLANDS LÄN</t>
        </is>
      </c>
      <c r="E4465" t="inlineStr">
        <is>
          <t>KRISTINEHAMN</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57782-2020</t>
        </is>
      </c>
      <c r="B4466" s="1" t="n">
        <v>44141</v>
      </c>
      <c r="C4466" s="1" t="n">
        <v>45353</v>
      </c>
      <c r="D4466" t="inlineStr">
        <is>
          <t>VÄRMLANDS LÄN</t>
        </is>
      </c>
      <c r="E4466" t="inlineStr">
        <is>
          <t>KRISTINEHAMN</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57896-2020</t>
        </is>
      </c>
      <c r="B4467" s="1" t="n">
        <v>44141</v>
      </c>
      <c r="C4467" s="1" t="n">
        <v>45353</v>
      </c>
      <c r="D4467" t="inlineStr">
        <is>
          <t>VÄRMLANDS LÄN</t>
        </is>
      </c>
      <c r="E4467" t="inlineStr">
        <is>
          <t>TORSBY</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57980-2020</t>
        </is>
      </c>
      <c r="B4468" s="1" t="n">
        <v>44143</v>
      </c>
      <c r="C4468" s="1" t="n">
        <v>45353</v>
      </c>
      <c r="D4468" t="inlineStr">
        <is>
          <t>VÄRMLANDS LÄN</t>
        </is>
      </c>
      <c r="E4468" t="inlineStr">
        <is>
          <t>TORSBY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57998-2020</t>
        </is>
      </c>
      <c r="B4469" s="1" t="n">
        <v>44144</v>
      </c>
      <c r="C4469" s="1" t="n">
        <v>45353</v>
      </c>
      <c r="D4469" t="inlineStr">
        <is>
          <t>VÄRMLANDS LÄN</t>
        </is>
      </c>
      <c r="E4469" t="inlineStr">
        <is>
          <t>EDA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58193-2020</t>
        </is>
      </c>
      <c r="B4470" s="1" t="n">
        <v>44144</v>
      </c>
      <c r="C4470" s="1" t="n">
        <v>45353</v>
      </c>
      <c r="D4470" t="inlineStr">
        <is>
          <t>VÄRMLANDS LÄN</t>
        </is>
      </c>
      <c r="E4470" t="inlineStr">
        <is>
          <t>EDA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58201-2020</t>
        </is>
      </c>
      <c r="B4471" s="1" t="n">
        <v>44144</v>
      </c>
      <c r="C4471" s="1" t="n">
        <v>45353</v>
      </c>
      <c r="D4471" t="inlineStr">
        <is>
          <t>VÄRMLANDS LÄN</t>
        </is>
      </c>
      <c r="E4471" t="inlineStr">
        <is>
          <t>KRISTINEHAMN</t>
        </is>
      </c>
      <c r="F4471" t="inlineStr">
        <is>
          <t>Naturvårdsverket</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58078-2020</t>
        </is>
      </c>
      <c r="B4472" s="1" t="n">
        <v>44144</v>
      </c>
      <c r="C4472" s="1" t="n">
        <v>45353</v>
      </c>
      <c r="D4472" t="inlineStr">
        <is>
          <t>VÄRMLANDS LÄN</t>
        </is>
      </c>
      <c r="E4472" t="inlineStr">
        <is>
          <t>TORSBY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57994-2020</t>
        </is>
      </c>
      <c r="B4473" s="1" t="n">
        <v>44144</v>
      </c>
      <c r="C4473" s="1" t="n">
        <v>45353</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58223-2020</t>
        </is>
      </c>
      <c r="B4474" s="1" t="n">
        <v>44144</v>
      </c>
      <c r="C4474" s="1" t="n">
        <v>45353</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58481-2020</t>
        </is>
      </c>
      <c r="B4475" s="1" t="n">
        <v>44144</v>
      </c>
      <c r="C4475" s="1" t="n">
        <v>45353</v>
      </c>
      <c r="D4475" t="inlineStr">
        <is>
          <t>VÄRMLANDS LÄN</t>
        </is>
      </c>
      <c r="E4475" t="inlineStr">
        <is>
          <t>HAGFORS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58467-2020</t>
        </is>
      </c>
      <c r="B4476" s="1" t="n">
        <v>44144</v>
      </c>
      <c r="C4476" s="1" t="n">
        <v>45353</v>
      </c>
      <c r="D4476" t="inlineStr">
        <is>
          <t>VÄRMLANDS LÄN</t>
        </is>
      </c>
      <c r="E4476" t="inlineStr">
        <is>
          <t>SÄFFLE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58532-2020</t>
        </is>
      </c>
      <c r="B4477" s="1" t="n">
        <v>44145</v>
      </c>
      <c r="C4477" s="1" t="n">
        <v>45353</v>
      </c>
      <c r="D4477" t="inlineStr">
        <is>
          <t>VÄRMLANDS LÄN</t>
        </is>
      </c>
      <c r="E4477" t="inlineStr">
        <is>
          <t>FILIPSTAD</t>
        </is>
      </c>
      <c r="F4477" t="inlineStr">
        <is>
          <t>Bergvik skog väst AB</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58599-2020</t>
        </is>
      </c>
      <c r="B4478" s="1" t="n">
        <v>44145</v>
      </c>
      <c r="C4478" s="1" t="n">
        <v>45353</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58340-2020</t>
        </is>
      </c>
      <c r="B4479" s="1" t="n">
        <v>44145</v>
      </c>
      <c r="C4479" s="1" t="n">
        <v>45353</v>
      </c>
      <c r="D4479" t="inlineStr">
        <is>
          <t>VÄRMLANDS LÄN</t>
        </is>
      </c>
      <c r="E4479" t="inlineStr">
        <is>
          <t>SÄFFLE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58548-2020</t>
        </is>
      </c>
      <c r="B4480" s="1" t="n">
        <v>44145</v>
      </c>
      <c r="C4480" s="1" t="n">
        <v>45353</v>
      </c>
      <c r="D4480" t="inlineStr">
        <is>
          <t>VÄRMLANDS LÄN</t>
        </is>
      </c>
      <c r="E4480" t="inlineStr">
        <is>
          <t>HAGFORS</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58530-2020</t>
        </is>
      </c>
      <c r="B4481" s="1" t="n">
        <v>44145</v>
      </c>
      <c r="C4481" s="1" t="n">
        <v>45353</v>
      </c>
      <c r="D4481" t="inlineStr">
        <is>
          <t>VÄRMLANDS LÄN</t>
        </is>
      </c>
      <c r="E4481" t="inlineStr">
        <is>
          <t>STORFORS</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58598-2020</t>
        </is>
      </c>
      <c r="B4482" s="1" t="n">
        <v>44145</v>
      </c>
      <c r="C4482" s="1" t="n">
        <v>45353</v>
      </c>
      <c r="D4482" t="inlineStr">
        <is>
          <t>VÄRMLANDS LÄN</t>
        </is>
      </c>
      <c r="E4482" t="inlineStr">
        <is>
          <t>SÄFFLE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58574-2020</t>
        </is>
      </c>
      <c r="B4483" s="1" t="n">
        <v>44145</v>
      </c>
      <c r="C4483" s="1" t="n">
        <v>45353</v>
      </c>
      <c r="D4483" t="inlineStr">
        <is>
          <t>VÄRMLANDS LÄN</t>
        </is>
      </c>
      <c r="E4483" t="inlineStr">
        <is>
          <t>TORSBY</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58629-2020</t>
        </is>
      </c>
      <c r="B4484" s="1" t="n">
        <v>44145</v>
      </c>
      <c r="C4484" s="1" t="n">
        <v>45353</v>
      </c>
      <c r="D4484" t="inlineStr">
        <is>
          <t>VÄRMLANDS LÄN</t>
        </is>
      </c>
      <c r="E4484" t="inlineStr">
        <is>
          <t>ÅRJÄNG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58643-2020</t>
        </is>
      </c>
      <c r="B4485" s="1" t="n">
        <v>44145</v>
      </c>
      <c r="C4485" s="1" t="n">
        <v>45353</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58680-2020</t>
        </is>
      </c>
      <c r="B4486" s="1" t="n">
        <v>44146</v>
      </c>
      <c r="C4486" s="1" t="n">
        <v>45353</v>
      </c>
      <c r="D4486" t="inlineStr">
        <is>
          <t>VÄRMLANDS LÄN</t>
        </is>
      </c>
      <c r="E4486" t="inlineStr">
        <is>
          <t>TORSBY</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58687-2020</t>
        </is>
      </c>
      <c r="B4487" s="1" t="n">
        <v>44146</v>
      </c>
      <c r="C4487" s="1" t="n">
        <v>45353</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58691-2020</t>
        </is>
      </c>
      <c r="B4488" s="1" t="n">
        <v>44146</v>
      </c>
      <c r="C4488" s="1" t="n">
        <v>45353</v>
      </c>
      <c r="D4488" t="inlineStr">
        <is>
          <t>VÄRMLANDS LÄN</t>
        </is>
      </c>
      <c r="E4488" t="inlineStr">
        <is>
          <t>FORSHAGA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58695-2020</t>
        </is>
      </c>
      <c r="B4489" s="1" t="n">
        <v>44146</v>
      </c>
      <c r="C4489" s="1" t="n">
        <v>45353</v>
      </c>
      <c r="D4489" t="inlineStr">
        <is>
          <t>VÄRMLANDS LÄN</t>
        </is>
      </c>
      <c r="E4489" t="inlineStr">
        <is>
          <t>ARVIKA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58758-2020</t>
        </is>
      </c>
      <c r="B4490" s="1" t="n">
        <v>44146</v>
      </c>
      <c r="C4490" s="1" t="n">
        <v>45353</v>
      </c>
      <c r="D4490" t="inlineStr">
        <is>
          <t>VÄRMLANDS LÄN</t>
        </is>
      </c>
      <c r="E4490" t="inlineStr">
        <is>
          <t>SÄFFLE</t>
        </is>
      </c>
      <c r="F4490" t="inlineStr">
        <is>
          <t>Bergvik skog väst AB</t>
        </is>
      </c>
      <c r="G4490" t="n">
        <v>26.3</v>
      </c>
      <c r="H4490" t="n">
        <v>0</v>
      </c>
      <c r="I4490" t="n">
        <v>0</v>
      </c>
      <c r="J4490" t="n">
        <v>0</v>
      </c>
      <c r="K4490" t="n">
        <v>0</v>
      </c>
      <c r="L4490" t="n">
        <v>0</v>
      </c>
      <c r="M4490" t="n">
        <v>0</v>
      </c>
      <c r="N4490" t="n">
        <v>0</v>
      </c>
      <c r="O4490" t="n">
        <v>0</v>
      </c>
      <c r="P4490" t="n">
        <v>0</v>
      </c>
      <c r="Q4490" t="n">
        <v>0</v>
      </c>
      <c r="R4490" s="2" t="inlineStr"/>
    </row>
    <row r="4491" ht="15" customHeight="1">
      <c r="A4491" t="inlineStr">
        <is>
          <t>A 58843-2020</t>
        </is>
      </c>
      <c r="B4491" s="1" t="n">
        <v>44146</v>
      </c>
      <c r="C4491" s="1" t="n">
        <v>45353</v>
      </c>
      <c r="D4491" t="inlineStr">
        <is>
          <t>VÄRMLANDS LÄN</t>
        </is>
      </c>
      <c r="E4491" t="inlineStr">
        <is>
          <t>FILIPSTAD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58713-2020</t>
        </is>
      </c>
      <c r="B4492" s="1" t="n">
        <v>44146</v>
      </c>
      <c r="C4492" s="1" t="n">
        <v>45353</v>
      </c>
      <c r="D4492" t="inlineStr">
        <is>
          <t>VÄRMLANDS LÄN</t>
        </is>
      </c>
      <c r="E4492" t="inlineStr">
        <is>
          <t>KARLSTAD</t>
        </is>
      </c>
      <c r="F4492" t="inlineStr">
        <is>
          <t>Kommuner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58877-2020</t>
        </is>
      </c>
      <c r="B4493" s="1" t="n">
        <v>44146</v>
      </c>
      <c r="C4493" s="1" t="n">
        <v>45353</v>
      </c>
      <c r="D4493" t="inlineStr">
        <is>
          <t>VÄRMLANDS LÄN</t>
        </is>
      </c>
      <c r="E4493" t="inlineStr">
        <is>
          <t>TORSBY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58930-2020</t>
        </is>
      </c>
      <c r="B4494" s="1" t="n">
        <v>44146</v>
      </c>
      <c r="C4494" s="1" t="n">
        <v>45353</v>
      </c>
      <c r="D4494" t="inlineStr">
        <is>
          <t>VÄRMLANDS LÄN</t>
        </is>
      </c>
      <c r="E4494" t="inlineStr">
        <is>
          <t>TORSBY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59225-2020</t>
        </is>
      </c>
      <c r="B4495" s="1" t="n">
        <v>44147</v>
      </c>
      <c r="C4495" s="1" t="n">
        <v>45353</v>
      </c>
      <c r="D4495" t="inlineStr">
        <is>
          <t>VÄRMLANDS LÄN</t>
        </is>
      </c>
      <c r="E4495" t="inlineStr">
        <is>
          <t>FORSHAGA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59147-2020</t>
        </is>
      </c>
      <c r="B4496" s="1" t="n">
        <v>44147</v>
      </c>
      <c r="C4496" s="1" t="n">
        <v>45353</v>
      </c>
      <c r="D4496" t="inlineStr">
        <is>
          <t>VÄRMLANDS LÄN</t>
        </is>
      </c>
      <c r="E4496" t="inlineStr">
        <is>
          <t>KIL</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59342-2020</t>
        </is>
      </c>
      <c r="B4497" s="1" t="n">
        <v>44148</v>
      </c>
      <c r="C4497" s="1" t="n">
        <v>45353</v>
      </c>
      <c r="D4497" t="inlineStr">
        <is>
          <t>VÄRMLANDS LÄN</t>
        </is>
      </c>
      <c r="E4497" t="inlineStr">
        <is>
          <t>EDA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59392-2020</t>
        </is>
      </c>
      <c r="B4498" s="1" t="n">
        <v>44148</v>
      </c>
      <c r="C4498" s="1" t="n">
        <v>45353</v>
      </c>
      <c r="D4498" t="inlineStr">
        <is>
          <t>VÄRMLANDS LÄN</t>
        </is>
      </c>
      <c r="E4498" t="inlineStr">
        <is>
          <t>MUNKFORS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59343-2020</t>
        </is>
      </c>
      <c r="B4499" s="1" t="n">
        <v>44148</v>
      </c>
      <c r="C4499" s="1" t="n">
        <v>45353</v>
      </c>
      <c r="D4499" t="inlineStr">
        <is>
          <t>VÄRMLANDS LÄN</t>
        </is>
      </c>
      <c r="E4499" t="inlineStr">
        <is>
          <t>EDA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59376-2020</t>
        </is>
      </c>
      <c r="B4500" s="1" t="n">
        <v>44148</v>
      </c>
      <c r="C4500" s="1" t="n">
        <v>45353</v>
      </c>
      <c r="D4500" t="inlineStr">
        <is>
          <t>VÄRMLANDS LÄN</t>
        </is>
      </c>
      <c r="E4500" t="inlineStr">
        <is>
          <t>EDA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59368-2020</t>
        </is>
      </c>
      <c r="B4501" s="1" t="n">
        <v>44148</v>
      </c>
      <c r="C4501" s="1" t="n">
        <v>45353</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59344-2020</t>
        </is>
      </c>
      <c r="B4502" s="1" t="n">
        <v>44148</v>
      </c>
      <c r="C4502" s="1" t="n">
        <v>45353</v>
      </c>
      <c r="D4502" t="inlineStr">
        <is>
          <t>VÄRMLANDS LÄN</t>
        </is>
      </c>
      <c r="E4502" t="inlineStr">
        <is>
          <t>EDA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59535-2020</t>
        </is>
      </c>
      <c r="B4503" s="1" t="n">
        <v>44148</v>
      </c>
      <c r="C4503" s="1" t="n">
        <v>45353</v>
      </c>
      <c r="D4503" t="inlineStr">
        <is>
          <t>VÄRMLANDS LÄN</t>
        </is>
      </c>
      <c r="E4503" t="inlineStr">
        <is>
          <t>SÄFFLE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59394-2020</t>
        </is>
      </c>
      <c r="B4504" s="1" t="n">
        <v>44148</v>
      </c>
      <c r="C4504" s="1" t="n">
        <v>45353</v>
      </c>
      <c r="D4504" t="inlineStr">
        <is>
          <t>VÄRMLANDS LÄN</t>
        </is>
      </c>
      <c r="E4504" t="inlineStr">
        <is>
          <t>SÄFFLE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59506-2020</t>
        </is>
      </c>
      <c r="B4505" s="1" t="n">
        <v>44148</v>
      </c>
      <c r="C4505" s="1" t="n">
        <v>45353</v>
      </c>
      <c r="D4505" t="inlineStr">
        <is>
          <t>VÄRMLANDS LÄN</t>
        </is>
      </c>
      <c r="E4505" t="inlineStr">
        <is>
          <t>GRUMS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59620-2020</t>
        </is>
      </c>
      <c r="B4506" s="1" t="n">
        <v>44150</v>
      </c>
      <c r="C4506" s="1" t="n">
        <v>45353</v>
      </c>
      <c r="D4506" t="inlineStr">
        <is>
          <t>VÄRMLANDS LÄN</t>
        </is>
      </c>
      <c r="E4506" t="inlineStr">
        <is>
          <t>FORSHAGA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59643-2020</t>
        </is>
      </c>
      <c r="B4507" s="1" t="n">
        <v>44150</v>
      </c>
      <c r="C4507" s="1" t="n">
        <v>45353</v>
      </c>
      <c r="D4507" t="inlineStr">
        <is>
          <t>VÄRMLANDS LÄN</t>
        </is>
      </c>
      <c r="E4507" t="inlineStr">
        <is>
          <t>SUNNE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59645-2020</t>
        </is>
      </c>
      <c r="B4508" s="1" t="n">
        <v>44150</v>
      </c>
      <c r="C4508" s="1" t="n">
        <v>45353</v>
      </c>
      <c r="D4508" t="inlineStr">
        <is>
          <t>VÄRMLANDS LÄN</t>
        </is>
      </c>
      <c r="E4508" t="inlineStr">
        <is>
          <t>SUNNE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59653-2020</t>
        </is>
      </c>
      <c r="B4509" s="1" t="n">
        <v>44151</v>
      </c>
      <c r="C4509" s="1" t="n">
        <v>45353</v>
      </c>
      <c r="D4509" t="inlineStr">
        <is>
          <t>VÄRMLANDS LÄN</t>
        </is>
      </c>
      <c r="E4509" t="inlineStr">
        <is>
          <t>EDA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59703-2020</t>
        </is>
      </c>
      <c r="B4510" s="1" t="n">
        <v>44151</v>
      </c>
      <c r="C4510" s="1" t="n">
        <v>45353</v>
      </c>
      <c r="D4510" t="inlineStr">
        <is>
          <t>VÄRMLANDS LÄN</t>
        </is>
      </c>
      <c r="E4510" t="inlineStr">
        <is>
          <t>KARLSTAD</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59751-2020</t>
        </is>
      </c>
      <c r="B4511" s="1" t="n">
        <v>44151</v>
      </c>
      <c r="C4511" s="1" t="n">
        <v>45353</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59763-2020</t>
        </is>
      </c>
      <c r="B4512" s="1" t="n">
        <v>44151</v>
      </c>
      <c r="C4512" s="1" t="n">
        <v>45353</v>
      </c>
      <c r="D4512" t="inlineStr">
        <is>
          <t>VÄRMLANDS LÄN</t>
        </is>
      </c>
      <c r="E4512" t="inlineStr">
        <is>
          <t>SUNNE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59800-2020</t>
        </is>
      </c>
      <c r="B4513" s="1" t="n">
        <v>44151</v>
      </c>
      <c r="C4513" s="1" t="n">
        <v>45353</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59823-2020</t>
        </is>
      </c>
      <c r="B4514" s="1" t="n">
        <v>44151</v>
      </c>
      <c r="C4514" s="1" t="n">
        <v>45353</v>
      </c>
      <c r="D4514" t="inlineStr">
        <is>
          <t>VÄRMLANDS LÄN</t>
        </is>
      </c>
      <c r="E4514" t="inlineStr">
        <is>
          <t>ARVIKA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59756-2020</t>
        </is>
      </c>
      <c r="B4515" s="1" t="n">
        <v>44151</v>
      </c>
      <c r="C4515" s="1" t="n">
        <v>45353</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59779-2020</t>
        </is>
      </c>
      <c r="B4516" s="1" t="n">
        <v>44151</v>
      </c>
      <c r="C4516" s="1" t="n">
        <v>45353</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59795-2020</t>
        </is>
      </c>
      <c r="B4517" s="1" t="n">
        <v>44151</v>
      </c>
      <c r="C4517" s="1" t="n">
        <v>45353</v>
      </c>
      <c r="D4517" t="inlineStr">
        <is>
          <t>VÄRMLANDS LÄN</t>
        </is>
      </c>
      <c r="E4517" t="inlineStr">
        <is>
          <t>ARVIKA</t>
        </is>
      </c>
      <c r="F4517" t="inlineStr">
        <is>
          <t>Bergvik skog väst AB</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59808-2020</t>
        </is>
      </c>
      <c r="B4518" s="1" t="n">
        <v>44151</v>
      </c>
      <c r="C4518" s="1" t="n">
        <v>45353</v>
      </c>
      <c r="D4518" t="inlineStr">
        <is>
          <t>VÄRMLANDS LÄN</t>
        </is>
      </c>
      <c r="E4518" t="inlineStr">
        <is>
          <t>SUNNE</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59820-2020</t>
        </is>
      </c>
      <c r="B4519" s="1" t="n">
        <v>44151</v>
      </c>
      <c r="C4519" s="1" t="n">
        <v>45353</v>
      </c>
      <c r="D4519" t="inlineStr">
        <is>
          <t>VÄRMLANDS LÄN</t>
        </is>
      </c>
      <c r="E4519" t="inlineStr">
        <is>
          <t>ARVIKA</t>
        </is>
      </c>
      <c r="G4519" t="n">
        <v>21.2</v>
      </c>
      <c r="H4519" t="n">
        <v>0</v>
      </c>
      <c r="I4519" t="n">
        <v>0</v>
      </c>
      <c r="J4519" t="n">
        <v>0</v>
      </c>
      <c r="K4519" t="n">
        <v>0</v>
      </c>
      <c r="L4519" t="n">
        <v>0</v>
      </c>
      <c r="M4519" t="n">
        <v>0</v>
      </c>
      <c r="N4519" t="n">
        <v>0</v>
      </c>
      <c r="O4519" t="n">
        <v>0</v>
      </c>
      <c r="P4519" t="n">
        <v>0</v>
      </c>
      <c r="Q4519" t="n">
        <v>0</v>
      </c>
      <c r="R4519" s="2" t="inlineStr"/>
    </row>
    <row r="4520" ht="15" customHeight="1">
      <c r="A4520" t="inlineStr">
        <is>
          <t>A 59849-2020</t>
        </is>
      </c>
      <c r="B4520" s="1" t="n">
        <v>44151</v>
      </c>
      <c r="C4520" s="1" t="n">
        <v>45353</v>
      </c>
      <c r="D4520" t="inlineStr">
        <is>
          <t>VÄRMLANDS LÄN</t>
        </is>
      </c>
      <c r="E4520" t="inlineStr">
        <is>
          <t>FILIPSTAD</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59656-2020</t>
        </is>
      </c>
      <c r="B4521" s="1" t="n">
        <v>44151</v>
      </c>
      <c r="C4521" s="1" t="n">
        <v>45353</v>
      </c>
      <c r="D4521" t="inlineStr">
        <is>
          <t>VÄRMLANDS LÄN</t>
        </is>
      </c>
      <c r="E4521" t="inlineStr">
        <is>
          <t>ÅRJÄNG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59776-2020</t>
        </is>
      </c>
      <c r="B4522" s="1" t="n">
        <v>44151</v>
      </c>
      <c r="C4522" s="1" t="n">
        <v>45353</v>
      </c>
      <c r="D4522" t="inlineStr">
        <is>
          <t>VÄRMLANDS LÄN</t>
        </is>
      </c>
      <c r="E4522" t="inlineStr">
        <is>
          <t>SUNNE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59814-2020</t>
        </is>
      </c>
      <c r="B4523" s="1" t="n">
        <v>44151</v>
      </c>
      <c r="C4523" s="1" t="n">
        <v>45353</v>
      </c>
      <c r="D4523" t="inlineStr">
        <is>
          <t>VÄRMLANDS LÄN</t>
        </is>
      </c>
      <c r="E4523" t="inlineStr">
        <is>
          <t>ARVIKA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59824-2020</t>
        </is>
      </c>
      <c r="B4524" s="1" t="n">
        <v>44151</v>
      </c>
      <c r="C4524" s="1" t="n">
        <v>45353</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59784-2020</t>
        </is>
      </c>
      <c r="B4525" s="1" t="n">
        <v>44151</v>
      </c>
      <c r="C4525" s="1" t="n">
        <v>45353</v>
      </c>
      <c r="D4525" t="inlineStr">
        <is>
          <t>VÄRMLANDS LÄN</t>
        </is>
      </c>
      <c r="E4525" t="inlineStr">
        <is>
          <t>ARVIKA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59821-2020</t>
        </is>
      </c>
      <c r="B4526" s="1" t="n">
        <v>44151</v>
      </c>
      <c r="C4526" s="1" t="n">
        <v>45353</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59832-2020</t>
        </is>
      </c>
      <c r="B4527" s="1" t="n">
        <v>44151</v>
      </c>
      <c r="C4527" s="1" t="n">
        <v>45353</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59854-2020</t>
        </is>
      </c>
      <c r="B4528" s="1" t="n">
        <v>44151</v>
      </c>
      <c r="C4528" s="1" t="n">
        <v>45353</v>
      </c>
      <c r="D4528" t="inlineStr">
        <is>
          <t>VÄRMLANDS LÄN</t>
        </is>
      </c>
      <c r="E4528" t="inlineStr">
        <is>
          <t>FILIPSTAD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60277-2020</t>
        </is>
      </c>
      <c r="B4529" s="1" t="n">
        <v>44151</v>
      </c>
      <c r="C4529" s="1" t="n">
        <v>45353</v>
      </c>
      <c r="D4529" t="inlineStr">
        <is>
          <t>VÄRMLANDS LÄN</t>
        </is>
      </c>
      <c r="E4529" t="inlineStr">
        <is>
          <t>ARVIKA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60275-2020</t>
        </is>
      </c>
      <c r="B4530" s="1" t="n">
        <v>44151</v>
      </c>
      <c r="C4530" s="1" t="n">
        <v>45353</v>
      </c>
      <c r="D4530" t="inlineStr">
        <is>
          <t>VÄRMLANDS LÄN</t>
        </is>
      </c>
      <c r="E4530" t="inlineStr">
        <is>
          <t>ARVIKA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60167-2020</t>
        </is>
      </c>
      <c r="B4531" s="1" t="n">
        <v>44152</v>
      </c>
      <c r="C4531" s="1" t="n">
        <v>45353</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60082-2020</t>
        </is>
      </c>
      <c r="B4532" s="1" t="n">
        <v>44152</v>
      </c>
      <c r="C4532" s="1" t="n">
        <v>45353</v>
      </c>
      <c r="D4532" t="inlineStr">
        <is>
          <t>VÄRMLANDS LÄN</t>
        </is>
      </c>
      <c r="E4532" t="inlineStr">
        <is>
          <t>KARLSTAD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60912-2020</t>
        </is>
      </c>
      <c r="B4533" s="1" t="n">
        <v>44152</v>
      </c>
      <c r="C4533" s="1" t="n">
        <v>45353</v>
      </c>
      <c r="D4533" t="inlineStr">
        <is>
          <t>VÄRMLANDS LÄN</t>
        </is>
      </c>
      <c r="E4533" t="inlineStr">
        <is>
          <t>FILIPSTAD</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60289-2020</t>
        </is>
      </c>
      <c r="B4534" s="1" t="n">
        <v>44152</v>
      </c>
      <c r="C4534" s="1" t="n">
        <v>45353</v>
      </c>
      <c r="D4534" t="inlineStr">
        <is>
          <t>VÄRMLANDS LÄN</t>
        </is>
      </c>
      <c r="E4534" t="inlineStr">
        <is>
          <t>FILIPSTAD</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60453-2020</t>
        </is>
      </c>
      <c r="B4535" s="1" t="n">
        <v>44153</v>
      </c>
      <c r="C4535" s="1" t="n">
        <v>45353</v>
      </c>
      <c r="D4535" t="inlineStr">
        <is>
          <t>VÄRMLANDS LÄN</t>
        </is>
      </c>
      <c r="E4535" t="inlineStr">
        <is>
          <t>SUNNE</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60533-2020</t>
        </is>
      </c>
      <c r="B4536" s="1" t="n">
        <v>44153</v>
      </c>
      <c r="C4536" s="1" t="n">
        <v>45353</v>
      </c>
      <c r="D4536" t="inlineStr">
        <is>
          <t>VÄRMLANDS LÄN</t>
        </is>
      </c>
      <c r="E4536" t="inlineStr">
        <is>
          <t>TORSBY</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60475-2020</t>
        </is>
      </c>
      <c r="B4537" s="1" t="n">
        <v>44153</v>
      </c>
      <c r="C4537" s="1" t="n">
        <v>45353</v>
      </c>
      <c r="D4537" t="inlineStr">
        <is>
          <t>VÄRMLANDS LÄN</t>
        </is>
      </c>
      <c r="E4537" t="inlineStr">
        <is>
          <t>SUNNE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60587-2020</t>
        </is>
      </c>
      <c r="B4538" s="1" t="n">
        <v>44153</v>
      </c>
      <c r="C4538" s="1" t="n">
        <v>45353</v>
      </c>
      <c r="D4538" t="inlineStr">
        <is>
          <t>VÄRMLANDS LÄN</t>
        </is>
      </c>
      <c r="E4538" t="inlineStr">
        <is>
          <t>KARLSTAD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60732-2020</t>
        </is>
      </c>
      <c r="B4539" s="1" t="n">
        <v>44153</v>
      </c>
      <c r="C4539" s="1" t="n">
        <v>45353</v>
      </c>
      <c r="D4539" t="inlineStr">
        <is>
          <t>VÄRMLANDS LÄN</t>
        </is>
      </c>
      <c r="E4539" t="inlineStr">
        <is>
          <t>ÅRJÄNG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60719-2020</t>
        </is>
      </c>
      <c r="B4540" s="1" t="n">
        <v>44153</v>
      </c>
      <c r="C4540" s="1" t="n">
        <v>45353</v>
      </c>
      <c r="D4540" t="inlineStr">
        <is>
          <t>VÄRMLANDS LÄN</t>
        </is>
      </c>
      <c r="E4540" t="inlineStr">
        <is>
          <t>TORSBY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60740-2020</t>
        </is>
      </c>
      <c r="B4541" s="1" t="n">
        <v>44153</v>
      </c>
      <c r="C4541" s="1" t="n">
        <v>45353</v>
      </c>
      <c r="D4541" t="inlineStr">
        <is>
          <t>VÄRMLANDS LÄN</t>
        </is>
      </c>
      <c r="E4541" t="inlineStr">
        <is>
          <t>FILIPSTAD</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60823-2020</t>
        </is>
      </c>
      <c r="B4542" s="1" t="n">
        <v>44153</v>
      </c>
      <c r="C4542" s="1" t="n">
        <v>45353</v>
      </c>
      <c r="D4542" t="inlineStr">
        <is>
          <t>VÄRMLANDS LÄN</t>
        </is>
      </c>
      <c r="E4542" t="inlineStr">
        <is>
          <t>TORSBY</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60615-2020</t>
        </is>
      </c>
      <c r="B4543" s="1" t="n">
        <v>44153</v>
      </c>
      <c r="C4543" s="1" t="n">
        <v>45353</v>
      </c>
      <c r="D4543" t="inlineStr">
        <is>
          <t>VÄRMLANDS LÄN</t>
        </is>
      </c>
      <c r="E4543" t="inlineStr">
        <is>
          <t>HAGFORS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60941-2020</t>
        </is>
      </c>
      <c r="B4544" s="1" t="n">
        <v>44154</v>
      </c>
      <c r="C4544" s="1" t="n">
        <v>45353</v>
      </c>
      <c r="D4544" t="inlineStr">
        <is>
          <t>VÄRMLANDS LÄN</t>
        </is>
      </c>
      <c r="E4544" t="inlineStr">
        <is>
          <t>TORSBY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60955-2020</t>
        </is>
      </c>
      <c r="B4545" s="1" t="n">
        <v>44154</v>
      </c>
      <c r="C4545" s="1" t="n">
        <v>45353</v>
      </c>
      <c r="D4545" t="inlineStr">
        <is>
          <t>VÄRMLANDS LÄN</t>
        </is>
      </c>
      <c r="E4545" t="inlineStr">
        <is>
          <t>ARVIKA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60784-2020</t>
        </is>
      </c>
      <c r="B4546" s="1" t="n">
        <v>44154</v>
      </c>
      <c r="C4546" s="1" t="n">
        <v>45353</v>
      </c>
      <c r="D4546" t="inlineStr">
        <is>
          <t>VÄRMLANDS LÄN</t>
        </is>
      </c>
      <c r="E4546" t="inlineStr">
        <is>
          <t>ARVIKA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61009-2020</t>
        </is>
      </c>
      <c r="B4547" s="1" t="n">
        <v>44154</v>
      </c>
      <c r="C4547" s="1" t="n">
        <v>45353</v>
      </c>
      <c r="D4547" t="inlineStr">
        <is>
          <t>VÄRMLANDS LÄN</t>
        </is>
      </c>
      <c r="E4547" t="inlineStr">
        <is>
          <t>TORSBY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61032-2020</t>
        </is>
      </c>
      <c r="B4548" s="1" t="n">
        <v>44154</v>
      </c>
      <c r="C4548" s="1" t="n">
        <v>45353</v>
      </c>
      <c r="D4548" t="inlineStr">
        <is>
          <t>VÄRMLANDS LÄN</t>
        </is>
      </c>
      <c r="E4548" t="inlineStr">
        <is>
          <t>SÄFFLE</t>
        </is>
      </c>
      <c r="F4548" t="inlineStr">
        <is>
          <t>Bergvik skog väst AB</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61594-2020</t>
        </is>
      </c>
      <c r="B4549" s="1" t="n">
        <v>44154</v>
      </c>
      <c r="C4549" s="1" t="n">
        <v>45353</v>
      </c>
      <c r="D4549" t="inlineStr">
        <is>
          <t>VÄRMLANDS LÄN</t>
        </is>
      </c>
      <c r="E4549" t="inlineStr">
        <is>
          <t>TORSBY</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61868-2020</t>
        </is>
      </c>
      <c r="B4550" s="1" t="n">
        <v>44155</v>
      </c>
      <c r="C4550" s="1" t="n">
        <v>45353</v>
      </c>
      <c r="D4550" t="inlineStr">
        <is>
          <t>VÄRMLANDS LÄN</t>
        </is>
      </c>
      <c r="E4550" t="inlineStr">
        <is>
          <t>ÅRJÄNG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61273-2020</t>
        </is>
      </c>
      <c r="B4551" s="1" t="n">
        <v>44155</v>
      </c>
      <c r="C4551" s="1" t="n">
        <v>45353</v>
      </c>
      <c r="D4551" t="inlineStr">
        <is>
          <t>VÄRMLANDS LÄN</t>
        </is>
      </c>
      <c r="E4551" t="inlineStr">
        <is>
          <t>SÄFFLE</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61383-2020</t>
        </is>
      </c>
      <c r="B4552" s="1" t="n">
        <v>44155</v>
      </c>
      <c r="C4552" s="1" t="n">
        <v>45353</v>
      </c>
      <c r="D4552" t="inlineStr">
        <is>
          <t>VÄRMLANDS LÄN</t>
        </is>
      </c>
      <c r="E4552" t="inlineStr">
        <is>
          <t>GRUMS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61280-2020</t>
        </is>
      </c>
      <c r="B4553" s="1" t="n">
        <v>44155</v>
      </c>
      <c r="C4553" s="1" t="n">
        <v>45353</v>
      </c>
      <c r="D4553" t="inlineStr">
        <is>
          <t>VÄRMLANDS LÄN</t>
        </is>
      </c>
      <c r="E4553" t="inlineStr">
        <is>
          <t>ARVIKA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61970-2020</t>
        </is>
      </c>
      <c r="B4554" s="1" t="n">
        <v>44155</v>
      </c>
      <c r="C4554" s="1" t="n">
        <v>45353</v>
      </c>
      <c r="D4554" t="inlineStr">
        <is>
          <t>VÄRMLANDS LÄN</t>
        </is>
      </c>
      <c r="E4554" t="inlineStr">
        <is>
          <t>TORSBY</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61407-2020</t>
        </is>
      </c>
      <c r="B4555" s="1" t="n">
        <v>44156</v>
      </c>
      <c r="C4555" s="1" t="n">
        <v>45353</v>
      </c>
      <c r="D4555" t="inlineStr">
        <is>
          <t>VÄRMLANDS LÄN</t>
        </is>
      </c>
      <c r="E4555" t="inlineStr">
        <is>
          <t>SUNNE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61410-2020</t>
        </is>
      </c>
      <c r="B4556" s="1" t="n">
        <v>44156</v>
      </c>
      <c r="C4556" s="1" t="n">
        <v>45353</v>
      </c>
      <c r="D4556" t="inlineStr">
        <is>
          <t>VÄRMLANDS LÄN</t>
        </is>
      </c>
      <c r="E4556" t="inlineStr">
        <is>
          <t>KRISTINEHAMN</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61409-2020</t>
        </is>
      </c>
      <c r="B4557" s="1" t="n">
        <v>44156</v>
      </c>
      <c r="C4557" s="1" t="n">
        <v>45353</v>
      </c>
      <c r="D4557" t="inlineStr">
        <is>
          <t>VÄRMLANDS LÄN</t>
        </is>
      </c>
      <c r="E4557" t="inlineStr">
        <is>
          <t>KRISTINEHAMN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61734-2020</t>
        </is>
      </c>
      <c r="B4558" s="1" t="n">
        <v>44158</v>
      </c>
      <c r="C4558" s="1" t="n">
        <v>45353</v>
      </c>
      <c r="D4558" t="inlineStr">
        <is>
          <t>VÄRMLANDS LÄN</t>
        </is>
      </c>
      <c r="E4558" t="inlineStr">
        <is>
          <t>ARVIKA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61542-2020</t>
        </is>
      </c>
      <c r="B4559" s="1" t="n">
        <v>44158</v>
      </c>
      <c r="C4559" s="1" t="n">
        <v>45353</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61597-2020</t>
        </is>
      </c>
      <c r="B4560" s="1" t="n">
        <v>44158</v>
      </c>
      <c r="C4560" s="1" t="n">
        <v>45353</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61687-2020</t>
        </is>
      </c>
      <c r="B4561" s="1" t="n">
        <v>44158</v>
      </c>
      <c r="C4561" s="1" t="n">
        <v>45353</v>
      </c>
      <c r="D4561" t="inlineStr">
        <is>
          <t>VÄRMLANDS LÄN</t>
        </is>
      </c>
      <c r="E4561" t="inlineStr">
        <is>
          <t>KARLSTAD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61738-2020</t>
        </is>
      </c>
      <c r="B4562" s="1" t="n">
        <v>44158</v>
      </c>
      <c r="C4562" s="1" t="n">
        <v>45353</v>
      </c>
      <c r="D4562" t="inlineStr">
        <is>
          <t>VÄRMLANDS LÄN</t>
        </is>
      </c>
      <c r="E4562" t="inlineStr">
        <is>
          <t>TORSBY</t>
        </is>
      </c>
      <c r="F4562" t="inlineStr">
        <is>
          <t>Kommuner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61753-2020</t>
        </is>
      </c>
      <c r="B4563" s="1" t="n">
        <v>44158</v>
      </c>
      <c r="C4563" s="1" t="n">
        <v>45353</v>
      </c>
      <c r="D4563" t="inlineStr">
        <is>
          <t>VÄRMLANDS LÄN</t>
        </is>
      </c>
      <c r="E4563" t="inlineStr">
        <is>
          <t>TORSBY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61777-2020</t>
        </is>
      </c>
      <c r="B4564" s="1" t="n">
        <v>44158</v>
      </c>
      <c r="C4564" s="1" t="n">
        <v>45353</v>
      </c>
      <c r="D4564" t="inlineStr">
        <is>
          <t>VÄRMLANDS LÄN</t>
        </is>
      </c>
      <c r="E4564" t="inlineStr">
        <is>
          <t>KRISTINEHAMN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62130-2020</t>
        </is>
      </c>
      <c r="B4565" s="1" t="n">
        <v>44158</v>
      </c>
      <c r="C4565" s="1" t="n">
        <v>45353</v>
      </c>
      <c r="D4565" t="inlineStr">
        <is>
          <t>VÄRMLANDS LÄN</t>
        </is>
      </c>
      <c r="E4565" t="inlineStr">
        <is>
          <t>KARLSTAD</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61998-2020</t>
        </is>
      </c>
      <c r="B4566" s="1" t="n">
        <v>44158</v>
      </c>
      <c r="C4566" s="1" t="n">
        <v>45353</v>
      </c>
      <c r="D4566" t="inlineStr">
        <is>
          <t>VÄRMLANDS LÄN</t>
        </is>
      </c>
      <c r="E4566" t="inlineStr">
        <is>
          <t>TORSBY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61846-2020</t>
        </is>
      </c>
      <c r="B4567" s="1" t="n">
        <v>44159</v>
      </c>
      <c r="C4567" s="1" t="n">
        <v>45353</v>
      </c>
      <c r="D4567" t="inlineStr">
        <is>
          <t>VÄRMLANDS LÄN</t>
        </is>
      </c>
      <c r="E4567" t="inlineStr">
        <is>
          <t>ÅRJÄNG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62074-2020</t>
        </is>
      </c>
      <c r="B4568" s="1" t="n">
        <v>44159</v>
      </c>
      <c r="C4568" s="1" t="n">
        <v>45353</v>
      </c>
      <c r="D4568" t="inlineStr">
        <is>
          <t>VÄRMLANDS LÄN</t>
        </is>
      </c>
      <c r="E4568" t="inlineStr">
        <is>
          <t>KARLSTAD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61910-2020</t>
        </is>
      </c>
      <c r="B4569" s="1" t="n">
        <v>44159</v>
      </c>
      <c r="C4569" s="1" t="n">
        <v>45353</v>
      </c>
      <c r="D4569" t="inlineStr">
        <is>
          <t>VÄRMLANDS LÄN</t>
        </is>
      </c>
      <c r="E4569" t="inlineStr">
        <is>
          <t>TORSBY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61956-2020</t>
        </is>
      </c>
      <c r="B4570" s="1" t="n">
        <v>44159</v>
      </c>
      <c r="C4570" s="1" t="n">
        <v>45353</v>
      </c>
      <c r="D4570" t="inlineStr">
        <is>
          <t>VÄRMLANDS LÄN</t>
        </is>
      </c>
      <c r="E4570" t="inlineStr">
        <is>
          <t>TORSBY</t>
        </is>
      </c>
      <c r="F4570" t="inlineStr">
        <is>
          <t>Kommuner</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62149-2020</t>
        </is>
      </c>
      <c r="B4571" s="1" t="n">
        <v>44159</v>
      </c>
      <c r="C4571" s="1" t="n">
        <v>45353</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62165-2020</t>
        </is>
      </c>
      <c r="B4572" s="1" t="n">
        <v>44159</v>
      </c>
      <c r="C4572" s="1" t="n">
        <v>45353</v>
      </c>
      <c r="D4572" t="inlineStr">
        <is>
          <t>VÄRMLANDS LÄN</t>
        </is>
      </c>
      <c r="E4572" t="inlineStr">
        <is>
          <t>KRISTINEHAMN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62209-2020</t>
        </is>
      </c>
      <c r="B4573" s="1" t="n">
        <v>44159</v>
      </c>
      <c r="C4573" s="1" t="n">
        <v>45353</v>
      </c>
      <c r="D4573" t="inlineStr">
        <is>
          <t>VÄRMLANDS LÄN</t>
        </is>
      </c>
      <c r="E4573" t="inlineStr">
        <is>
          <t>TORSBY</t>
        </is>
      </c>
      <c r="F4573" t="inlineStr">
        <is>
          <t>Kommuner</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62156-2020</t>
        </is>
      </c>
      <c r="B4574" s="1" t="n">
        <v>44159</v>
      </c>
      <c r="C4574" s="1" t="n">
        <v>45353</v>
      </c>
      <c r="D4574" t="inlineStr">
        <is>
          <t>VÄRMLANDS LÄN</t>
        </is>
      </c>
      <c r="E4574" t="inlineStr">
        <is>
          <t>KRISTINEHAMN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62167-2020</t>
        </is>
      </c>
      <c r="B4575" s="1" t="n">
        <v>44159</v>
      </c>
      <c r="C4575" s="1" t="n">
        <v>45353</v>
      </c>
      <c r="D4575" t="inlineStr">
        <is>
          <t>VÄRMLANDS LÄN</t>
        </is>
      </c>
      <c r="E4575" t="inlineStr">
        <is>
          <t>KRISTINEHAMN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62211-2020</t>
        </is>
      </c>
      <c r="B4576" s="1" t="n">
        <v>44159</v>
      </c>
      <c r="C4576" s="1" t="n">
        <v>45353</v>
      </c>
      <c r="D4576" t="inlineStr">
        <is>
          <t>VÄRMLANDS LÄN</t>
        </is>
      </c>
      <c r="E4576" t="inlineStr">
        <is>
          <t>TORSBY</t>
        </is>
      </c>
      <c r="F4576" t="inlineStr">
        <is>
          <t>Kommuner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62171-2020</t>
        </is>
      </c>
      <c r="B4577" s="1" t="n">
        <v>44159</v>
      </c>
      <c r="C4577" s="1" t="n">
        <v>45353</v>
      </c>
      <c r="D4577" t="inlineStr">
        <is>
          <t>VÄRMLANDS LÄN</t>
        </is>
      </c>
      <c r="E4577" t="inlineStr">
        <is>
          <t>KRISTINEHAMN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62456-2020</t>
        </is>
      </c>
      <c r="B4578" s="1" t="n">
        <v>44160</v>
      </c>
      <c r="C4578" s="1" t="n">
        <v>45353</v>
      </c>
      <c r="D4578" t="inlineStr">
        <is>
          <t>VÄRMLANDS LÄN</t>
        </is>
      </c>
      <c r="E4578" t="inlineStr">
        <is>
          <t>HAMMARÖ</t>
        </is>
      </c>
      <c r="F4578" t="inlineStr">
        <is>
          <t>Kommuner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62298-2020</t>
        </is>
      </c>
      <c r="B4579" s="1" t="n">
        <v>44160</v>
      </c>
      <c r="C4579" s="1" t="n">
        <v>45353</v>
      </c>
      <c r="D4579" t="inlineStr">
        <is>
          <t>VÄRMLANDS LÄN</t>
        </is>
      </c>
      <c r="E4579" t="inlineStr">
        <is>
          <t>SUNNE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62510-2020</t>
        </is>
      </c>
      <c r="B4580" s="1" t="n">
        <v>44160</v>
      </c>
      <c r="C4580" s="1" t="n">
        <v>45353</v>
      </c>
      <c r="D4580" t="inlineStr">
        <is>
          <t>VÄRMLANDS LÄN</t>
        </is>
      </c>
      <c r="E4580" t="inlineStr">
        <is>
          <t>SUNNE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62566-2020</t>
        </is>
      </c>
      <c r="B4581" s="1" t="n">
        <v>44160</v>
      </c>
      <c r="C4581" s="1" t="n">
        <v>45353</v>
      </c>
      <c r="D4581" t="inlineStr">
        <is>
          <t>VÄRMLANDS LÄN</t>
        </is>
      </c>
      <c r="E4581" t="inlineStr">
        <is>
          <t>ARVIKA</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62245-2020</t>
        </is>
      </c>
      <c r="B4582" s="1" t="n">
        <v>44160</v>
      </c>
      <c r="C4582" s="1" t="n">
        <v>45353</v>
      </c>
      <c r="D4582" t="inlineStr">
        <is>
          <t>VÄRMLANDS LÄN</t>
        </is>
      </c>
      <c r="E4582" t="inlineStr">
        <is>
          <t>KARLSTAD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62382-2020</t>
        </is>
      </c>
      <c r="B4583" s="1" t="n">
        <v>44160</v>
      </c>
      <c r="C4583" s="1" t="n">
        <v>45353</v>
      </c>
      <c r="D4583" t="inlineStr">
        <is>
          <t>VÄRMLANDS LÄN</t>
        </is>
      </c>
      <c r="E4583" t="inlineStr">
        <is>
          <t>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62414-2020</t>
        </is>
      </c>
      <c r="B4584" s="1" t="n">
        <v>44160</v>
      </c>
      <c r="C4584" s="1" t="n">
        <v>45353</v>
      </c>
      <c r="D4584" t="inlineStr">
        <is>
          <t>VÄRMLANDS LÄN</t>
        </is>
      </c>
      <c r="E4584" t="inlineStr">
        <is>
          <t>SUNNE</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62785-2020</t>
        </is>
      </c>
      <c r="B4585" s="1" t="n">
        <v>44161</v>
      </c>
      <c r="C4585" s="1" t="n">
        <v>45353</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62713-2020</t>
        </is>
      </c>
      <c r="B4586" s="1" t="n">
        <v>44161</v>
      </c>
      <c r="C4586" s="1" t="n">
        <v>45353</v>
      </c>
      <c r="D4586" t="inlineStr">
        <is>
          <t>VÄRMLANDS LÄN</t>
        </is>
      </c>
      <c r="E4586" t="inlineStr">
        <is>
          <t>ARVIKA</t>
        </is>
      </c>
      <c r="F4586" t="inlineStr">
        <is>
          <t>Kyrkan</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62793-2020</t>
        </is>
      </c>
      <c r="B4587" s="1" t="n">
        <v>44161</v>
      </c>
      <c r="C4587" s="1" t="n">
        <v>45353</v>
      </c>
      <c r="D4587" t="inlineStr">
        <is>
          <t>VÄRMLANDS LÄN</t>
        </is>
      </c>
      <c r="E4587" t="inlineStr">
        <is>
          <t>SÄFFLE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62835-2020</t>
        </is>
      </c>
      <c r="B4588" s="1" t="n">
        <v>44161</v>
      </c>
      <c r="C4588" s="1" t="n">
        <v>45353</v>
      </c>
      <c r="D4588" t="inlineStr">
        <is>
          <t>VÄRMLANDS LÄN</t>
        </is>
      </c>
      <c r="E4588" t="inlineStr">
        <is>
          <t>HAGFORS</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62790-2020</t>
        </is>
      </c>
      <c r="B4589" s="1" t="n">
        <v>44161</v>
      </c>
      <c r="C4589" s="1" t="n">
        <v>45353</v>
      </c>
      <c r="D4589" t="inlineStr">
        <is>
          <t>VÄRMLANDS LÄN</t>
        </is>
      </c>
      <c r="E4589" t="inlineStr">
        <is>
          <t>SÄFFLE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62842-2020</t>
        </is>
      </c>
      <c r="B4590" s="1" t="n">
        <v>44161</v>
      </c>
      <c r="C4590" s="1" t="n">
        <v>45353</v>
      </c>
      <c r="D4590" t="inlineStr">
        <is>
          <t>VÄRMLANDS LÄN</t>
        </is>
      </c>
      <c r="E4590" t="inlineStr">
        <is>
          <t>MUNKFORS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63478-2020</t>
        </is>
      </c>
      <c r="B4591" s="1" t="n">
        <v>44161</v>
      </c>
      <c r="C4591" s="1" t="n">
        <v>45353</v>
      </c>
      <c r="D4591" t="inlineStr">
        <is>
          <t>VÄRMLANDS LÄN</t>
        </is>
      </c>
      <c r="E4591" t="inlineStr">
        <is>
          <t>HAGFORS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62891-2020</t>
        </is>
      </c>
      <c r="B4592" s="1" t="n">
        <v>44161</v>
      </c>
      <c r="C4592" s="1" t="n">
        <v>45353</v>
      </c>
      <c r="D4592" t="inlineStr">
        <is>
          <t>VÄRMLANDS LÄN</t>
        </is>
      </c>
      <c r="E4592" t="inlineStr">
        <is>
          <t>HAGFORS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62608-2020</t>
        </is>
      </c>
      <c r="B4593" s="1" t="n">
        <v>44161</v>
      </c>
      <c r="C4593" s="1" t="n">
        <v>45353</v>
      </c>
      <c r="D4593" t="inlineStr">
        <is>
          <t>VÄRMLANDS LÄN</t>
        </is>
      </c>
      <c r="E4593" t="inlineStr">
        <is>
          <t>HAMMARÖ</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63473-2020</t>
        </is>
      </c>
      <c r="B4594" s="1" t="n">
        <v>44161</v>
      </c>
      <c r="C4594" s="1" t="n">
        <v>45353</v>
      </c>
      <c r="D4594" t="inlineStr">
        <is>
          <t>VÄRMLANDS LÄN</t>
        </is>
      </c>
      <c r="E4594" t="inlineStr">
        <is>
          <t>HAGFORS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62644-2020</t>
        </is>
      </c>
      <c r="B4595" s="1" t="n">
        <v>44161</v>
      </c>
      <c r="C4595" s="1" t="n">
        <v>45353</v>
      </c>
      <c r="D4595" t="inlineStr">
        <is>
          <t>VÄRMLANDS LÄN</t>
        </is>
      </c>
      <c r="E4595" t="inlineStr">
        <is>
          <t>FILIPSTAD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63494-2020</t>
        </is>
      </c>
      <c r="B4596" s="1" t="n">
        <v>44161</v>
      </c>
      <c r="C4596" s="1" t="n">
        <v>45353</v>
      </c>
      <c r="D4596" t="inlineStr">
        <is>
          <t>VÄRMLANDS LÄN</t>
        </is>
      </c>
      <c r="E4596" t="inlineStr">
        <is>
          <t>SÄFFLE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62915-2020</t>
        </is>
      </c>
      <c r="B4597" s="1" t="n">
        <v>44162</v>
      </c>
      <c r="C4597" s="1" t="n">
        <v>45353</v>
      </c>
      <c r="D4597" t="inlineStr">
        <is>
          <t>VÄRMLANDS LÄN</t>
        </is>
      </c>
      <c r="E4597" t="inlineStr">
        <is>
          <t>TORSBY</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62981-2020</t>
        </is>
      </c>
      <c r="B4598" s="1" t="n">
        <v>44162</v>
      </c>
      <c r="C4598" s="1" t="n">
        <v>45353</v>
      </c>
      <c r="D4598" t="inlineStr">
        <is>
          <t>VÄRMLANDS LÄN</t>
        </is>
      </c>
      <c r="E4598" t="inlineStr">
        <is>
          <t>EDA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63117-2020</t>
        </is>
      </c>
      <c r="B4599" s="1" t="n">
        <v>44162</v>
      </c>
      <c r="C4599" s="1" t="n">
        <v>45353</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63224-2020</t>
        </is>
      </c>
      <c r="B4600" s="1" t="n">
        <v>44163</v>
      </c>
      <c r="C4600" s="1" t="n">
        <v>45353</v>
      </c>
      <c r="D4600" t="inlineStr">
        <is>
          <t>VÄRMLANDS LÄN</t>
        </is>
      </c>
      <c r="E4600" t="inlineStr">
        <is>
          <t>FILIPSTAD</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63383-2020</t>
        </is>
      </c>
      <c r="B4601" s="1" t="n">
        <v>44165</v>
      </c>
      <c r="C4601" s="1" t="n">
        <v>45353</v>
      </c>
      <c r="D4601" t="inlineStr">
        <is>
          <t>VÄRMLANDS LÄN</t>
        </is>
      </c>
      <c r="E4601" t="inlineStr">
        <is>
          <t>ÅRJÄNG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63393-2020</t>
        </is>
      </c>
      <c r="B4602" s="1" t="n">
        <v>44165</v>
      </c>
      <c r="C4602" s="1" t="n">
        <v>45353</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63415-2020</t>
        </is>
      </c>
      <c r="B4603" s="1" t="n">
        <v>44165</v>
      </c>
      <c r="C4603" s="1" t="n">
        <v>45353</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63471-2020</t>
        </is>
      </c>
      <c r="B4604" s="1" t="n">
        <v>44165</v>
      </c>
      <c r="C4604" s="1" t="n">
        <v>45353</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63486-2020</t>
        </is>
      </c>
      <c r="B4605" s="1" t="n">
        <v>44165</v>
      </c>
      <c r="C4605" s="1" t="n">
        <v>45353</v>
      </c>
      <c r="D4605" t="inlineStr">
        <is>
          <t>VÄRMLANDS LÄN</t>
        </is>
      </c>
      <c r="E4605" t="inlineStr">
        <is>
          <t>KARLSTAD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63536-2020</t>
        </is>
      </c>
      <c r="B4606" s="1" t="n">
        <v>44165</v>
      </c>
      <c r="C4606" s="1" t="n">
        <v>45353</v>
      </c>
      <c r="D4606" t="inlineStr">
        <is>
          <t>VÄRMLANDS LÄN</t>
        </is>
      </c>
      <c r="E4606" t="inlineStr">
        <is>
          <t>ARVIKA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63565-2020</t>
        </is>
      </c>
      <c r="B4607" s="1" t="n">
        <v>44165</v>
      </c>
      <c r="C4607" s="1" t="n">
        <v>45353</v>
      </c>
      <c r="D4607" t="inlineStr">
        <is>
          <t>VÄRMLANDS LÄN</t>
        </is>
      </c>
      <c r="E4607" t="inlineStr">
        <is>
          <t>TORSBY</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63669-2020</t>
        </is>
      </c>
      <c r="B4608" s="1" t="n">
        <v>44166</v>
      </c>
      <c r="C4608" s="1" t="n">
        <v>45353</v>
      </c>
      <c r="D4608" t="inlineStr">
        <is>
          <t>VÄRMLANDS LÄN</t>
        </is>
      </c>
      <c r="E4608" t="inlineStr">
        <is>
          <t>SUNNE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63720-2020</t>
        </is>
      </c>
      <c r="B4609" s="1" t="n">
        <v>44166</v>
      </c>
      <c r="C4609" s="1" t="n">
        <v>45353</v>
      </c>
      <c r="D4609" t="inlineStr">
        <is>
          <t>VÄRMLANDS LÄN</t>
        </is>
      </c>
      <c r="E4609" t="inlineStr">
        <is>
          <t>ARVIKA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63652-2020</t>
        </is>
      </c>
      <c r="B4610" s="1" t="n">
        <v>44166</v>
      </c>
      <c r="C4610" s="1" t="n">
        <v>45353</v>
      </c>
      <c r="D4610" t="inlineStr">
        <is>
          <t>VÄRMLANDS LÄN</t>
        </is>
      </c>
      <c r="E4610" t="inlineStr">
        <is>
          <t>EDA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63859-2020</t>
        </is>
      </c>
      <c r="B4611" s="1" t="n">
        <v>44166</v>
      </c>
      <c r="C4611" s="1" t="n">
        <v>45353</v>
      </c>
      <c r="D4611" t="inlineStr">
        <is>
          <t>VÄRMLANDS LÄN</t>
        </is>
      </c>
      <c r="E4611" t="inlineStr">
        <is>
          <t>EDA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63675-2020</t>
        </is>
      </c>
      <c r="B4612" s="1" t="n">
        <v>44166</v>
      </c>
      <c r="C4612" s="1" t="n">
        <v>45353</v>
      </c>
      <c r="D4612" t="inlineStr">
        <is>
          <t>VÄRMLANDS LÄN</t>
        </is>
      </c>
      <c r="E4612" t="inlineStr">
        <is>
          <t>EDA</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64684-2020</t>
        </is>
      </c>
      <c r="B4613" s="1" t="n">
        <v>44166</v>
      </c>
      <c r="C4613" s="1" t="n">
        <v>45353</v>
      </c>
      <c r="D4613" t="inlineStr">
        <is>
          <t>VÄRMLANDS LÄN</t>
        </is>
      </c>
      <c r="E4613" t="inlineStr">
        <is>
          <t>SUNNE</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63957-2020</t>
        </is>
      </c>
      <c r="B4614" s="1" t="n">
        <v>44167</v>
      </c>
      <c r="C4614" s="1" t="n">
        <v>45353</v>
      </c>
      <c r="D4614" t="inlineStr">
        <is>
          <t>VÄRMLANDS LÄN</t>
        </is>
      </c>
      <c r="E4614" t="inlineStr">
        <is>
          <t>HAGFORS</t>
        </is>
      </c>
      <c r="F4614" t="inlineStr">
        <is>
          <t>Bergvik skog väst AB</t>
        </is>
      </c>
      <c r="G4614" t="n">
        <v>25.9</v>
      </c>
      <c r="H4614" t="n">
        <v>0</v>
      </c>
      <c r="I4614" t="n">
        <v>0</v>
      </c>
      <c r="J4614" t="n">
        <v>0</v>
      </c>
      <c r="K4614" t="n">
        <v>0</v>
      </c>
      <c r="L4614" t="n">
        <v>0</v>
      </c>
      <c r="M4614" t="n">
        <v>0</v>
      </c>
      <c r="N4614" t="n">
        <v>0</v>
      </c>
      <c r="O4614" t="n">
        <v>0</v>
      </c>
      <c r="P4614" t="n">
        <v>0</v>
      </c>
      <c r="Q4614" t="n">
        <v>0</v>
      </c>
      <c r="R4614" s="2" t="inlineStr"/>
    </row>
    <row r="4615" ht="15" customHeight="1">
      <c r="A4615" t="inlineStr">
        <is>
          <t>A 63935-2020</t>
        </is>
      </c>
      <c r="B4615" s="1" t="n">
        <v>44167</v>
      </c>
      <c r="C4615" s="1" t="n">
        <v>45353</v>
      </c>
      <c r="D4615" t="inlineStr">
        <is>
          <t>VÄRMLANDS LÄN</t>
        </is>
      </c>
      <c r="E4615" t="inlineStr">
        <is>
          <t>HAGFORS</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63976-2020</t>
        </is>
      </c>
      <c r="B4616" s="1" t="n">
        <v>44167</v>
      </c>
      <c r="C4616" s="1" t="n">
        <v>45353</v>
      </c>
      <c r="D4616" t="inlineStr">
        <is>
          <t>VÄRMLANDS LÄN</t>
        </is>
      </c>
      <c r="E4616" t="inlineStr">
        <is>
          <t>HAGFORS</t>
        </is>
      </c>
      <c r="F4616" t="inlineStr">
        <is>
          <t>Bergvik skog väst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64025-2020</t>
        </is>
      </c>
      <c r="B4617" s="1" t="n">
        <v>44167</v>
      </c>
      <c r="C4617" s="1" t="n">
        <v>45353</v>
      </c>
      <c r="D4617" t="inlineStr">
        <is>
          <t>VÄRMLANDS LÄN</t>
        </is>
      </c>
      <c r="E4617" t="inlineStr">
        <is>
          <t>FILIPSTAD</t>
        </is>
      </c>
      <c r="F4617" t="inlineStr">
        <is>
          <t>Bergvik skog väst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64318-2020</t>
        </is>
      </c>
      <c r="B4618" s="1" t="n">
        <v>44168</v>
      </c>
      <c r="C4618" s="1" t="n">
        <v>45353</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64271-2020</t>
        </is>
      </c>
      <c r="B4619" s="1" t="n">
        <v>44168</v>
      </c>
      <c r="C4619" s="1" t="n">
        <v>45353</v>
      </c>
      <c r="D4619" t="inlineStr">
        <is>
          <t>VÄRMLANDS LÄN</t>
        </is>
      </c>
      <c r="E4619" t="inlineStr">
        <is>
          <t>ÅRJÄNG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64332-2020</t>
        </is>
      </c>
      <c r="B4620" s="1" t="n">
        <v>44168</v>
      </c>
      <c r="C4620" s="1" t="n">
        <v>45353</v>
      </c>
      <c r="D4620" t="inlineStr">
        <is>
          <t>VÄRMLANDS LÄN</t>
        </is>
      </c>
      <c r="E4620" t="inlineStr">
        <is>
          <t>SÄFFLE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64216-2020</t>
        </is>
      </c>
      <c r="B4621" s="1" t="n">
        <v>44168</v>
      </c>
      <c r="C4621" s="1" t="n">
        <v>45353</v>
      </c>
      <c r="D4621" t="inlineStr">
        <is>
          <t>VÄRMLANDS LÄN</t>
        </is>
      </c>
      <c r="E4621" t="inlineStr">
        <is>
          <t>ÅRJÄNG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64396-2020</t>
        </is>
      </c>
      <c r="B4622" s="1" t="n">
        <v>44168</v>
      </c>
      <c r="C4622" s="1" t="n">
        <v>45353</v>
      </c>
      <c r="D4622" t="inlineStr">
        <is>
          <t>VÄRMLANDS LÄN</t>
        </is>
      </c>
      <c r="E4622" t="inlineStr">
        <is>
          <t>TORSBY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64411-2020</t>
        </is>
      </c>
      <c r="B4623" s="1" t="n">
        <v>44168</v>
      </c>
      <c r="C4623" s="1" t="n">
        <v>45353</v>
      </c>
      <c r="D4623" t="inlineStr">
        <is>
          <t>VÄRMLANDS LÄN</t>
        </is>
      </c>
      <c r="E4623" t="inlineStr">
        <is>
          <t>SUNNE</t>
        </is>
      </c>
      <c r="F4623" t="inlineStr">
        <is>
          <t>Övriga Aktiebolag</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64434-2020</t>
        </is>
      </c>
      <c r="B4624" s="1" t="n">
        <v>44168</v>
      </c>
      <c r="C4624" s="1" t="n">
        <v>45353</v>
      </c>
      <c r="D4624" t="inlineStr">
        <is>
          <t>VÄRMLANDS LÄN</t>
        </is>
      </c>
      <c r="E4624" t="inlineStr">
        <is>
          <t>TORSBY</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65120-2020</t>
        </is>
      </c>
      <c r="B4625" s="1" t="n">
        <v>44168</v>
      </c>
      <c r="C4625" s="1" t="n">
        <v>45353</v>
      </c>
      <c r="D4625" t="inlineStr">
        <is>
          <t>VÄRMLANDS LÄN</t>
        </is>
      </c>
      <c r="E4625" t="inlineStr">
        <is>
          <t>KRISTINEHAMN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64756-2020</t>
        </is>
      </c>
      <c r="B4626" s="1" t="n">
        <v>44169</v>
      </c>
      <c r="C4626" s="1" t="n">
        <v>45353</v>
      </c>
      <c r="D4626" t="inlineStr">
        <is>
          <t>VÄRMLANDS LÄN</t>
        </is>
      </c>
      <c r="E4626" t="inlineStr">
        <is>
          <t>FILIPSTAD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64622-2020</t>
        </is>
      </c>
      <c r="B4627" s="1" t="n">
        <v>44169</v>
      </c>
      <c r="C4627" s="1" t="n">
        <v>45353</v>
      </c>
      <c r="D4627" t="inlineStr">
        <is>
          <t>VÄRMLANDS LÄN</t>
        </is>
      </c>
      <c r="E4627" t="inlineStr">
        <is>
          <t>FILIPSTAD</t>
        </is>
      </c>
      <c r="F4627" t="inlineStr">
        <is>
          <t>Bergvik skog väst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64787-2020</t>
        </is>
      </c>
      <c r="B4628" s="1" t="n">
        <v>44169</v>
      </c>
      <c r="C4628" s="1" t="n">
        <v>45353</v>
      </c>
      <c r="D4628" t="inlineStr">
        <is>
          <t>VÄRMLANDS LÄN</t>
        </is>
      </c>
      <c r="E4628" t="inlineStr">
        <is>
          <t>FILIPSTAD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64786-2020</t>
        </is>
      </c>
      <c r="B4629" s="1" t="n">
        <v>44169</v>
      </c>
      <c r="C4629" s="1" t="n">
        <v>45353</v>
      </c>
      <c r="D4629" t="inlineStr">
        <is>
          <t>VÄRMLANDS LÄN</t>
        </is>
      </c>
      <c r="E4629" t="inlineStr">
        <is>
          <t>FILIPSTAD</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64792-2020</t>
        </is>
      </c>
      <c r="B4630" s="1" t="n">
        <v>44169</v>
      </c>
      <c r="C4630" s="1" t="n">
        <v>45353</v>
      </c>
      <c r="D4630" t="inlineStr">
        <is>
          <t>VÄRMLANDS LÄN</t>
        </is>
      </c>
      <c r="E4630" t="inlineStr">
        <is>
          <t>EDA</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64754-2020</t>
        </is>
      </c>
      <c r="B4631" s="1" t="n">
        <v>44169</v>
      </c>
      <c r="C4631" s="1" t="n">
        <v>45353</v>
      </c>
      <c r="D4631" t="inlineStr">
        <is>
          <t>VÄRMLANDS LÄN</t>
        </is>
      </c>
      <c r="E4631" t="inlineStr">
        <is>
          <t>FILIPSTAD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64776-2020</t>
        </is>
      </c>
      <c r="B4632" s="1" t="n">
        <v>44169</v>
      </c>
      <c r="C4632" s="1" t="n">
        <v>45353</v>
      </c>
      <c r="D4632" t="inlineStr">
        <is>
          <t>VÄRMLANDS LÄN</t>
        </is>
      </c>
      <c r="E4632" t="inlineStr">
        <is>
          <t>FILIPSTAD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65369-2020</t>
        </is>
      </c>
      <c r="B4633" s="1" t="n">
        <v>44169</v>
      </c>
      <c r="C4633" s="1" t="n">
        <v>45353</v>
      </c>
      <c r="D4633" t="inlineStr">
        <is>
          <t>VÄRMLANDS LÄN</t>
        </is>
      </c>
      <c r="E4633" t="inlineStr">
        <is>
          <t>TORSBY</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65482-2020</t>
        </is>
      </c>
      <c r="B4634" s="1" t="n">
        <v>44169</v>
      </c>
      <c r="C4634" s="1" t="n">
        <v>45353</v>
      </c>
      <c r="D4634" t="inlineStr">
        <is>
          <t>VÄRMLANDS LÄN</t>
        </is>
      </c>
      <c r="E4634" t="inlineStr">
        <is>
          <t>TORSBY</t>
        </is>
      </c>
      <c r="F4634" t="inlineStr">
        <is>
          <t>Kyrkan</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65353-2020</t>
        </is>
      </c>
      <c r="B4635" s="1" t="n">
        <v>44169</v>
      </c>
      <c r="C4635" s="1" t="n">
        <v>45353</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65398-2020</t>
        </is>
      </c>
      <c r="B4636" s="1" t="n">
        <v>44169</v>
      </c>
      <c r="C4636" s="1" t="n">
        <v>45353</v>
      </c>
      <c r="D4636" t="inlineStr">
        <is>
          <t>VÄRMLANDS LÄN</t>
        </is>
      </c>
      <c r="E4636" t="inlineStr">
        <is>
          <t>TORSBY</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64879-2020</t>
        </is>
      </c>
      <c r="B4637" s="1" t="n">
        <v>44171</v>
      </c>
      <c r="C4637" s="1" t="n">
        <v>45353</v>
      </c>
      <c r="D4637" t="inlineStr">
        <is>
          <t>VÄRMLANDS LÄN</t>
        </is>
      </c>
      <c r="E4637" t="inlineStr">
        <is>
          <t>GRUMS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65171-2020</t>
        </is>
      </c>
      <c r="B4638" s="1" t="n">
        <v>44172</v>
      </c>
      <c r="C4638" s="1" t="n">
        <v>45353</v>
      </c>
      <c r="D4638" t="inlineStr">
        <is>
          <t>VÄRMLANDS LÄN</t>
        </is>
      </c>
      <c r="E4638" t="inlineStr">
        <is>
          <t>SUNNE</t>
        </is>
      </c>
      <c r="F4638" t="inlineStr">
        <is>
          <t>Övriga Aktiebolag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65210-2020</t>
        </is>
      </c>
      <c r="B4639" s="1" t="n">
        <v>44172</v>
      </c>
      <c r="C4639" s="1" t="n">
        <v>45353</v>
      </c>
      <c r="D4639" t="inlineStr">
        <is>
          <t>VÄRMLANDS LÄN</t>
        </is>
      </c>
      <c r="E4639" t="inlineStr">
        <is>
          <t>SUNNE</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65169-2020</t>
        </is>
      </c>
      <c r="B4640" s="1" t="n">
        <v>44172</v>
      </c>
      <c r="C4640" s="1" t="n">
        <v>45353</v>
      </c>
      <c r="D4640" t="inlineStr">
        <is>
          <t>VÄRMLANDS LÄN</t>
        </is>
      </c>
      <c r="E4640" t="inlineStr">
        <is>
          <t>SUNNE</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65075-2020</t>
        </is>
      </c>
      <c r="B4641" s="1" t="n">
        <v>44172</v>
      </c>
      <c r="C4641" s="1" t="n">
        <v>45353</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65678-2020</t>
        </is>
      </c>
      <c r="B4642" s="1" t="n">
        <v>44172</v>
      </c>
      <c r="C4642" s="1" t="n">
        <v>45353</v>
      </c>
      <c r="D4642" t="inlineStr">
        <is>
          <t>VÄRMLANDS LÄN</t>
        </is>
      </c>
      <c r="E4642" t="inlineStr">
        <is>
          <t>TORSBY</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65314-2020</t>
        </is>
      </c>
      <c r="B4643" s="1" t="n">
        <v>44173</v>
      </c>
      <c r="C4643" s="1" t="n">
        <v>45353</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65293-2020</t>
        </is>
      </c>
      <c r="B4644" s="1" t="n">
        <v>44173</v>
      </c>
      <c r="C4644" s="1" t="n">
        <v>45353</v>
      </c>
      <c r="D4644" t="inlineStr">
        <is>
          <t>VÄRMLANDS LÄN</t>
        </is>
      </c>
      <c r="E4644" t="inlineStr">
        <is>
          <t>FORSHAGA</t>
        </is>
      </c>
      <c r="F4644" t="inlineStr">
        <is>
          <t>Bergvik skog väst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65613-2020</t>
        </is>
      </c>
      <c r="B4645" s="1" t="n">
        <v>44173</v>
      </c>
      <c r="C4645" s="1" t="n">
        <v>45353</v>
      </c>
      <c r="D4645" t="inlineStr">
        <is>
          <t>VÄRMLANDS LÄN</t>
        </is>
      </c>
      <c r="E4645" t="inlineStr">
        <is>
          <t>EDA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65827-2020</t>
        </is>
      </c>
      <c r="B4646" s="1" t="n">
        <v>44173</v>
      </c>
      <c r="C4646" s="1" t="n">
        <v>45353</v>
      </c>
      <c r="D4646" t="inlineStr">
        <is>
          <t>VÄRMLANDS LÄN</t>
        </is>
      </c>
      <c r="E4646" t="inlineStr">
        <is>
          <t>TORSBY</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65818-2020</t>
        </is>
      </c>
      <c r="B4647" s="1" t="n">
        <v>44174</v>
      </c>
      <c r="C4647" s="1" t="n">
        <v>45353</v>
      </c>
      <c r="D4647" t="inlineStr">
        <is>
          <t>VÄRMLANDS LÄN</t>
        </is>
      </c>
      <c r="E4647" t="inlineStr">
        <is>
          <t>SUNNE</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65751-2020</t>
        </is>
      </c>
      <c r="B4648" s="1" t="n">
        <v>44174</v>
      </c>
      <c r="C4648" s="1" t="n">
        <v>45353</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65773-2020</t>
        </is>
      </c>
      <c r="B4649" s="1" t="n">
        <v>44174</v>
      </c>
      <c r="C4649" s="1" t="n">
        <v>45353</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65781-2020</t>
        </is>
      </c>
      <c r="B4650" s="1" t="n">
        <v>44174</v>
      </c>
      <c r="C4650" s="1" t="n">
        <v>45353</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66334-2020</t>
        </is>
      </c>
      <c r="B4651" s="1" t="n">
        <v>44174</v>
      </c>
      <c r="C4651" s="1" t="n">
        <v>45353</v>
      </c>
      <c r="D4651" t="inlineStr">
        <is>
          <t>VÄRMLANDS LÄN</t>
        </is>
      </c>
      <c r="E4651" t="inlineStr">
        <is>
          <t>ÅRJÄNG</t>
        </is>
      </c>
      <c r="F4651" t="inlineStr">
        <is>
          <t>Övriga Aktiebolag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66703-2020</t>
        </is>
      </c>
      <c r="B4652" s="1" t="n">
        <v>44174</v>
      </c>
      <c r="C4652" s="1" t="n">
        <v>45353</v>
      </c>
      <c r="D4652" t="inlineStr">
        <is>
          <t>VÄRMLANDS LÄN</t>
        </is>
      </c>
      <c r="E4652" t="inlineStr">
        <is>
          <t>TORSBY</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65920-2020</t>
        </is>
      </c>
      <c r="B4653" s="1" t="n">
        <v>44175</v>
      </c>
      <c r="C4653" s="1" t="n">
        <v>45353</v>
      </c>
      <c r="D4653" t="inlineStr">
        <is>
          <t>VÄRMLANDS LÄN</t>
        </is>
      </c>
      <c r="E4653" t="inlineStr">
        <is>
          <t>KARLSTAD</t>
        </is>
      </c>
      <c r="F4653" t="inlineStr">
        <is>
          <t>Bergvik skog väst AB</t>
        </is>
      </c>
      <c r="G4653" t="n">
        <v>11.8</v>
      </c>
      <c r="H4653" t="n">
        <v>0</v>
      </c>
      <c r="I4653" t="n">
        <v>0</v>
      </c>
      <c r="J4653" t="n">
        <v>0</v>
      </c>
      <c r="K4653" t="n">
        <v>0</v>
      </c>
      <c r="L4653" t="n">
        <v>0</v>
      </c>
      <c r="M4653" t="n">
        <v>0</v>
      </c>
      <c r="N4653" t="n">
        <v>0</v>
      </c>
      <c r="O4653" t="n">
        <v>0</v>
      </c>
      <c r="P4653" t="n">
        <v>0</v>
      </c>
      <c r="Q4653" t="n">
        <v>0</v>
      </c>
      <c r="R4653" s="2" t="inlineStr"/>
    </row>
    <row r="4654" ht="15" customHeight="1">
      <c r="A4654" t="inlineStr">
        <is>
          <t>A 65940-2020</t>
        </is>
      </c>
      <c r="B4654" s="1" t="n">
        <v>44175</v>
      </c>
      <c r="C4654" s="1" t="n">
        <v>45353</v>
      </c>
      <c r="D4654" t="inlineStr">
        <is>
          <t>VÄRMLANDS LÄN</t>
        </is>
      </c>
      <c r="E4654" t="inlineStr">
        <is>
          <t>FORSHAGA</t>
        </is>
      </c>
      <c r="F4654" t="inlineStr">
        <is>
          <t>Bergvik skog väst AB</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66080-2020</t>
        </is>
      </c>
      <c r="B4655" s="1" t="n">
        <v>44175</v>
      </c>
      <c r="C4655" s="1" t="n">
        <v>45353</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66165-2020</t>
        </is>
      </c>
      <c r="B4656" s="1" t="n">
        <v>44175</v>
      </c>
      <c r="C4656" s="1" t="n">
        <v>45353</v>
      </c>
      <c r="D4656" t="inlineStr">
        <is>
          <t>VÄRMLANDS LÄN</t>
        </is>
      </c>
      <c r="E4656" t="inlineStr">
        <is>
          <t>HAGFORS</t>
        </is>
      </c>
      <c r="F4656" t="inlineStr">
        <is>
          <t>Bergvik skog väst AB</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66091-2020</t>
        </is>
      </c>
      <c r="B4657" s="1" t="n">
        <v>44175</v>
      </c>
      <c r="C4657" s="1" t="n">
        <v>45353</v>
      </c>
      <c r="D4657" t="inlineStr">
        <is>
          <t>VÄRMLANDS LÄN</t>
        </is>
      </c>
      <c r="E4657" t="inlineStr">
        <is>
          <t>HAGFORS</t>
        </is>
      </c>
      <c r="F4657" t="inlineStr">
        <is>
          <t>Bergvik skog väst AB</t>
        </is>
      </c>
      <c r="G4657" t="n">
        <v>11.6</v>
      </c>
      <c r="H4657" t="n">
        <v>0</v>
      </c>
      <c r="I4657" t="n">
        <v>0</v>
      </c>
      <c r="J4657" t="n">
        <v>0</v>
      </c>
      <c r="K4657" t="n">
        <v>0</v>
      </c>
      <c r="L4657" t="n">
        <v>0</v>
      </c>
      <c r="M4657" t="n">
        <v>0</v>
      </c>
      <c r="N4657" t="n">
        <v>0</v>
      </c>
      <c r="O4657" t="n">
        <v>0</v>
      </c>
      <c r="P4657" t="n">
        <v>0</v>
      </c>
      <c r="Q4657" t="n">
        <v>0</v>
      </c>
      <c r="R4657" s="2" t="inlineStr"/>
    </row>
    <row r="4658" ht="15" customHeight="1">
      <c r="A4658" t="inlineStr">
        <is>
          <t>A 66112-2020</t>
        </is>
      </c>
      <c r="B4658" s="1" t="n">
        <v>44175</v>
      </c>
      <c r="C4658" s="1" t="n">
        <v>45353</v>
      </c>
      <c r="D4658" t="inlineStr">
        <is>
          <t>VÄRMLANDS LÄN</t>
        </is>
      </c>
      <c r="E4658" t="inlineStr">
        <is>
          <t>HAGFORS</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66141-2020</t>
        </is>
      </c>
      <c r="B4659" s="1" t="n">
        <v>44175</v>
      </c>
      <c r="C4659" s="1" t="n">
        <v>45353</v>
      </c>
      <c r="D4659" t="inlineStr">
        <is>
          <t>VÄRMLANDS LÄN</t>
        </is>
      </c>
      <c r="E4659" t="inlineStr">
        <is>
          <t>HAGFORS</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66194-2020</t>
        </is>
      </c>
      <c r="B4660" s="1" t="n">
        <v>44175</v>
      </c>
      <c r="C4660" s="1" t="n">
        <v>45353</v>
      </c>
      <c r="D4660" t="inlineStr">
        <is>
          <t>VÄRMLANDS LÄN</t>
        </is>
      </c>
      <c r="E4660" t="inlineStr">
        <is>
          <t>TORSBY</t>
        </is>
      </c>
      <c r="F4660" t="inlineStr">
        <is>
          <t>Bergvik skog väst AB</t>
        </is>
      </c>
      <c r="G4660" t="n">
        <v>18.4</v>
      </c>
      <c r="H4660" t="n">
        <v>0</v>
      </c>
      <c r="I4660" t="n">
        <v>0</v>
      </c>
      <c r="J4660" t="n">
        <v>0</v>
      </c>
      <c r="K4660" t="n">
        <v>0</v>
      </c>
      <c r="L4660" t="n">
        <v>0</v>
      </c>
      <c r="M4660" t="n">
        <v>0</v>
      </c>
      <c r="N4660" t="n">
        <v>0</v>
      </c>
      <c r="O4660" t="n">
        <v>0</v>
      </c>
      <c r="P4660" t="n">
        <v>0</v>
      </c>
      <c r="Q4660" t="n">
        <v>0</v>
      </c>
      <c r="R4660" s="2" t="inlineStr"/>
    </row>
    <row r="4661" ht="15" customHeight="1">
      <c r="A4661" t="inlineStr">
        <is>
          <t>A 66208-2020</t>
        </is>
      </c>
      <c r="B4661" s="1" t="n">
        <v>44175</v>
      </c>
      <c r="C4661" s="1" t="n">
        <v>45353</v>
      </c>
      <c r="D4661" t="inlineStr">
        <is>
          <t>VÄRMLANDS LÄN</t>
        </is>
      </c>
      <c r="E4661" t="inlineStr">
        <is>
          <t>SUNNE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66178-2020</t>
        </is>
      </c>
      <c r="B4662" s="1" t="n">
        <v>44175</v>
      </c>
      <c r="C4662" s="1" t="n">
        <v>45353</v>
      </c>
      <c r="D4662" t="inlineStr">
        <is>
          <t>VÄRMLANDS LÄN</t>
        </is>
      </c>
      <c r="E4662" t="inlineStr">
        <is>
          <t>EDA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66200-2020</t>
        </is>
      </c>
      <c r="B4663" s="1" t="n">
        <v>44175</v>
      </c>
      <c r="C4663" s="1" t="n">
        <v>45353</v>
      </c>
      <c r="D4663" t="inlineStr">
        <is>
          <t>VÄRMLANDS LÄN</t>
        </is>
      </c>
      <c r="E4663" t="inlineStr">
        <is>
          <t>EDA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66966-2020</t>
        </is>
      </c>
      <c r="B4664" s="1" t="n">
        <v>44175</v>
      </c>
      <c r="C4664" s="1" t="n">
        <v>45353</v>
      </c>
      <c r="D4664" t="inlineStr">
        <is>
          <t>VÄRMLANDS LÄN</t>
        </is>
      </c>
      <c r="E4664" t="inlineStr">
        <is>
          <t>SÄFFLE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65950-2020</t>
        </is>
      </c>
      <c r="B4665" s="1" t="n">
        <v>44175</v>
      </c>
      <c r="C4665" s="1" t="n">
        <v>45353</v>
      </c>
      <c r="D4665" t="inlineStr">
        <is>
          <t>VÄRMLANDS LÄN</t>
        </is>
      </c>
      <c r="E4665" t="inlineStr">
        <is>
          <t>ÅRJÄNG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66294-2020</t>
        </is>
      </c>
      <c r="B4666" s="1" t="n">
        <v>44176</v>
      </c>
      <c r="C4666" s="1" t="n">
        <v>45353</v>
      </c>
      <c r="D4666" t="inlineStr">
        <is>
          <t>VÄRMLANDS LÄN</t>
        </is>
      </c>
      <c r="E4666" t="inlineStr">
        <is>
          <t>SUNNE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66326-2020</t>
        </is>
      </c>
      <c r="B4667" s="1" t="n">
        <v>44176</v>
      </c>
      <c r="C4667" s="1" t="n">
        <v>45353</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66363-2020</t>
        </is>
      </c>
      <c r="B4668" s="1" t="n">
        <v>44176</v>
      </c>
      <c r="C4668" s="1" t="n">
        <v>45353</v>
      </c>
      <c r="D4668" t="inlineStr">
        <is>
          <t>VÄRMLANDS LÄN</t>
        </is>
      </c>
      <c r="E4668" t="inlineStr">
        <is>
          <t>FILIPSTAD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66427-2020</t>
        </is>
      </c>
      <c r="B4669" s="1" t="n">
        <v>44176</v>
      </c>
      <c r="C4669" s="1" t="n">
        <v>45353</v>
      </c>
      <c r="D4669" t="inlineStr">
        <is>
          <t>VÄRMLANDS LÄN</t>
        </is>
      </c>
      <c r="E4669" t="inlineStr">
        <is>
          <t>FILIPSTAD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66415-2020</t>
        </is>
      </c>
      <c r="B4670" s="1" t="n">
        <v>44176</v>
      </c>
      <c r="C4670" s="1" t="n">
        <v>45353</v>
      </c>
      <c r="D4670" t="inlineStr">
        <is>
          <t>VÄRMLANDS LÄN</t>
        </is>
      </c>
      <c r="E4670" t="inlineStr">
        <is>
          <t>FILIPSTAD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67017-2020</t>
        </is>
      </c>
      <c r="B4671" s="1" t="n">
        <v>44176</v>
      </c>
      <c r="C4671" s="1" t="n">
        <v>45353</v>
      </c>
      <c r="D4671" t="inlineStr">
        <is>
          <t>VÄRMLANDS LÄN</t>
        </is>
      </c>
      <c r="E4671" t="inlineStr">
        <is>
          <t>GRUMS</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67018-2020</t>
        </is>
      </c>
      <c r="B4672" s="1" t="n">
        <v>44176</v>
      </c>
      <c r="C4672" s="1" t="n">
        <v>45353</v>
      </c>
      <c r="D4672" t="inlineStr">
        <is>
          <t>VÄRMLANDS LÄN</t>
        </is>
      </c>
      <c r="E4672" t="inlineStr">
        <is>
          <t>GRUMS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66521-2020</t>
        </is>
      </c>
      <c r="B4673" s="1" t="n">
        <v>44179</v>
      </c>
      <c r="C4673" s="1" t="n">
        <v>45353</v>
      </c>
      <c r="D4673" t="inlineStr">
        <is>
          <t>VÄRMLANDS LÄN</t>
        </is>
      </c>
      <c r="E4673" t="inlineStr">
        <is>
          <t>EDA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66602-2020</t>
        </is>
      </c>
      <c r="B4674" s="1" t="n">
        <v>44179</v>
      </c>
      <c r="C4674" s="1" t="n">
        <v>45353</v>
      </c>
      <c r="D4674" t="inlineStr">
        <is>
          <t>VÄRMLANDS LÄN</t>
        </is>
      </c>
      <c r="E4674" t="inlineStr">
        <is>
          <t>SUNNE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66807-2020</t>
        </is>
      </c>
      <c r="B4675" s="1" t="n">
        <v>44179</v>
      </c>
      <c r="C4675" s="1" t="n">
        <v>45353</v>
      </c>
      <c r="D4675" t="inlineStr">
        <is>
          <t>VÄRMLANDS LÄN</t>
        </is>
      </c>
      <c r="E4675" t="inlineStr">
        <is>
          <t>ARVIKA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66802-2020</t>
        </is>
      </c>
      <c r="B4676" s="1" t="n">
        <v>44179</v>
      </c>
      <c r="C4676" s="1" t="n">
        <v>45353</v>
      </c>
      <c r="D4676" t="inlineStr">
        <is>
          <t>VÄRMLANDS LÄN</t>
        </is>
      </c>
      <c r="E4676" t="inlineStr">
        <is>
          <t>EDA</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67134-2020</t>
        </is>
      </c>
      <c r="B4677" s="1" t="n">
        <v>44179</v>
      </c>
      <c r="C4677" s="1" t="n">
        <v>45353</v>
      </c>
      <c r="D4677" t="inlineStr">
        <is>
          <t>VÄRMLANDS LÄN</t>
        </is>
      </c>
      <c r="E4677" t="inlineStr">
        <is>
          <t>ÅRJÄNG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66804-2020</t>
        </is>
      </c>
      <c r="B4678" s="1" t="n">
        <v>44179</v>
      </c>
      <c r="C4678" s="1" t="n">
        <v>45353</v>
      </c>
      <c r="D4678" t="inlineStr">
        <is>
          <t>VÄRMLANDS LÄN</t>
        </is>
      </c>
      <c r="E4678" t="inlineStr">
        <is>
          <t>FILIPSTAD</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67084-2020</t>
        </is>
      </c>
      <c r="B4679" s="1" t="n">
        <v>44179</v>
      </c>
      <c r="C4679" s="1" t="n">
        <v>45353</v>
      </c>
      <c r="D4679" t="inlineStr">
        <is>
          <t>VÄRMLANDS LÄN</t>
        </is>
      </c>
      <c r="E4679" t="inlineStr">
        <is>
          <t>TORSBY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67027-2020</t>
        </is>
      </c>
      <c r="B4680" s="1" t="n">
        <v>44180</v>
      </c>
      <c r="C4680" s="1" t="n">
        <v>45353</v>
      </c>
      <c r="D4680" t="inlineStr">
        <is>
          <t>VÄRMLANDS LÄN</t>
        </is>
      </c>
      <c r="E4680" t="inlineStr">
        <is>
          <t>FORSHAGA</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67035-2020</t>
        </is>
      </c>
      <c r="B4681" s="1" t="n">
        <v>44180</v>
      </c>
      <c r="C4681" s="1" t="n">
        <v>45353</v>
      </c>
      <c r="D4681" t="inlineStr">
        <is>
          <t>VÄRMLANDS LÄN</t>
        </is>
      </c>
      <c r="E4681" t="inlineStr">
        <is>
          <t>ARVIKA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67022-2020</t>
        </is>
      </c>
      <c r="B4682" s="1" t="n">
        <v>44180</v>
      </c>
      <c r="C4682" s="1" t="n">
        <v>45353</v>
      </c>
      <c r="D4682" t="inlineStr">
        <is>
          <t>VÄRMLANDS LÄN</t>
        </is>
      </c>
      <c r="E4682" t="inlineStr">
        <is>
          <t>KARLSTAD</t>
        </is>
      </c>
      <c r="F4682" t="inlineStr">
        <is>
          <t>Kommuner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66899-2020</t>
        </is>
      </c>
      <c r="B4683" s="1" t="n">
        <v>44180</v>
      </c>
      <c r="C4683" s="1" t="n">
        <v>45353</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67353-2020</t>
        </is>
      </c>
      <c r="B4684" s="1" t="n">
        <v>44181</v>
      </c>
      <c r="C4684" s="1" t="n">
        <v>45353</v>
      </c>
      <c r="D4684" t="inlineStr">
        <is>
          <t>VÄRMLANDS LÄN</t>
        </is>
      </c>
      <c r="E4684" t="inlineStr">
        <is>
          <t>KRISTINEHAMN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67547-2020</t>
        </is>
      </c>
      <c r="B4685" s="1" t="n">
        <v>44181</v>
      </c>
      <c r="C4685" s="1" t="n">
        <v>45353</v>
      </c>
      <c r="D4685" t="inlineStr">
        <is>
          <t>VÄRMLANDS LÄN</t>
        </is>
      </c>
      <c r="E4685" t="inlineStr">
        <is>
          <t>TORSBY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67564-2020</t>
        </is>
      </c>
      <c r="B4686" s="1" t="n">
        <v>44181</v>
      </c>
      <c r="C4686" s="1" t="n">
        <v>45353</v>
      </c>
      <c r="D4686" t="inlineStr">
        <is>
          <t>VÄRMLANDS LÄN</t>
        </is>
      </c>
      <c r="E4686" t="inlineStr">
        <is>
          <t>EDA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67351-2020</t>
        </is>
      </c>
      <c r="B4687" s="1" t="n">
        <v>44181</v>
      </c>
      <c r="C4687" s="1" t="n">
        <v>45353</v>
      </c>
      <c r="D4687" t="inlineStr">
        <is>
          <t>VÄRMLANDS LÄN</t>
        </is>
      </c>
      <c r="E4687" t="inlineStr">
        <is>
          <t>GRUMS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67464-2020</t>
        </is>
      </c>
      <c r="B4688" s="1" t="n">
        <v>44181</v>
      </c>
      <c r="C4688" s="1" t="n">
        <v>45353</v>
      </c>
      <c r="D4688" t="inlineStr">
        <is>
          <t>VÄRMLANDS LÄN</t>
        </is>
      </c>
      <c r="E4688" t="inlineStr">
        <is>
          <t>TORSBY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67632-2020</t>
        </is>
      </c>
      <c r="B4689" s="1" t="n">
        <v>44182</v>
      </c>
      <c r="C4689" s="1" t="n">
        <v>45353</v>
      </c>
      <c r="D4689" t="inlineStr">
        <is>
          <t>VÄRMLANDS LÄN</t>
        </is>
      </c>
      <c r="E4689" t="inlineStr">
        <is>
          <t>EDA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67734-2020</t>
        </is>
      </c>
      <c r="B4690" s="1" t="n">
        <v>44182</v>
      </c>
      <c r="C4690" s="1" t="n">
        <v>45353</v>
      </c>
      <c r="D4690" t="inlineStr">
        <is>
          <t>VÄRMLANDS LÄN</t>
        </is>
      </c>
      <c r="E4690" t="inlineStr">
        <is>
          <t>TORSBY</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67843-2020</t>
        </is>
      </c>
      <c r="B4691" s="1" t="n">
        <v>44182</v>
      </c>
      <c r="C4691" s="1" t="n">
        <v>45353</v>
      </c>
      <c r="D4691" t="inlineStr">
        <is>
          <t>VÄRMLANDS LÄN</t>
        </is>
      </c>
      <c r="E4691" t="inlineStr">
        <is>
          <t>FILIPSTAD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67852-2020</t>
        </is>
      </c>
      <c r="B4692" s="1" t="n">
        <v>44182</v>
      </c>
      <c r="C4692" s="1" t="n">
        <v>45353</v>
      </c>
      <c r="D4692" t="inlineStr">
        <is>
          <t>VÄRMLANDS LÄN</t>
        </is>
      </c>
      <c r="E4692" t="inlineStr">
        <is>
          <t>FILIPSTAD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68261-2020</t>
        </is>
      </c>
      <c r="B4693" s="1" t="n">
        <v>44182</v>
      </c>
      <c r="C4693" s="1" t="n">
        <v>45353</v>
      </c>
      <c r="D4693" t="inlineStr">
        <is>
          <t>VÄRMLANDS LÄN</t>
        </is>
      </c>
      <c r="E4693" t="inlineStr">
        <is>
          <t>SUNNE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68244-2020</t>
        </is>
      </c>
      <c r="B4694" s="1" t="n">
        <v>44182</v>
      </c>
      <c r="C4694" s="1" t="n">
        <v>45353</v>
      </c>
      <c r="D4694" t="inlineStr">
        <is>
          <t>VÄRMLANDS LÄN</t>
        </is>
      </c>
      <c r="E4694" t="inlineStr">
        <is>
          <t>EDA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68355-2020</t>
        </is>
      </c>
      <c r="B4695" s="1" t="n">
        <v>44182</v>
      </c>
      <c r="C4695" s="1" t="n">
        <v>45353</v>
      </c>
      <c r="D4695" t="inlineStr">
        <is>
          <t>VÄRMLANDS LÄN</t>
        </is>
      </c>
      <c r="E4695" t="inlineStr">
        <is>
          <t>KARLSTAD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68171-2020</t>
        </is>
      </c>
      <c r="B4696" s="1" t="n">
        <v>44183</v>
      </c>
      <c r="C4696" s="1" t="n">
        <v>45353</v>
      </c>
      <c r="D4696" t="inlineStr">
        <is>
          <t>VÄRMLANDS LÄN</t>
        </is>
      </c>
      <c r="E4696" t="inlineStr">
        <is>
          <t>SÄFFLE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68220-2020</t>
        </is>
      </c>
      <c r="B4697" s="1" t="n">
        <v>44183</v>
      </c>
      <c r="C4697" s="1" t="n">
        <v>45353</v>
      </c>
      <c r="D4697" t="inlineStr">
        <is>
          <t>VÄRMLANDS LÄN</t>
        </is>
      </c>
      <c r="E4697" t="inlineStr">
        <is>
          <t>TORSBY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68279-2020</t>
        </is>
      </c>
      <c r="B4698" s="1" t="n">
        <v>44183</v>
      </c>
      <c r="C4698" s="1" t="n">
        <v>45353</v>
      </c>
      <c r="D4698" t="inlineStr">
        <is>
          <t>VÄRMLANDS LÄN</t>
        </is>
      </c>
      <c r="E4698" t="inlineStr">
        <is>
          <t>ARVIKA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68238-2020</t>
        </is>
      </c>
      <c r="B4699" s="1" t="n">
        <v>44183</v>
      </c>
      <c r="C4699" s="1" t="n">
        <v>45353</v>
      </c>
      <c r="D4699" t="inlineStr">
        <is>
          <t>VÄRMLANDS LÄN</t>
        </is>
      </c>
      <c r="E4699" t="inlineStr">
        <is>
          <t>TORSBY</t>
        </is>
      </c>
      <c r="F4699" t="inlineStr">
        <is>
          <t>Bergvik skog väst AB</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68129-2020</t>
        </is>
      </c>
      <c r="B4700" s="1" t="n">
        <v>44183</v>
      </c>
      <c r="C4700" s="1" t="n">
        <v>45353</v>
      </c>
      <c r="D4700" t="inlineStr">
        <is>
          <t>VÄRMLANDS LÄN</t>
        </is>
      </c>
      <c r="E4700" t="inlineStr">
        <is>
          <t>HAGFORS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68246-2020</t>
        </is>
      </c>
      <c r="B4701" s="1" t="n">
        <v>44183</v>
      </c>
      <c r="C4701" s="1" t="n">
        <v>45353</v>
      </c>
      <c r="D4701" t="inlineStr">
        <is>
          <t>VÄRMLANDS LÄN</t>
        </is>
      </c>
      <c r="E4701" t="inlineStr">
        <is>
          <t>TORSBY</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68460-2020</t>
        </is>
      </c>
      <c r="B4702" s="1" t="n">
        <v>44186</v>
      </c>
      <c r="C4702" s="1" t="n">
        <v>45353</v>
      </c>
      <c r="D4702" t="inlineStr">
        <is>
          <t>VÄRMLANDS LÄN</t>
        </is>
      </c>
      <c r="E4702" t="inlineStr">
        <is>
          <t>SUNNE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68473-2020</t>
        </is>
      </c>
      <c r="B4703" s="1" t="n">
        <v>44186</v>
      </c>
      <c r="C4703" s="1" t="n">
        <v>45353</v>
      </c>
      <c r="D4703" t="inlineStr">
        <is>
          <t>VÄRMLANDS LÄN</t>
        </is>
      </c>
      <c r="E4703" t="inlineStr">
        <is>
          <t>SUNNE</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68517-2020</t>
        </is>
      </c>
      <c r="B4704" s="1" t="n">
        <v>44186</v>
      </c>
      <c r="C4704" s="1" t="n">
        <v>45353</v>
      </c>
      <c r="D4704" t="inlineStr">
        <is>
          <t>VÄRMLANDS LÄN</t>
        </is>
      </c>
      <c r="E4704" t="inlineStr">
        <is>
          <t>FILIPSTAD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68549-2020</t>
        </is>
      </c>
      <c r="B4705" s="1" t="n">
        <v>44186</v>
      </c>
      <c r="C4705" s="1" t="n">
        <v>45353</v>
      </c>
      <c r="D4705" t="inlineStr">
        <is>
          <t>VÄRMLANDS LÄN</t>
        </is>
      </c>
      <c r="E4705" t="inlineStr">
        <is>
          <t>EDA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68441-2020</t>
        </is>
      </c>
      <c r="B4706" s="1" t="n">
        <v>44186</v>
      </c>
      <c r="C4706" s="1" t="n">
        <v>45353</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68467-2020</t>
        </is>
      </c>
      <c r="B4707" s="1" t="n">
        <v>44186</v>
      </c>
      <c r="C4707" s="1" t="n">
        <v>45353</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68344-2020</t>
        </is>
      </c>
      <c r="B4708" s="1" t="n">
        <v>44186</v>
      </c>
      <c r="C4708" s="1" t="n">
        <v>45353</v>
      </c>
      <c r="D4708" t="inlineStr">
        <is>
          <t>VÄRMLANDS LÄN</t>
        </is>
      </c>
      <c r="E4708" t="inlineStr">
        <is>
          <t>ÅRJÄNG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68452-2020</t>
        </is>
      </c>
      <c r="B4709" s="1" t="n">
        <v>44186</v>
      </c>
      <c r="C4709" s="1" t="n">
        <v>45353</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68480-2020</t>
        </is>
      </c>
      <c r="B4710" s="1" t="n">
        <v>44186</v>
      </c>
      <c r="C4710" s="1" t="n">
        <v>45353</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68515-2020</t>
        </is>
      </c>
      <c r="B4711" s="1" t="n">
        <v>44186</v>
      </c>
      <c r="C4711" s="1" t="n">
        <v>45353</v>
      </c>
      <c r="D4711" t="inlineStr">
        <is>
          <t>VÄRMLANDS LÄN</t>
        </is>
      </c>
      <c r="E4711" t="inlineStr">
        <is>
          <t>FILIPSTAD</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68462-2020</t>
        </is>
      </c>
      <c r="B4712" s="1" t="n">
        <v>44186</v>
      </c>
      <c r="C4712" s="1" t="n">
        <v>45353</v>
      </c>
      <c r="D4712" t="inlineStr">
        <is>
          <t>VÄRMLANDS LÄN</t>
        </is>
      </c>
      <c r="E4712" t="inlineStr">
        <is>
          <t>SUNNE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68476-2020</t>
        </is>
      </c>
      <c r="B4713" s="1" t="n">
        <v>44186</v>
      </c>
      <c r="C4713" s="1" t="n">
        <v>45353</v>
      </c>
      <c r="D4713" t="inlineStr">
        <is>
          <t>VÄRMLANDS LÄN</t>
        </is>
      </c>
      <c r="E4713" t="inlineStr">
        <is>
          <t>SUNNE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68603-2020</t>
        </is>
      </c>
      <c r="B4714" s="1" t="n">
        <v>44186</v>
      </c>
      <c r="C4714" s="1" t="n">
        <v>45353</v>
      </c>
      <c r="D4714" t="inlineStr">
        <is>
          <t>VÄRMLANDS LÄN</t>
        </is>
      </c>
      <c r="E4714" t="inlineStr">
        <is>
          <t>TORSBY</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68620-2020</t>
        </is>
      </c>
      <c r="B4715" s="1" t="n">
        <v>44186</v>
      </c>
      <c r="C4715" s="1" t="n">
        <v>45353</v>
      </c>
      <c r="D4715" t="inlineStr">
        <is>
          <t>VÄRMLANDS LÄN</t>
        </is>
      </c>
      <c r="E4715" t="inlineStr">
        <is>
          <t>FILIPSTAD</t>
        </is>
      </c>
      <c r="G4715" t="n">
        <v>29.6</v>
      </c>
      <c r="H4715" t="n">
        <v>0</v>
      </c>
      <c r="I4715" t="n">
        <v>0</v>
      </c>
      <c r="J4715" t="n">
        <v>0</v>
      </c>
      <c r="K4715" t="n">
        <v>0</v>
      </c>
      <c r="L4715" t="n">
        <v>0</v>
      </c>
      <c r="M4715" t="n">
        <v>0</v>
      </c>
      <c r="N4715" t="n">
        <v>0</v>
      </c>
      <c r="O4715" t="n">
        <v>0</v>
      </c>
      <c r="P4715" t="n">
        <v>0</v>
      </c>
      <c r="Q4715" t="n">
        <v>0</v>
      </c>
      <c r="R4715" s="2" t="inlineStr"/>
    </row>
    <row r="4716" ht="15" customHeight="1">
      <c r="A4716" t="inlineStr">
        <is>
          <t>A 68665-2020</t>
        </is>
      </c>
      <c r="B4716" s="1" t="n">
        <v>44187</v>
      </c>
      <c r="C4716" s="1" t="n">
        <v>45353</v>
      </c>
      <c r="D4716" t="inlineStr">
        <is>
          <t>VÄRMLANDS LÄN</t>
        </is>
      </c>
      <c r="E4716" t="inlineStr">
        <is>
          <t>FORSHAGA</t>
        </is>
      </c>
      <c r="F4716" t="inlineStr">
        <is>
          <t>Bergvik skog väst AB</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68687-2020</t>
        </is>
      </c>
      <c r="B4717" s="1" t="n">
        <v>44187</v>
      </c>
      <c r="C4717" s="1" t="n">
        <v>45353</v>
      </c>
      <c r="D4717" t="inlineStr">
        <is>
          <t>VÄRMLANDS LÄN</t>
        </is>
      </c>
      <c r="E4717" t="inlineStr">
        <is>
          <t>ÅRJÄNG</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68842-2020</t>
        </is>
      </c>
      <c r="B4718" s="1" t="n">
        <v>44187</v>
      </c>
      <c r="C4718" s="1" t="n">
        <v>45353</v>
      </c>
      <c r="D4718" t="inlineStr">
        <is>
          <t>VÄRMLANDS LÄN</t>
        </is>
      </c>
      <c r="E4718" t="inlineStr">
        <is>
          <t>KARLSTAD</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68864-2020</t>
        </is>
      </c>
      <c r="B4719" s="1" t="n">
        <v>44187</v>
      </c>
      <c r="C4719" s="1" t="n">
        <v>45353</v>
      </c>
      <c r="D4719" t="inlineStr">
        <is>
          <t>VÄRMLANDS LÄN</t>
        </is>
      </c>
      <c r="E4719" t="inlineStr">
        <is>
          <t>SUNNE</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68672-2020</t>
        </is>
      </c>
      <c r="B4720" s="1" t="n">
        <v>44187</v>
      </c>
      <c r="C4720" s="1" t="n">
        <v>45353</v>
      </c>
      <c r="D4720" t="inlineStr">
        <is>
          <t>VÄRMLANDS LÄN</t>
        </is>
      </c>
      <c r="E4720" t="inlineStr">
        <is>
          <t>FORSHAGA</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68810-2020</t>
        </is>
      </c>
      <c r="B4721" s="1" t="n">
        <v>44187</v>
      </c>
      <c r="C4721" s="1" t="n">
        <v>45353</v>
      </c>
      <c r="D4721" t="inlineStr">
        <is>
          <t>VÄRMLANDS LÄN</t>
        </is>
      </c>
      <c r="E4721" t="inlineStr">
        <is>
          <t>SÄFFLE</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68858-2020</t>
        </is>
      </c>
      <c r="B4722" s="1" t="n">
        <v>44187</v>
      </c>
      <c r="C4722" s="1" t="n">
        <v>45353</v>
      </c>
      <c r="D4722" t="inlineStr">
        <is>
          <t>VÄRMLANDS LÄN</t>
        </is>
      </c>
      <c r="E4722" t="inlineStr">
        <is>
          <t>SUNNE</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68948-2020</t>
        </is>
      </c>
      <c r="B4723" s="1" t="n">
        <v>44187</v>
      </c>
      <c r="C4723" s="1" t="n">
        <v>45353</v>
      </c>
      <c r="D4723" t="inlineStr">
        <is>
          <t>VÄRMLANDS LÄN</t>
        </is>
      </c>
      <c r="E4723" t="inlineStr">
        <is>
          <t>SUNNE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68866-2020</t>
        </is>
      </c>
      <c r="B4724" s="1" t="n">
        <v>44187</v>
      </c>
      <c r="C4724" s="1" t="n">
        <v>45353</v>
      </c>
      <c r="D4724" t="inlineStr">
        <is>
          <t>VÄRMLANDS LÄN</t>
        </is>
      </c>
      <c r="E4724" t="inlineStr">
        <is>
          <t>SUNNE</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68693-2020</t>
        </is>
      </c>
      <c r="B4725" s="1" t="n">
        <v>44187</v>
      </c>
      <c r="C4725" s="1" t="n">
        <v>45353</v>
      </c>
      <c r="D4725" t="inlineStr">
        <is>
          <t>VÄRMLANDS LÄN</t>
        </is>
      </c>
      <c r="E4725" t="inlineStr">
        <is>
          <t>ÅRJÄNG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68877-2020</t>
        </is>
      </c>
      <c r="B4726" s="1" t="n">
        <v>44187</v>
      </c>
      <c r="C4726" s="1" t="n">
        <v>45353</v>
      </c>
      <c r="D4726" t="inlineStr">
        <is>
          <t>VÄRMLANDS LÄN</t>
        </is>
      </c>
      <c r="E4726" t="inlineStr">
        <is>
          <t>FILIPSTAD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68907-2020</t>
        </is>
      </c>
      <c r="B4727" s="1" t="n">
        <v>44187</v>
      </c>
      <c r="C4727" s="1" t="n">
        <v>45353</v>
      </c>
      <c r="D4727" t="inlineStr">
        <is>
          <t>VÄRMLANDS LÄN</t>
        </is>
      </c>
      <c r="E4727" t="inlineStr">
        <is>
          <t>SUNNE</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68946-2020</t>
        </is>
      </c>
      <c r="B4728" s="1" t="n">
        <v>44187</v>
      </c>
      <c r="C4728" s="1" t="n">
        <v>45353</v>
      </c>
      <c r="D4728" t="inlineStr">
        <is>
          <t>VÄRMLANDS LÄN</t>
        </is>
      </c>
      <c r="E4728" t="inlineStr">
        <is>
          <t>SUNNE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69031-2020</t>
        </is>
      </c>
      <c r="B4729" s="1" t="n">
        <v>44188</v>
      </c>
      <c r="C4729" s="1" t="n">
        <v>45353</v>
      </c>
      <c r="D4729" t="inlineStr">
        <is>
          <t>VÄRMLANDS LÄN</t>
        </is>
      </c>
      <c r="E4729" t="inlineStr">
        <is>
          <t>FORSHAGA</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68985-2020</t>
        </is>
      </c>
      <c r="B4730" s="1" t="n">
        <v>44188</v>
      </c>
      <c r="C4730" s="1" t="n">
        <v>45353</v>
      </c>
      <c r="D4730" t="inlineStr">
        <is>
          <t>VÄRMLANDS LÄN</t>
        </is>
      </c>
      <c r="E4730" t="inlineStr">
        <is>
          <t>FORSHAGA</t>
        </is>
      </c>
      <c r="F4730" t="inlineStr">
        <is>
          <t>Bergvik skog väst AB</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69035-2020</t>
        </is>
      </c>
      <c r="B4731" s="1" t="n">
        <v>44188</v>
      </c>
      <c r="C4731" s="1" t="n">
        <v>45353</v>
      </c>
      <c r="D4731" t="inlineStr">
        <is>
          <t>VÄRMLANDS LÄN</t>
        </is>
      </c>
      <c r="E4731" t="inlineStr">
        <is>
          <t>FORSHAGA</t>
        </is>
      </c>
      <c r="F4731" t="inlineStr">
        <is>
          <t>Bergvik skog väst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68988-2020</t>
        </is>
      </c>
      <c r="B4732" s="1" t="n">
        <v>44188</v>
      </c>
      <c r="C4732" s="1" t="n">
        <v>45353</v>
      </c>
      <c r="D4732" t="inlineStr">
        <is>
          <t>VÄRMLANDS LÄN</t>
        </is>
      </c>
      <c r="E4732" t="inlineStr">
        <is>
          <t>KARLSTAD</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69177-2020</t>
        </is>
      </c>
      <c r="B4733" s="1" t="n">
        <v>44189</v>
      </c>
      <c r="C4733" s="1" t="n">
        <v>45353</v>
      </c>
      <c r="D4733" t="inlineStr">
        <is>
          <t>VÄRMLANDS LÄN</t>
        </is>
      </c>
      <c r="E4733" t="inlineStr">
        <is>
          <t>SÄFFLE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69228-2020</t>
        </is>
      </c>
      <c r="B4734" s="1" t="n">
        <v>44192</v>
      </c>
      <c r="C4734" s="1" t="n">
        <v>45353</v>
      </c>
      <c r="D4734" t="inlineStr">
        <is>
          <t>VÄRMLANDS LÄN</t>
        </is>
      </c>
      <c r="E4734" t="inlineStr">
        <is>
          <t>SUNNE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69232-2020</t>
        </is>
      </c>
      <c r="B4735" s="1" t="n">
        <v>44192</v>
      </c>
      <c r="C4735" s="1" t="n">
        <v>45353</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69245-2020</t>
        </is>
      </c>
      <c r="B4736" s="1" t="n">
        <v>44192</v>
      </c>
      <c r="C4736" s="1" t="n">
        <v>45353</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69250-2020</t>
        </is>
      </c>
      <c r="B4737" s="1" t="n">
        <v>44192</v>
      </c>
      <c r="C4737" s="1" t="n">
        <v>45353</v>
      </c>
      <c r="D4737" t="inlineStr">
        <is>
          <t>VÄRMLANDS LÄN</t>
        </is>
      </c>
      <c r="E4737" t="inlineStr">
        <is>
          <t>TORSBY</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69230-2020</t>
        </is>
      </c>
      <c r="B4738" s="1" t="n">
        <v>44192</v>
      </c>
      <c r="C4738" s="1" t="n">
        <v>45353</v>
      </c>
      <c r="D4738" t="inlineStr">
        <is>
          <t>VÄRMLANDS LÄN</t>
        </is>
      </c>
      <c r="E4738" t="inlineStr">
        <is>
          <t>SUNNE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69242-2020</t>
        </is>
      </c>
      <c r="B4739" s="1" t="n">
        <v>44192</v>
      </c>
      <c r="C4739" s="1" t="n">
        <v>45353</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69247-2020</t>
        </is>
      </c>
      <c r="B4740" s="1" t="n">
        <v>44192</v>
      </c>
      <c r="C4740" s="1" t="n">
        <v>45353</v>
      </c>
      <c r="D4740" t="inlineStr">
        <is>
          <t>VÄRMLANDS LÄN</t>
        </is>
      </c>
      <c r="E4740" t="inlineStr">
        <is>
          <t>TORSBY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69231-2020</t>
        </is>
      </c>
      <c r="B4741" s="1" t="n">
        <v>44192</v>
      </c>
      <c r="C4741" s="1" t="n">
        <v>45353</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69237-2020</t>
        </is>
      </c>
      <c r="B4742" s="1" t="n">
        <v>44192</v>
      </c>
      <c r="C4742" s="1" t="n">
        <v>45353</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69244-2020</t>
        </is>
      </c>
      <c r="B4743" s="1" t="n">
        <v>44192</v>
      </c>
      <c r="C4743" s="1" t="n">
        <v>45353</v>
      </c>
      <c r="D4743" t="inlineStr">
        <is>
          <t>VÄRMLANDS LÄN</t>
        </is>
      </c>
      <c r="E4743" t="inlineStr">
        <is>
          <t>TORSBY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69248-2020</t>
        </is>
      </c>
      <c r="B4744" s="1" t="n">
        <v>44192</v>
      </c>
      <c r="C4744" s="1" t="n">
        <v>45353</v>
      </c>
      <c r="D4744" t="inlineStr">
        <is>
          <t>VÄRMLANDS LÄN</t>
        </is>
      </c>
      <c r="E4744" t="inlineStr">
        <is>
          <t>TORSBY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69233-2020</t>
        </is>
      </c>
      <c r="B4745" s="1" t="n">
        <v>44192</v>
      </c>
      <c r="C4745" s="1" t="n">
        <v>45353</v>
      </c>
      <c r="D4745" t="inlineStr">
        <is>
          <t>VÄRMLANDS LÄN</t>
        </is>
      </c>
      <c r="E4745" t="inlineStr">
        <is>
          <t>SUNNE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69241-2020</t>
        </is>
      </c>
      <c r="B4746" s="1" t="n">
        <v>44192</v>
      </c>
      <c r="C4746" s="1" t="n">
        <v>45353</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69246-2020</t>
        </is>
      </c>
      <c r="B4747" s="1" t="n">
        <v>44192</v>
      </c>
      <c r="C4747" s="1" t="n">
        <v>45353</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69270-2020</t>
        </is>
      </c>
      <c r="B4748" s="1" t="n">
        <v>44193</v>
      </c>
      <c r="C4748" s="1" t="n">
        <v>45353</v>
      </c>
      <c r="D4748" t="inlineStr">
        <is>
          <t>VÄRMLANDS LÄN</t>
        </is>
      </c>
      <c r="E4748" t="inlineStr">
        <is>
          <t>SÄFFLE</t>
        </is>
      </c>
      <c r="F4748" t="inlineStr">
        <is>
          <t>Bergvik skog väst AB</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69361-2020</t>
        </is>
      </c>
      <c r="B4749" s="1" t="n">
        <v>44193</v>
      </c>
      <c r="C4749" s="1" t="n">
        <v>45353</v>
      </c>
      <c r="D4749" t="inlineStr">
        <is>
          <t>VÄRMLANDS LÄN</t>
        </is>
      </c>
      <c r="E4749" t="inlineStr">
        <is>
          <t>ARVIKA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69384-2020</t>
        </is>
      </c>
      <c r="B4750" s="1" t="n">
        <v>44193</v>
      </c>
      <c r="C4750" s="1" t="n">
        <v>45353</v>
      </c>
      <c r="D4750" t="inlineStr">
        <is>
          <t>VÄRMLANDS LÄN</t>
        </is>
      </c>
      <c r="E4750" t="inlineStr">
        <is>
          <t>KRISTINEHAMN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69266-2020</t>
        </is>
      </c>
      <c r="B4751" s="1" t="n">
        <v>44193</v>
      </c>
      <c r="C4751" s="1" t="n">
        <v>45353</v>
      </c>
      <c r="D4751" t="inlineStr">
        <is>
          <t>VÄRMLANDS LÄN</t>
        </is>
      </c>
      <c r="E4751" t="inlineStr">
        <is>
          <t>SÄFFLE</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69364-2020</t>
        </is>
      </c>
      <c r="B4752" s="1" t="n">
        <v>44193</v>
      </c>
      <c r="C4752" s="1" t="n">
        <v>45353</v>
      </c>
      <c r="D4752" t="inlineStr">
        <is>
          <t>VÄRMLANDS LÄN</t>
        </is>
      </c>
      <c r="E4752" t="inlineStr">
        <is>
          <t>SÄFFLE</t>
        </is>
      </c>
      <c r="F4752" t="inlineStr">
        <is>
          <t>Bergvik skog väst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69367-2020</t>
        </is>
      </c>
      <c r="B4753" s="1" t="n">
        <v>44193</v>
      </c>
      <c r="C4753" s="1" t="n">
        <v>45353</v>
      </c>
      <c r="D4753" t="inlineStr">
        <is>
          <t>VÄRMLANDS LÄN</t>
        </is>
      </c>
      <c r="E4753" t="inlineStr">
        <is>
          <t>ARVIKA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69408-2020</t>
        </is>
      </c>
      <c r="B4754" s="1" t="n">
        <v>44193</v>
      </c>
      <c r="C4754" s="1" t="n">
        <v>45353</v>
      </c>
      <c r="D4754" t="inlineStr">
        <is>
          <t>VÄRMLANDS LÄN</t>
        </is>
      </c>
      <c r="E4754" t="inlineStr">
        <is>
          <t>SUNNE</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69443-2020</t>
        </is>
      </c>
      <c r="B4755" s="1" t="n">
        <v>44194</v>
      </c>
      <c r="C4755" s="1" t="n">
        <v>45353</v>
      </c>
      <c r="D4755" t="inlineStr">
        <is>
          <t>VÄRMLANDS LÄN</t>
        </is>
      </c>
      <c r="E4755" t="inlineStr">
        <is>
          <t>SÄFFLE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69492-2020</t>
        </is>
      </c>
      <c r="B4756" s="1" t="n">
        <v>44194</v>
      </c>
      <c r="C4756" s="1" t="n">
        <v>45353</v>
      </c>
      <c r="D4756" t="inlineStr">
        <is>
          <t>VÄRMLANDS LÄN</t>
        </is>
      </c>
      <c r="E4756" t="inlineStr">
        <is>
          <t>KRISTINEHAMN</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69520-2020</t>
        </is>
      </c>
      <c r="B4757" s="1" t="n">
        <v>44194</v>
      </c>
      <c r="C4757" s="1" t="n">
        <v>45353</v>
      </c>
      <c r="D4757" t="inlineStr">
        <is>
          <t>VÄRMLANDS LÄN</t>
        </is>
      </c>
      <c r="E4757" t="inlineStr">
        <is>
          <t>ÅRJÄNG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69434-2020</t>
        </is>
      </c>
      <c r="B4758" s="1" t="n">
        <v>44194</v>
      </c>
      <c r="C4758" s="1" t="n">
        <v>45353</v>
      </c>
      <c r="D4758" t="inlineStr">
        <is>
          <t>VÄRMLANDS LÄN</t>
        </is>
      </c>
      <c r="E4758" t="inlineStr">
        <is>
          <t>TORSBY</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69448-2020</t>
        </is>
      </c>
      <c r="B4759" s="1" t="n">
        <v>44194</v>
      </c>
      <c r="C4759" s="1" t="n">
        <v>45353</v>
      </c>
      <c r="D4759" t="inlineStr">
        <is>
          <t>VÄRMLANDS LÄN</t>
        </is>
      </c>
      <c r="E4759" t="inlineStr">
        <is>
          <t>TORSBY</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69647-2020</t>
        </is>
      </c>
      <c r="B4760" s="1" t="n">
        <v>44195</v>
      </c>
      <c r="C4760" s="1" t="n">
        <v>45353</v>
      </c>
      <c r="D4760" t="inlineStr">
        <is>
          <t>VÄRMLANDS LÄN</t>
        </is>
      </c>
      <c r="E4760" t="inlineStr">
        <is>
          <t>ÅRJÄNG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69661-2020</t>
        </is>
      </c>
      <c r="B4761" s="1" t="n">
        <v>44195</v>
      </c>
      <c r="C4761" s="1" t="n">
        <v>45353</v>
      </c>
      <c r="D4761" t="inlineStr">
        <is>
          <t>VÄRMLANDS LÄN</t>
        </is>
      </c>
      <c r="E4761" t="inlineStr">
        <is>
          <t>KRISTINEHAMN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69584-2020</t>
        </is>
      </c>
      <c r="B4762" s="1" t="n">
        <v>44195</v>
      </c>
      <c r="C4762" s="1" t="n">
        <v>45353</v>
      </c>
      <c r="D4762" t="inlineStr">
        <is>
          <t>VÄRMLANDS LÄN</t>
        </is>
      </c>
      <c r="E4762" t="inlineStr">
        <is>
          <t>ÅRJÄNG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69628-2020</t>
        </is>
      </c>
      <c r="B4763" s="1" t="n">
        <v>44195</v>
      </c>
      <c r="C4763" s="1" t="n">
        <v>45353</v>
      </c>
      <c r="D4763" t="inlineStr">
        <is>
          <t>VÄRMLANDS LÄN</t>
        </is>
      </c>
      <c r="E4763" t="inlineStr">
        <is>
          <t>TORSBY</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105-2021</t>
        </is>
      </c>
      <c r="B4764" s="1" t="n">
        <v>44200</v>
      </c>
      <c r="C4764" s="1" t="n">
        <v>45353</v>
      </c>
      <c r="D4764" t="inlineStr">
        <is>
          <t>VÄRMLANDS LÄN</t>
        </is>
      </c>
      <c r="E4764" t="inlineStr">
        <is>
          <t>KRISTINEHAMN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170-2021</t>
        </is>
      </c>
      <c r="B4765" s="1" t="n">
        <v>44200</v>
      </c>
      <c r="C4765" s="1" t="n">
        <v>45353</v>
      </c>
      <c r="D4765" t="inlineStr">
        <is>
          <t>VÄRMLANDS LÄN</t>
        </is>
      </c>
      <c r="E4765" t="inlineStr">
        <is>
          <t>STORFORS</t>
        </is>
      </c>
      <c r="F4765" t="inlineStr">
        <is>
          <t>Bergvik skog väst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179-2021</t>
        </is>
      </c>
      <c r="B4766" s="1" t="n">
        <v>44200</v>
      </c>
      <c r="C4766" s="1" t="n">
        <v>45353</v>
      </c>
      <c r="D4766" t="inlineStr">
        <is>
          <t>VÄRMLANDS LÄN</t>
        </is>
      </c>
      <c r="E4766" t="inlineStr">
        <is>
          <t>SUNNE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176-2021</t>
        </is>
      </c>
      <c r="B4767" s="1" t="n">
        <v>44200</v>
      </c>
      <c r="C4767" s="1" t="n">
        <v>45353</v>
      </c>
      <c r="D4767" t="inlineStr">
        <is>
          <t>VÄRMLANDS LÄN</t>
        </is>
      </c>
      <c r="E4767" t="inlineStr">
        <is>
          <t>STORFORS</t>
        </is>
      </c>
      <c r="F4767" t="inlineStr">
        <is>
          <t>Bergvik skog väst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183-2021</t>
        </is>
      </c>
      <c r="B4768" s="1" t="n">
        <v>44200</v>
      </c>
      <c r="C4768" s="1" t="n">
        <v>45353</v>
      </c>
      <c r="D4768" t="inlineStr">
        <is>
          <t>VÄRMLANDS LÄN</t>
        </is>
      </c>
      <c r="E4768" t="inlineStr">
        <is>
          <t>SUNNE</t>
        </is>
      </c>
      <c r="F4768" t="inlineStr">
        <is>
          <t>Övriga Aktiebolag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210-2021</t>
        </is>
      </c>
      <c r="B4769" s="1" t="n">
        <v>44200</v>
      </c>
      <c r="C4769" s="1" t="n">
        <v>45353</v>
      </c>
      <c r="D4769" t="inlineStr">
        <is>
          <t>VÄRMLANDS LÄN</t>
        </is>
      </c>
      <c r="E4769" t="inlineStr">
        <is>
          <t>SUNNE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253-2021</t>
        </is>
      </c>
      <c r="B4770" s="1" t="n">
        <v>44200</v>
      </c>
      <c r="C4770" s="1" t="n">
        <v>45353</v>
      </c>
      <c r="D4770" t="inlineStr">
        <is>
          <t>VÄRMLANDS LÄN</t>
        </is>
      </c>
      <c r="E4770" t="inlineStr">
        <is>
          <t>SUNNE</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201-2021</t>
        </is>
      </c>
      <c r="B4771" s="1" t="n">
        <v>44200</v>
      </c>
      <c r="C4771" s="1" t="n">
        <v>45353</v>
      </c>
      <c r="D4771" t="inlineStr">
        <is>
          <t>VÄRMLANDS LÄN</t>
        </is>
      </c>
      <c r="E4771" t="inlineStr">
        <is>
          <t>SUNNE</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260-2021</t>
        </is>
      </c>
      <c r="B4772" s="1" t="n">
        <v>44200</v>
      </c>
      <c r="C4772" s="1" t="n">
        <v>45353</v>
      </c>
      <c r="D4772" t="inlineStr">
        <is>
          <t>VÄRMLANDS LÄN</t>
        </is>
      </c>
      <c r="E4772" t="inlineStr">
        <is>
          <t>ARVIKA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485-2021</t>
        </is>
      </c>
      <c r="B4773" s="1" t="n">
        <v>44200</v>
      </c>
      <c r="C4773" s="1" t="n">
        <v>45353</v>
      </c>
      <c r="D4773" t="inlineStr">
        <is>
          <t>VÄRMLANDS LÄN</t>
        </is>
      </c>
      <c r="E4773" t="inlineStr">
        <is>
          <t>ARVIKA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351-2021</t>
        </is>
      </c>
      <c r="B4774" s="1" t="n">
        <v>44201</v>
      </c>
      <c r="C4774" s="1" t="n">
        <v>45353</v>
      </c>
      <c r="D4774" t="inlineStr">
        <is>
          <t>VÄRMLANDS LÄN</t>
        </is>
      </c>
      <c r="E4774" t="inlineStr">
        <is>
          <t>SUNNE</t>
        </is>
      </c>
      <c r="F4774" t="inlineStr">
        <is>
          <t>Övriga statliga verk och myndigheter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387-2021</t>
        </is>
      </c>
      <c r="B4775" s="1" t="n">
        <v>44201</v>
      </c>
      <c r="C4775" s="1" t="n">
        <v>45353</v>
      </c>
      <c r="D4775" t="inlineStr">
        <is>
          <t>VÄRMLANDS LÄN</t>
        </is>
      </c>
      <c r="E4775" t="inlineStr">
        <is>
          <t>ÅRJÄNG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602-2021</t>
        </is>
      </c>
      <c r="B4776" s="1" t="n">
        <v>44201</v>
      </c>
      <c r="C4776" s="1" t="n">
        <v>45353</v>
      </c>
      <c r="D4776" t="inlineStr">
        <is>
          <t>VÄRMLANDS LÄN</t>
        </is>
      </c>
      <c r="E4776" t="inlineStr">
        <is>
          <t>SUNNE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332-2021</t>
        </is>
      </c>
      <c r="B4777" s="1" t="n">
        <v>44201</v>
      </c>
      <c r="C4777" s="1" t="n">
        <v>45353</v>
      </c>
      <c r="D4777" t="inlineStr">
        <is>
          <t>VÄRMLANDS LÄN</t>
        </is>
      </c>
      <c r="E4777" t="inlineStr">
        <is>
          <t>ÅRJÄNG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309-2021</t>
        </is>
      </c>
      <c r="B4778" s="1" t="n">
        <v>44201</v>
      </c>
      <c r="C4778" s="1" t="n">
        <v>45353</v>
      </c>
      <c r="D4778" t="inlineStr">
        <is>
          <t>VÄRMLANDS LÄN</t>
        </is>
      </c>
      <c r="E4778" t="inlineStr">
        <is>
          <t>SUNNE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339-2021</t>
        </is>
      </c>
      <c r="B4779" s="1" t="n">
        <v>44201</v>
      </c>
      <c r="C4779" s="1" t="n">
        <v>45353</v>
      </c>
      <c r="D4779" t="inlineStr">
        <is>
          <t>VÄRMLANDS LÄN</t>
        </is>
      </c>
      <c r="E4779" t="inlineStr">
        <is>
          <t>TORSBY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421-2021</t>
        </is>
      </c>
      <c r="B4780" s="1" t="n">
        <v>44201</v>
      </c>
      <c r="C4780" s="1" t="n">
        <v>45353</v>
      </c>
      <c r="D4780" t="inlineStr">
        <is>
          <t>VÄRMLANDS LÄN</t>
        </is>
      </c>
      <c r="E4780" t="inlineStr">
        <is>
          <t>EDA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625-2021</t>
        </is>
      </c>
      <c r="B4781" s="1" t="n">
        <v>44201</v>
      </c>
      <c r="C4781" s="1" t="n">
        <v>45353</v>
      </c>
      <c r="D4781" t="inlineStr">
        <is>
          <t>VÄRMLANDS LÄN</t>
        </is>
      </c>
      <c r="E4781" t="inlineStr">
        <is>
          <t>ARVIKA</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637-2021</t>
        </is>
      </c>
      <c r="B4782" s="1" t="n">
        <v>44203</v>
      </c>
      <c r="C4782" s="1" t="n">
        <v>45353</v>
      </c>
      <c r="D4782" t="inlineStr">
        <is>
          <t>VÄRMLANDS LÄN</t>
        </is>
      </c>
      <c r="E4782" t="inlineStr">
        <is>
          <t>KARLSTAD</t>
        </is>
      </c>
      <c r="F4782" t="inlineStr">
        <is>
          <t>Kyrkan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708-2021</t>
        </is>
      </c>
      <c r="B4783" s="1" t="n">
        <v>44204</v>
      </c>
      <c r="C4783" s="1" t="n">
        <v>45353</v>
      </c>
      <c r="D4783" t="inlineStr">
        <is>
          <t>VÄRMLANDS LÄN</t>
        </is>
      </c>
      <c r="E4783" t="inlineStr">
        <is>
          <t>GRUMS</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814-2021</t>
        </is>
      </c>
      <c r="B4784" s="1" t="n">
        <v>44204</v>
      </c>
      <c r="C4784" s="1" t="n">
        <v>45353</v>
      </c>
      <c r="D4784" t="inlineStr">
        <is>
          <t>VÄRMLANDS LÄN</t>
        </is>
      </c>
      <c r="E4784" t="inlineStr">
        <is>
          <t>SÄFFLE</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751-2021</t>
        </is>
      </c>
      <c r="B4785" s="1" t="n">
        <v>44204</v>
      </c>
      <c r="C4785" s="1" t="n">
        <v>45353</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892-2021</t>
        </is>
      </c>
      <c r="B4786" s="1" t="n">
        <v>44206</v>
      </c>
      <c r="C4786" s="1" t="n">
        <v>45353</v>
      </c>
      <c r="D4786" t="inlineStr">
        <is>
          <t>VÄRMLANDS LÄN</t>
        </is>
      </c>
      <c r="E4786" t="inlineStr">
        <is>
          <t>SÄFFLE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935-2021</t>
        </is>
      </c>
      <c r="B4787" s="1" t="n">
        <v>44207</v>
      </c>
      <c r="C4787" s="1" t="n">
        <v>45353</v>
      </c>
      <c r="D4787" t="inlineStr">
        <is>
          <t>VÄRMLANDS LÄN</t>
        </is>
      </c>
      <c r="E4787" t="inlineStr">
        <is>
          <t>ÅRJÄNG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1048-2021</t>
        </is>
      </c>
      <c r="B4788" s="1" t="n">
        <v>44207</v>
      </c>
      <c r="C4788" s="1" t="n">
        <v>45353</v>
      </c>
      <c r="D4788" t="inlineStr">
        <is>
          <t>VÄRMLANDS LÄN</t>
        </is>
      </c>
      <c r="E4788" t="inlineStr">
        <is>
          <t>HAGFORS</t>
        </is>
      </c>
      <c r="F4788" t="inlineStr">
        <is>
          <t>Bergvik skog väst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909-2021</t>
        </is>
      </c>
      <c r="B4789" s="1" t="n">
        <v>44207</v>
      </c>
      <c r="C4789" s="1" t="n">
        <v>45353</v>
      </c>
      <c r="D4789" t="inlineStr">
        <is>
          <t>VÄRMLANDS LÄN</t>
        </is>
      </c>
      <c r="E4789" t="inlineStr">
        <is>
          <t>EDA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1059-2021</t>
        </is>
      </c>
      <c r="B4790" s="1" t="n">
        <v>44207</v>
      </c>
      <c r="C4790" s="1" t="n">
        <v>45353</v>
      </c>
      <c r="D4790" t="inlineStr">
        <is>
          <t>VÄRMLANDS LÄN</t>
        </is>
      </c>
      <c r="E4790" t="inlineStr">
        <is>
          <t>ARVIKA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1126-2021</t>
        </is>
      </c>
      <c r="B4791" s="1" t="n">
        <v>44207</v>
      </c>
      <c r="C4791" s="1" t="n">
        <v>45353</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1165-2021</t>
        </is>
      </c>
      <c r="B4792" s="1" t="n">
        <v>44207</v>
      </c>
      <c r="C4792" s="1" t="n">
        <v>45353</v>
      </c>
      <c r="D4792" t="inlineStr">
        <is>
          <t>VÄRMLANDS LÄN</t>
        </is>
      </c>
      <c r="E4792" t="inlineStr">
        <is>
          <t>SÄFFLE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1195-2021</t>
        </is>
      </c>
      <c r="B4793" s="1" t="n">
        <v>44208</v>
      </c>
      <c r="C4793" s="1" t="n">
        <v>45353</v>
      </c>
      <c r="D4793" t="inlineStr">
        <is>
          <t>VÄRMLANDS LÄN</t>
        </is>
      </c>
      <c r="E4793" t="inlineStr">
        <is>
          <t>SUNNE</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1313-2021</t>
        </is>
      </c>
      <c r="B4794" s="1" t="n">
        <v>44208</v>
      </c>
      <c r="C4794" s="1" t="n">
        <v>45353</v>
      </c>
      <c r="D4794" t="inlineStr">
        <is>
          <t>VÄRMLANDS LÄN</t>
        </is>
      </c>
      <c r="E4794" t="inlineStr">
        <is>
          <t>KIL</t>
        </is>
      </c>
      <c r="F4794" t="inlineStr">
        <is>
          <t>Kyrkan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1269-2021</t>
        </is>
      </c>
      <c r="B4795" s="1" t="n">
        <v>44208</v>
      </c>
      <c r="C4795" s="1" t="n">
        <v>45353</v>
      </c>
      <c r="D4795" t="inlineStr">
        <is>
          <t>VÄRMLANDS LÄN</t>
        </is>
      </c>
      <c r="E4795" t="inlineStr">
        <is>
          <t>KIL</t>
        </is>
      </c>
      <c r="F4795" t="inlineStr">
        <is>
          <t>Kyrkan</t>
        </is>
      </c>
      <c r="G4795" t="n">
        <v>2.6</v>
      </c>
      <c r="H4795" t="n">
        <v>0</v>
      </c>
      <c r="I4795" t="n">
        <v>0</v>
      </c>
      <c r="J4795" t="n">
        <v>0</v>
      </c>
      <c r="K4795" t="n">
        <v>0</v>
      </c>
      <c r="L4795" t="n">
        <v>0</v>
      </c>
      <c r="M4795" t="n">
        <v>0</v>
      </c>
      <c r="N4795" t="n">
        <v>0</v>
      </c>
      <c r="O4795" t="n">
        <v>0</v>
      </c>
      <c r="P4795" t="n">
        <v>0</v>
      </c>
      <c r="Q4795" t="n">
        <v>0</v>
      </c>
      <c r="R4795" s="2" t="inlineStr"/>
      <c r="U4795">
        <f>HYPERLINK("https://klasma.github.io/Logging_1715/knärot/A 1269-2021 karta knärot.png", "A 1269-2021")</f>
        <v/>
      </c>
      <c r="V4795">
        <f>HYPERLINK("https://klasma.github.io/Logging_1715/klagomål/A 1269-2021 FSC-klagomål.docx", "A 1269-2021")</f>
        <v/>
      </c>
      <c r="W4795">
        <f>HYPERLINK("https://klasma.github.io/Logging_1715/klagomålsmail/A 1269-2021 FSC-klagomål mail.docx", "A 1269-2021")</f>
        <v/>
      </c>
      <c r="X4795">
        <f>HYPERLINK("https://klasma.github.io/Logging_1715/tillsyn/A 1269-2021 tillsynsbegäran.docx", "A 1269-2021")</f>
        <v/>
      </c>
      <c r="Y4795">
        <f>HYPERLINK("https://klasma.github.io/Logging_1715/tillsynsmail/A 1269-2021 tillsynsbegäran mail.docx", "A 1269-2021")</f>
        <v/>
      </c>
    </row>
    <row r="4796" ht="15" customHeight="1">
      <c r="A4796" t="inlineStr">
        <is>
          <t>A 1298-2021</t>
        </is>
      </c>
      <c r="B4796" s="1" t="n">
        <v>44208</v>
      </c>
      <c r="C4796" s="1" t="n">
        <v>45353</v>
      </c>
      <c r="D4796" t="inlineStr">
        <is>
          <t>VÄRMLANDS LÄN</t>
        </is>
      </c>
      <c r="E4796" t="inlineStr">
        <is>
          <t>SÄFFLE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1391-2021</t>
        </is>
      </c>
      <c r="B4797" s="1" t="n">
        <v>44208</v>
      </c>
      <c r="C4797" s="1" t="n">
        <v>45353</v>
      </c>
      <c r="D4797" t="inlineStr">
        <is>
          <t>VÄRMLANDS LÄN</t>
        </is>
      </c>
      <c r="E4797" t="inlineStr">
        <is>
          <t>FILIPSTAD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1397-2021</t>
        </is>
      </c>
      <c r="B4798" s="1" t="n">
        <v>44208</v>
      </c>
      <c r="C4798" s="1" t="n">
        <v>45353</v>
      </c>
      <c r="D4798" t="inlineStr">
        <is>
          <t>VÄRMLANDS LÄN</t>
        </is>
      </c>
      <c r="E4798" t="inlineStr">
        <is>
          <t>ARVIKA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1348-2021</t>
        </is>
      </c>
      <c r="B4799" s="1" t="n">
        <v>44208</v>
      </c>
      <c r="C4799" s="1" t="n">
        <v>45353</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1449-2021</t>
        </is>
      </c>
      <c r="B4800" s="1" t="n">
        <v>44208</v>
      </c>
      <c r="C4800" s="1" t="n">
        <v>45353</v>
      </c>
      <c r="D4800" t="inlineStr">
        <is>
          <t>VÄRMLANDS LÄN</t>
        </is>
      </c>
      <c r="E4800" t="inlineStr">
        <is>
          <t>SUNNE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1486-2021</t>
        </is>
      </c>
      <c r="B4801" s="1" t="n">
        <v>44208</v>
      </c>
      <c r="C4801" s="1" t="n">
        <v>45353</v>
      </c>
      <c r="D4801" t="inlineStr">
        <is>
          <t>VÄRMLANDS LÄN</t>
        </is>
      </c>
      <c r="E4801" t="inlineStr">
        <is>
          <t>KARLSTAD</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1516-2021</t>
        </is>
      </c>
      <c r="B4802" s="1" t="n">
        <v>44209</v>
      </c>
      <c r="C4802" s="1" t="n">
        <v>45353</v>
      </c>
      <c r="D4802" t="inlineStr">
        <is>
          <t>VÄRMLANDS LÄN</t>
        </is>
      </c>
      <c r="E4802" t="inlineStr">
        <is>
          <t>TORSBY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1526-2021</t>
        </is>
      </c>
      <c r="B4803" s="1" t="n">
        <v>44209</v>
      </c>
      <c r="C4803" s="1" t="n">
        <v>45353</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1535-2021</t>
        </is>
      </c>
      <c r="B4804" s="1" t="n">
        <v>44209</v>
      </c>
      <c r="C4804" s="1" t="n">
        <v>45353</v>
      </c>
      <c r="D4804" t="inlineStr">
        <is>
          <t>VÄRMLANDS LÄN</t>
        </is>
      </c>
      <c r="E4804" t="inlineStr">
        <is>
          <t>TORSBY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1534-2021</t>
        </is>
      </c>
      <c r="B4805" s="1" t="n">
        <v>44209</v>
      </c>
      <c r="C4805" s="1" t="n">
        <v>45353</v>
      </c>
      <c r="D4805" t="inlineStr">
        <is>
          <t>VÄRMLANDS LÄN</t>
        </is>
      </c>
      <c r="E4805" t="inlineStr">
        <is>
          <t>ARVIKA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1544-2021</t>
        </is>
      </c>
      <c r="B4806" s="1" t="n">
        <v>44209</v>
      </c>
      <c r="C4806" s="1" t="n">
        <v>45353</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1588-2021</t>
        </is>
      </c>
      <c r="B4807" s="1" t="n">
        <v>44209</v>
      </c>
      <c r="C4807" s="1" t="n">
        <v>45353</v>
      </c>
      <c r="D4807" t="inlineStr">
        <is>
          <t>VÄRMLANDS LÄN</t>
        </is>
      </c>
      <c r="E4807" t="inlineStr">
        <is>
          <t>SÄFFLE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1906-2021</t>
        </is>
      </c>
      <c r="B4808" s="1" t="n">
        <v>44210</v>
      </c>
      <c r="C4808" s="1" t="n">
        <v>45353</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1974-2021</t>
        </is>
      </c>
      <c r="B4809" s="1" t="n">
        <v>44210</v>
      </c>
      <c r="C4809" s="1" t="n">
        <v>45353</v>
      </c>
      <c r="D4809" t="inlineStr">
        <is>
          <t>VÄRMLANDS LÄN</t>
        </is>
      </c>
      <c r="E4809" t="inlineStr">
        <is>
          <t>KRISTINEHAMN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1880-2021</t>
        </is>
      </c>
      <c r="B4810" s="1" t="n">
        <v>44210</v>
      </c>
      <c r="C4810" s="1" t="n">
        <v>45353</v>
      </c>
      <c r="D4810" t="inlineStr">
        <is>
          <t>VÄRMLANDS LÄN</t>
        </is>
      </c>
      <c r="E4810" t="inlineStr">
        <is>
          <t>GRUMS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2017-2021</t>
        </is>
      </c>
      <c r="B4811" s="1" t="n">
        <v>44210</v>
      </c>
      <c r="C4811" s="1" t="n">
        <v>45353</v>
      </c>
      <c r="D4811" t="inlineStr">
        <is>
          <t>VÄRMLANDS LÄN</t>
        </is>
      </c>
      <c r="E4811" t="inlineStr">
        <is>
          <t>FORSHAGA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2107-2021</t>
        </is>
      </c>
      <c r="B4812" s="1" t="n">
        <v>44210</v>
      </c>
      <c r="C4812" s="1" t="n">
        <v>45353</v>
      </c>
      <c r="D4812" t="inlineStr">
        <is>
          <t>VÄRMLANDS LÄN</t>
        </is>
      </c>
      <c r="E4812" t="inlineStr">
        <is>
          <t>KRISTINEHAMN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2059-2021</t>
        </is>
      </c>
      <c r="B4813" s="1" t="n">
        <v>44210</v>
      </c>
      <c r="C4813" s="1" t="n">
        <v>45353</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2114-2021</t>
        </is>
      </c>
      <c r="B4814" s="1" t="n">
        <v>44210</v>
      </c>
      <c r="C4814" s="1" t="n">
        <v>45353</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2121-2021</t>
        </is>
      </c>
      <c r="B4815" s="1" t="n">
        <v>44211</v>
      </c>
      <c r="C4815" s="1" t="n">
        <v>45353</v>
      </c>
      <c r="D4815" t="inlineStr">
        <is>
          <t>VÄRMLANDS LÄN</t>
        </is>
      </c>
      <c r="E4815" t="inlineStr">
        <is>
          <t>FORSHAGA</t>
        </is>
      </c>
      <c r="F4815" t="inlineStr">
        <is>
          <t>Bergvik skog väst AB</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2141-2021</t>
        </is>
      </c>
      <c r="B4816" s="1" t="n">
        <v>44211</v>
      </c>
      <c r="C4816" s="1" t="n">
        <v>45353</v>
      </c>
      <c r="D4816" t="inlineStr">
        <is>
          <t>VÄRMLANDS LÄN</t>
        </is>
      </c>
      <c r="E4816" t="inlineStr">
        <is>
          <t>FORSHAGA</t>
        </is>
      </c>
      <c r="F4816" t="inlineStr">
        <is>
          <t>Bergvik skog väst AB</t>
        </is>
      </c>
      <c r="G4816" t="n">
        <v>12.3</v>
      </c>
      <c r="H4816" t="n">
        <v>0</v>
      </c>
      <c r="I4816" t="n">
        <v>0</v>
      </c>
      <c r="J4816" t="n">
        <v>0</v>
      </c>
      <c r="K4816" t="n">
        <v>0</v>
      </c>
      <c r="L4816" t="n">
        <v>0</v>
      </c>
      <c r="M4816" t="n">
        <v>0</v>
      </c>
      <c r="N4816" t="n">
        <v>0</v>
      </c>
      <c r="O4816" t="n">
        <v>0</v>
      </c>
      <c r="P4816" t="n">
        <v>0</v>
      </c>
      <c r="Q4816" t="n">
        <v>0</v>
      </c>
      <c r="R4816" s="2" t="inlineStr"/>
    </row>
    <row r="4817" ht="15" customHeight="1">
      <c r="A4817" t="inlineStr">
        <is>
          <t>A 2214-2021</t>
        </is>
      </c>
      <c r="B4817" s="1" t="n">
        <v>44211</v>
      </c>
      <c r="C4817" s="1" t="n">
        <v>45353</v>
      </c>
      <c r="D4817" t="inlineStr">
        <is>
          <t>VÄRMLANDS LÄN</t>
        </is>
      </c>
      <c r="E4817" t="inlineStr">
        <is>
          <t>ARVIKA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2031-2021</t>
        </is>
      </c>
      <c r="B4818" s="1" t="n">
        <v>44211</v>
      </c>
      <c r="C4818" s="1" t="n">
        <v>45353</v>
      </c>
      <c r="D4818" t="inlineStr">
        <is>
          <t>VÄRMLANDS LÄN</t>
        </is>
      </c>
      <c r="E4818" t="inlineStr">
        <is>
          <t>KRISTINEHAMN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2224-2021</t>
        </is>
      </c>
      <c r="B4819" s="1" t="n">
        <v>44211</v>
      </c>
      <c r="C4819" s="1" t="n">
        <v>45353</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2323-2021</t>
        </is>
      </c>
      <c r="B4820" s="1" t="n">
        <v>44211</v>
      </c>
      <c r="C4820" s="1" t="n">
        <v>45353</v>
      </c>
      <c r="D4820" t="inlineStr">
        <is>
          <t>VÄRMLANDS LÄN</t>
        </is>
      </c>
      <c r="E4820" t="inlineStr">
        <is>
          <t>SÄFFLE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2225-2021</t>
        </is>
      </c>
      <c r="B4821" s="1" t="n">
        <v>44211</v>
      </c>
      <c r="C4821" s="1" t="n">
        <v>45353</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2237-2021</t>
        </is>
      </c>
      <c r="B4822" s="1" t="n">
        <v>44211</v>
      </c>
      <c r="C4822" s="1" t="n">
        <v>45353</v>
      </c>
      <c r="D4822" t="inlineStr">
        <is>
          <t>VÄRMLANDS LÄN</t>
        </is>
      </c>
      <c r="E4822" t="inlineStr">
        <is>
          <t>ARVIKA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2293-2021</t>
        </is>
      </c>
      <c r="B4823" s="1" t="n">
        <v>44212</v>
      </c>
      <c r="C4823" s="1" t="n">
        <v>45353</v>
      </c>
      <c r="D4823" t="inlineStr">
        <is>
          <t>VÄRMLANDS LÄN</t>
        </is>
      </c>
      <c r="E4823" t="inlineStr">
        <is>
          <t>EDA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2319-2021</t>
        </is>
      </c>
      <c r="B4824" s="1" t="n">
        <v>44214</v>
      </c>
      <c r="C4824" s="1" t="n">
        <v>45353</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2428-2021</t>
        </is>
      </c>
      <c r="B4825" s="1" t="n">
        <v>44214</v>
      </c>
      <c r="C4825" s="1" t="n">
        <v>45353</v>
      </c>
      <c r="D4825" t="inlineStr">
        <is>
          <t>VÄRMLANDS LÄN</t>
        </is>
      </c>
      <c r="E4825" t="inlineStr">
        <is>
          <t>HAGFORS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2436-2021</t>
        </is>
      </c>
      <c r="B4826" s="1" t="n">
        <v>44214</v>
      </c>
      <c r="C4826" s="1" t="n">
        <v>45353</v>
      </c>
      <c r="D4826" t="inlineStr">
        <is>
          <t>VÄRMLANDS LÄN</t>
        </is>
      </c>
      <c r="E4826" t="inlineStr">
        <is>
          <t>HAGFORS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2317-2021</t>
        </is>
      </c>
      <c r="B4827" s="1" t="n">
        <v>44214</v>
      </c>
      <c r="C4827" s="1" t="n">
        <v>45353</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2368-2021</t>
        </is>
      </c>
      <c r="B4828" s="1" t="n">
        <v>44214</v>
      </c>
      <c r="C4828" s="1" t="n">
        <v>45353</v>
      </c>
      <c r="D4828" t="inlineStr">
        <is>
          <t>VÄRMLANDS LÄN</t>
        </is>
      </c>
      <c r="E4828" t="inlineStr">
        <is>
          <t>SUNNE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2321-2021</t>
        </is>
      </c>
      <c r="B4829" s="1" t="n">
        <v>44214</v>
      </c>
      <c r="C4829" s="1" t="n">
        <v>45353</v>
      </c>
      <c r="D4829" t="inlineStr">
        <is>
          <t>VÄRMLANDS LÄN</t>
        </is>
      </c>
      <c r="E4829" t="inlineStr">
        <is>
          <t>TORSBY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2576-2021</t>
        </is>
      </c>
      <c r="B4830" s="1" t="n">
        <v>44214</v>
      </c>
      <c r="C4830" s="1" t="n">
        <v>45353</v>
      </c>
      <c r="D4830" t="inlineStr">
        <is>
          <t>VÄRMLANDS LÄN</t>
        </is>
      </c>
      <c r="E4830" t="inlineStr">
        <is>
          <t>TORSBY</t>
        </is>
      </c>
      <c r="F4830" t="inlineStr">
        <is>
          <t>Kommuner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2593-2021</t>
        </is>
      </c>
      <c r="B4831" s="1" t="n">
        <v>44214</v>
      </c>
      <c r="C4831" s="1" t="n">
        <v>45353</v>
      </c>
      <c r="D4831" t="inlineStr">
        <is>
          <t>VÄRMLANDS LÄN</t>
        </is>
      </c>
      <c r="E4831" t="inlineStr">
        <is>
          <t>ÅRJÄNG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2672-2021</t>
        </is>
      </c>
      <c r="B4832" s="1" t="n">
        <v>44214</v>
      </c>
      <c r="C4832" s="1" t="n">
        <v>45353</v>
      </c>
      <c r="D4832" t="inlineStr">
        <is>
          <t>VÄRMLANDS LÄN</t>
        </is>
      </c>
      <c r="E4832" t="inlineStr">
        <is>
          <t>FILIPSTAD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2667-2021</t>
        </is>
      </c>
      <c r="B4833" s="1" t="n">
        <v>44215</v>
      </c>
      <c r="C4833" s="1" t="n">
        <v>45353</v>
      </c>
      <c r="D4833" t="inlineStr">
        <is>
          <t>VÄRMLANDS LÄN</t>
        </is>
      </c>
      <c r="E4833" t="inlineStr">
        <is>
          <t>ÅRJÄNG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2758-2021</t>
        </is>
      </c>
      <c r="B4834" s="1" t="n">
        <v>44215</v>
      </c>
      <c r="C4834" s="1" t="n">
        <v>45353</v>
      </c>
      <c r="D4834" t="inlineStr">
        <is>
          <t>VÄRMLANDS LÄN</t>
        </is>
      </c>
      <c r="E4834" t="inlineStr">
        <is>
          <t>TORSBY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2653-2021</t>
        </is>
      </c>
      <c r="B4835" s="1" t="n">
        <v>44215</v>
      </c>
      <c r="C4835" s="1" t="n">
        <v>45353</v>
      </c>
      <c r="D4835" t="inlineStr">
        <is>
          <t>VÄRMLANDS LÄN</t>
        </is>
      </c>
      <c r="E4835" t="inlineStr">
        <is>
          <t>SUNNE</t>
        </is>
      </c>
      <c r="G4835" t="n">
        <v>11.2</v>
      </c>
      <c r="H4835" t="n">
        <v>0</v>
      </c>
      <c r="I4835" t="n">
        <v>0</v>
      </c>
      <c r="J4835" t="n">
        <v>0</v>
      </c>
      <c r="K4835" t="n">
        <v>0</v>
      </c>
      <c r="L4835" t="n">
        <v>0</v>
      </c>
      <c r="M4835" t="n">
        <v>0</v>
      </c>
      <c r="N4835" t="n">
        <v>0</v>
      </c>
      <c r="O4835" t="n">
        <v>0</v>
      </c>
      <c r="P4835" t="n">
        <v>0</v>
      </c>
      <c r="Q4835" t="n">
        <v>0</v>
      </c>
      <c r="R4835" s="2" t="inlineStr"/>
    </row>
    <row r="4836" ht="15" customHeight="1">
      <c r="A4836" t="inlineStr">
        <is>
          <t>A 2610-2021</t>
        </is>
      </c>
      <c r="B4836" s="1" t="n">
        <v>44215</v>
      </c>
      <c r="C4836" s="1" t="n">
        <v>45353</v>
      </c>
      <c r="D4836" t="inlineStr">
        <is>
          <t>VÄRMLANDS LÄN</t>
        </is>
      </c>
      <c r="E4836" t="inlineStr">
        <is>
          <t>SUNNE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2931-2021</t>
        </is>
      </c>
      <c r="B4837" s="1" t="n">
        <v>44216</v>
      </c>
      <c r="C4837" s="1" t="n">
        <v>45353</v>
      </c>
      <c r="D4837" t="inlineStr">
        <is>
          <t>VÄRMLANDS LÄN</t>
        </is>
      </c>
      <c r="E4837" t="inlineStr">
        <is>
          <t>ARVIKA</t>
        </is>
      </c>
      <c r="F4837" t="inlineStr">
        <is>
          <t>Bergvik skog väst AB</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2991-2021</t>
        </is>
      </c>
      <c r="B4838" s="1" t="n">
        <v>44216</v>
      </c>
      <c r="C4838" s="1" t="n">
        <v>45353</v>
      </c>
      <c r="D4838" t="inlineStr">
        <is>
          <t>VÄRMLANDS LÄN</t>
        </is>
      </c>
      <c r="E4838" t="inlineStr">
        <is>
          <t>HAGFORS</t>
        </is>
      </c>
      <c r="F4838" t="inlineStr">
        <is>
          <t>Bergvik skog väst AB</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3013-2021</t>
        </is>
      </c>
      <c r="B4839" s="1" t="n">
        <v>44216</v>
      </c>
      <c r="C4839" s="1" t="n">
        <v>45353</v>
      </c>
      <c r="D4839" t="inlineStr">
        <is>
          <t>VÄRMLANDS LÄN</t>
        </is>
      </c>
      <c r="E4839" t="inlineStr">
        <is>
          <t>SÄFFLE</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3110-2021</t>
        </is>
      </c>
      <c r="B4840" s="1" t="n">
        <v>44217</v>
      </c>
      <c r="C4840" s="1" t="n">
        <v>45353</v>
      </c>
      <c r="D4840" t="inlineStr">
        <is>
          <t>VÄRMLANDS LÄN</t>
        </is>
      </c>
      <c r="E4840" t="inlineStr">
        <is>
          <t>EDA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3167-2021</t>
        </is>
      </c>
      <c r="B4841" s="1" t="n">
        <v>44217</v>
      </c>
      <c r="C4841" s="1" t="n">
        <v>45353</v>
      </c>
      <c r="D4841" t="inlineStr">
        <is>
          <t>VÄRMLANDS LÄN</t>
        </is>
      </c>
      <c r="E4841" t="inlineStr">
        <is>
          <t>EDA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3233-2021</t>
        </is>
      </c>
      <c r="B4842" s="1" t="n">
        <v>44217</v>
      </c>
      <c r="C4842" s="1" t="n">
        <v>45353</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3287-2021</t>
        </is>
      </c>
      <c r="B4843" s="1" t="n">
        <v>44217</v>
      </c>
      <c r="C4843" s="1" t="n">
        <v>45353</v>
      </c>
      <c r="D4843" t="inlineStr">
        <is>
          <t>VÄRMLANDS LÄN</t>
        </is>
      </c>
      <c r="E4843" t="inlineStr">
        <is>
          <t>MUNKFORS</t>
        </is>
      </c>
      <c r="F4843" t="inlineStr">
        <is>
          <t>Bergvik skog väst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3280-2021</t>
        </is>
      </c>
      <c r="B4844" s="1" t="n">
        <v>44217</v>
      </c>
      <c r="C4844" s="1" t="n">
        <v>45353</v>
      </c>
      <c r="D4844" t="inlineStr">
        <is>
          <t>VÄRMLANDS LÄN</t>
        </is>
      </c>
      <c r="E4844" t="inlineStr">
        <is>
          <t>HAGFORS</t>
        </is>
      </c>
      <c r="F4844" t="inlineStr">
        <is>
          <t>Bergvik skog väst AB</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3907-2021</t>
        </is>
      </c>
      <c r="B4845" s="1" t="n">
        <v>44217</v>
      </c>
      <c r="C4845" s="1" t="n">
        <v>45353</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3160-2021</t>
        </is>
      </c>
      <c r="B4846" s="1" t="n">
        <v>44217</v>
      </c>
      <c r="C4846" s="1" t="n">
        <v>45353</v>
      </c>
      <c r="D4846" t="inlineStr">
        <is>
          <t>VÄRMLANDS LÄN</t>
        </is>
      </c>
      <c r="E4846" t="inlineStr">
        <is>
          <t>TORSBY</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3289-2021</t>
        </is>
      </c>
      <c r="B4847" s="1" t="n">
        <v>44217</v>
      </c>
      <c r="C4847" s="1" t="n">
        <v>45353</v>
      </c>
      <c r="D4847" t="inlineStr">
        <is>
          <t>VÄRMLANDS LÄN</t>
        </is>
      </c>
      <c r="E4847" t="inlineStr">
        <is>
          <t>ARVIKA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3336-2021</t>
        </is>
      </c>
      <c r="B4848" s="1" t="n">
        <v>44217</v>
      </c>
      <c r="C4848" s="1" t="n">
        <v>45353</v>
      </c>
      <c r="D4848" t="inlineStr">
        <is>
          <t>VÄRMLANDS LÄN</t>
        </is>
      </c>
      <c r="E4848" t="inlineStr">
        <is>
          <t>TORSBY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3980-2021</t>
        </is>
      </c>
      <c r="B4849" s="1" t="n">
        <v>44217</v>
      </c>
      <c r="C4849" s="1" t="n">
        <v>45353</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3973-2021</t>
        </is>
      </c>
      <c r="B4850" s="1" t="n">
        <v>44217</v>
      </c>
      <c r="C4850" s="1" t="n">
        <v>45353</v>
      </c>
      <c r="D4850" t="inlineStr">
        <is>
          <t>VÄRMLANDS LÄN</t>
        </is>
      </c>
      <c r="E4850" t="inlineStr">
        <is>
          <t>ÅRJÄNG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3551-2021</t>
        </is>
      </c>
      <c r="B4851" s="1" t="n">
        <v>44218</v>
      </c>
      <c r="C4851" s="1" t="n">
        <v>45353</v>
      </c>
      <c r="D4851" t="inlineStr">
        <is>
          <t>VÄRMLANDS LÄN</t>
        </is>
      </c>
      <c r="E4851" t="inlineStr">
        <is>
          <t>SÄFFLE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4176-2021</t>
        </is>
      </c>
      <c r="B4852" s="1" t="n">
        <v>44218</v>
      </c>
      <c r="C4852" s="1" t="n">
        <v>45353</v>
      </c>
      <c r="D4852" t="inlineStr">
        <is>
          <t>VÄRMLANDS LÄN</t>
        </is>
      </c>
      <c r="E4852" t="inlineStr">
        <is>
          <t>KARLSTAD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3674-2021</t>
        </is>
      </c>
      <c r="B4853" s="1" t="n">
        <v>44221</v>
      </c>
      <c r="C4853" s="1" t="n">
        <v>45353</v>
      </c>
      <c r="D4853" t="inlineStr">
        <is>
          <t>VÄRMLANDS LÄN</t>
        </is>
      </c>
      <c r="E4853" t="inlineStr">
        <is>
          <t>HAGFORS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3796-2021</t>
        </is>
      </c>
      <c r="B4854" s="1" t="n">
        <v>44221</v>
      </c>
      <c r="C4854" s="1" t="n">
        <v>45353</v>
      </c>
      <c r="D4854" t="inlineStr">
        <is>
          <t>VÄRMLANDS LÄN</t>
        </is>
      </c>
      <c r="E4854" t="inlineStr">
        <is>
          <t>ÅRJÄNG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3678-2021</t>
        </is>
      </c>
      <c r="B4855" s="1" t="n">
        <v>44221</v>
      </c>
      <c r="C4855" s="1" t="n">
        <v>45353</v>
      </c>
      <c r="D4855" t="inlineStr">
        <is>
          <t>VÄRMLANDS LÄN</t>
        </is>
      </c>
      <c r="E4855" t="inlineStr">
        <is>
          <t>HAGFORS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3825-2021</t>
        </is>
      </c>
      <c r="B4856" s="1" t="n">
        <v>44221</v>
      </c>
      <c r="C4856" s="1" t="n">
        <v>45353</v>
      </c>
      <c r="D4856" t="inlineStr">
        <is>
          <t>VÄRMLANDS LÄN</t>
        </is>
      </c>
      <c r="E4856" t="inlineStr">
        <is>
          <t>SÄFFLE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3664-2021</t>
        </is>
      </c>
      <c r="B4857" s="1" t="n">
        <v>44221</v>
      </c>
      <c r="C4857" s="1" t="n">
        <v>45353</v>
      </c>
      <c r="D4857" t="inlineStr">
        <is>
          <t>VÄRMLANDS LÄN</t>
        </is>
      </c>
      <c r="E4857" t="inlineStr">
        <is>
          <t>ARVIKA</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4231-2021</t>
        </is>
      </c>
      <c r="B4858" s="1" t="n">
        <v>44221</v>
      </c>
      <c r="C4858" s="1" t="n">
        <v>45353</v>
      </c>
      <c r="D4858" t="inlineStr">
        <is>
          <t>VÄRMLANDS LÄN</t>
        </is>
      </c>
      <c r="E4858" t="inlineStr">
        <is>
          <t>SÄFFLE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4266-2021</t>
        </is>
      </c>
      <c r="B4859" s="1" t="n">
        <v>44221</v>
      </c>
      <c r="C4859" s="1" t="n">
        <v>45353</v>
      </c>
      <c r="D4859" t="inlineStr">
        <is>
          <t>VÄRMLANDS LÄN</t>
        </is>
      </c>
      <c r="E4859" t="inlineStr">
        <is>
          <t>SÄFFLE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4263-2021</t>
        </is>
      </c>
      <c r="B4860" s="1" t="n">
        <v>44221</v>
      </c>
      <c r="C4860" s="1" t="n">
        <v>45353</v>
      </c>
      <c r="D4860" t="inlineStr">
        <is>
          <t>VÄRMLANDS LÄN</t>
        </is>
      </c>
      <c r="E4860" t="inlineStr">
        <is>
          <t>SÄFFLE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4353-2021</t>
        </is>
      </c>
      <c r="B4861" s="1" t="n">
        <v>44221</v>
      </c>
      <c r="C4861" s="1" t="n">
        <v>45353</v>
      </c>
      <c r="D4861" t="inlineStr">
        <is>
          <t>VÄRMLANDS LÄN</t>
        </is>
      </c>
      <c r="E4861" t="inlineStr">
        <is>
          <t>SÄFFLE</t>
        </is>
      </c>
      <c r="G4861" t="n">
        <v>9.6</v>
      </c>
      <c r="H4861" t="n">
        <v>0</v>
      </c>
      <c r="I4861" t="n">
        <v>0</v>
      </c>
      <c r="J4861" t="n">
        <v>0</v>
      </c>
      <c r="K4861" t="n">
        <v>0</v>
      </c>
      <c r="L4861" t="n">
        <v>0</v>
      </c>
      <c r="M4861" t="n">
        <v>0</v>
      </c>
      <c r="N4861" t="n">
        <v>0</v>
      </c>
      <c r="O4861" t="n">
        <v>0</v>
      </c>
      <c r="P4861" t="n">
        <v>0</v>
      </c>
      <c r="Q4861" t="n">
        <v>0</v>
      </c>
      <c r="R4861" s="2" t="inlineStr"/>
    </row>
    <row r="4862" ht="15" customHeight="1">
      <c r="A4862" t="inlineStr">
        <is>
          <t>A 3884-2021</t>
        </is>
      </c>
      <c r="B4862" s="1" t="n">
        <v>44221</v>
      </c>
      <c r="C4862" s="1" t="n">
        <v>45353</v>
      </c>
      <c r="D4862" t="inlineStr">
        <is>
          <t>VÄRMLANDS LÄN</t>
        </is>
      </c>
      <c r="E4862" t="inlineStr">
        <is>
          <t>SÄFFLE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4235-2021</t>
        </is>
      </c>
      <c r="B4863" s="1" t="n">
        <v>44221</v>
      </c>
      <c r="C4863" s="1" t="n">
        <v>45353</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3883-2021</t>
        </is>
      </c>
      <c r="B4864" s="1" t="n">
        <v>44222</v>
      </c>
      <c r="C4864" s="1" t="n">
        <v>45353</v>
      </c>
      <c r="D4864" t="inlineStr">
        <is>
          <t>VÄRMLANDS LÄN</t>
        </is>
      </c>
      <c r="E4864" t="inlineStr">
        <is>
          <t>KARLSTAD</t>
        </is>
      </c>
      <c r="F4864" t="inlineStr">
        <is>
          <t>Kommuner</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3942-2021</t>
        </is>
      </c>
      <c r="B4865" s="1" t="n">
        <v>44222</v>
      </c>
      <c r="C4865" s="1" t="n">
        <v>45353</v>
      </c>
      <c r="D4865" t="inlineStr">
        <is>
          <t>VÄRMLANDS LÄN</t>
        </is>
      </c>
      <c r="E4865" t="inlineStr">
        <is>
          <t>KARLSTAD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3970-2021</t>
        </is>
      </c>
      <c r="B4866" s="1" t="n">
        <v>44222</v>
      </c>
      <c r="C4866" s="1" t="n">
        <v>45353</v>
      </c>
      <c r="D4866" t="inlineStr">
        <is>
          <t>VÄRMLANDS LÄN</t>
        </is>
      </c>
      <c r="E4866" t="inlineStr">
        <is>
          <t>KIL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4086-2021</t>
        </is>
      </c>
      <c r="B4867" s="1" t="n">
        <v>44222</v>
      </c>
      <c r="C4867" s="1" t="n">
        <v>45353</v>
      </c>
      <c r="D4867" t="inlineStr">
        <is>
          <t>VÄRMLANDS LÄN</t>
        </is>
      </c>
      <c r="E4867" t="inlineStr">
        <is>
          <t>ARVIKA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4104-2021</t>
        </is>
      </c>
      <c r="B4868" s="1" t="n">
        <v>44222</v>
      </c>
      <c r="C4868" s="1" t="n">
        <v>45353</v>
      </c>
      <c r="D4868" t="inlineStr">
        <is>
          <t>VÄRMLANDS LÄN</t>
        </is>
      </c>
      <c r="E4868" t="inlineStr">
        <is>
          <t>FORSHAGA</t>
        </is>
      </c>
      <c r="F4868" t="inlineStr">
        <is>
          <t>Bergvik skog väst AB</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4110-2021</t>
        </is>
      </c>
      <c r="B4869" s="1" t="n">
        <v>44222</v>
      </c>
      <c r="C4869" s="1" t="n">
        <v>45353</v>
      </c>
      <c r="D4869" t="inlineStr">
        <is>
          <t>VÄRMLANDS LÄN</t>
        </is>
      </c>
      <c r="E4869" t="inlineStr">
        <is>
          <t>GRUMS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4295-2021</t>
        </is>
      </c>
      <c r="B4870" s="1" t="n">
        <v>44222</v>
      </c>
      <c r="C4870" s="1" t="n">
        <v>45353</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4083-2021</t>
        </is>
      </c>
      <c r="B4871" s="1" t="n">
        <v>44222</v>
      </c>
      <c r="C4871" s="1" t="n">
        <v>45353</v>
      </c>
      <c r="D4871" t="inlineStr">
        <is>
          <t>VÄRMLANDS LÄN</t>
        </is>
      </c>
      <c r="E4871" t="inlineStr">
        <is>
          <t>KRISTINEHAMN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4099-2021</t>
        </is>
      </c>
      <c r="B4872" s="1" t="n">
        <v>44222</v>
      </c>
      <c r="C4872" s="1" t="n">
        <v>45353</v>
      </c>
      <c r="D4872" t="inlineStr">
        <is>
          <t>VÄRMLANDS LÄN</t>
        </is>
      </c>
      <c r="E4872" t="inlineStr">
        <is>
          <t>ARVIKA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4450-2021</t>
        </is>
      </c>
      <c r="B4873" s="1" t="n">
        <v>44222</v>
      </c>
      <c r="C4873" s="1" t="n">
        <v>45353</v>
      </c>
      <c r="D4873" t="inlineStr">
        <is>
          <t>VÄRMLANDS LÄN</t>
        </is>
      </c>
      <c r="E4873" t="inlineStr">
        <is>
          <t>KARLSTAD</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4160-2021</t>
        </is>
      </c>
      <c r="B4874" s="1" t="n">
        <v>44223</v>
      </c>
      <c r="C4874" s="1" t="n">
        <v>45353</v>
      </c>
      <c r="D4874" t="inlineStr">
        <is>
          <t>VÄRMLANDS LÄN</t>
        </is>
      </c>
      <c r="E4874" t="inlineStr">
        <is>
          <t>ÅRJÄNG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4345-2021</t>
        </is>
      </c>
      <c r="B4875" s="1" t="n">
        <v>44223</v>
      </c>
      <c r="C4875" s="1" t="n">
        <v>45353</v>
      </c>
      <c r="D4875" t="inlineStr">
        <is>
          <t>VÄRMLANDS LÄN</t>
        </is>
      </c>
      <c r="E4875" t="inlineStr">
        <is>
          <t>EDA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4129-2021</t>
        </is>
      </c>
      <c r="B4876" s="1" t="n">
        <v>44223</v>
      </c>
      <c r="C4876" s="1" t="n">
        <v>45353</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4238-2021</t>
        </is>
      </c>
      <c r="B4877" s="1" t="n">
        <v>44223</v>
      </c>
      <c r="C4877" s="1" t="n">
        <v>45353</v>
      </c>
      <c r="D4877" t="inlineStr">
        <is>
          <t>VÄRMLANDS LÄN</t>
        </is>
      </c>
      <c r="E4877" t="inlineStr">
        <is>
          <t>KIL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4300-2021</t>
        </is>
      </c>
      <c r="B4878" s="1" t="n">
        <v>44223</v>
      </c>
      <c r="C4878" s="1" t="n">
        <v>45353</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4392-2021</t>
        </is>
      </c>
      <c r="B4879" s="1" t="n">
        <v>44223</v>
      </c>
      <c r="C4879" s="1" t="n">
        <v>45353</v>
      </c>
      <c r="D4879" t="inlineStr">
        <is>
          <t>VÄRMLANDS LÄN</t>
        </is>
      </c>
      <c r="E4879" t="inlineStr">
        <is>
          <t>TORSBY</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4324-2021</t>
        </is>
      </c>
      <c r="B4880" s="1" t="n">
        <v>44223</v>
      </c>
      <c r="C4880" s="1" t="n">
        <v>45353</v>
      </c>
      <c r="D4880" t="inlineStr">
        <is>
          <t>VÄRMLANDS LÄN</t>
        </is>
      </c>
      <c r="E4880" t="inlineStr">
        <is>
          <t>SÄFFLE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4558-2021</t>
        </is>
      </c>
      <c r="B4881" s="1" t="n">
        <v>44223</v>
      </c>
      <c r="C4881" s="1" t="n">
        <v>45353</v>
      </c>
      <c r="D4881" t="inlineStr">
        <is>
          <t>VÄRMLANDS LÄN</t>
        </is>
      </c>
      <c r="E4881" t="inlineStr">
        <is>
          <t>TORSBY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4803-2021</t>
        </is>
      </c>
      <c r="B4882" s="1" t="n">
        <v>44223</v>
      </c>
      <c r="C4882" s="1" t="n">
        <v>45353</v>
      </c>
      <c r="D4882" t="inlineStr">
        <is>
          <t>VÄRMLANDS LÄN</t>
        </is>
      </c>
      <c r="E4882" t="inlineStr">
        <is>
          <t>SÄFFLE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4393-2021</t>
        </is>
      </c>
      <c r="B4883" s="1" t="n">
        <v>44223</v>
      </c>
      <c r="C4883" s="1" t="n">
        <v>45353</v>
      </c>
      <c r="D4883" t="inlineStr">
        <is>
          <t>VÄRMLANDS LÄN</t>
        </is>
      </c>
      <c r="E4883" t="inlineStr">
        <is>
          <t>TORSBY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4564-2021</t>
        </is>
      </c>
      <c r="B4884" s="1" t="n">
        <v>44223</v>
      </c>
      <c r="C4884" s="1" t="n">
        <v>45353</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4420-2021</t>
        </is>
      </c>
      <c r="B4885" s="1" t="n">
        <v>44224</v>
      </c>
      <c r="C4885" s="1" t="n">
        <v>45353</v>
      </c>
      <c r="D4885" t="inlineStr">
        <is>
          <t>VÄRMLANDS LÄN</t>
        </is>
      </c>
      <c r="E4885" t="inlineStr">
        <is>
          <t>FILIPSTAD</t>
        </is>
      </c>
      <c r="F4885" t="inlineStr">
        <is>
          <t>Bergvik skog väst AB</t>
        </is>
      </c>
      <c r="G4885" t="n">
        <v>23.1</v>
      </c>
      <c r="H4885" t="n">
        <v>0</v>
      </c>
      <c r="I4885" t="n">
        <v>0</v>
      </c>
      <c r="J4885" t="n">
        <v>0</v>
      </c>
      <c r="K4885" t="n">
        <v>0</v>
      </c>
      <c r="L4885" t="n">
        <v>0</v>
      </c>
      <c r="M4885" t="n">
        <v>0</v>
      </c>
      <c r="N4885" t="n">
        <v>0</v>
      </c>
      <c r="O4885" t="n">
        <v>0</v>
      </c>
      <c r="P4885" t="n">
        <v>0</v>
      </c>
      <c r="Q4885" t="n">
        <v>0</v>
      </c>
      <c r="R4885" s="2" t="inlineStr"/>
    </row>
    <row r="4886" ht="15" customHeight="1">
      <c r="A4886" t="inlineStr">
        <is>
          <t>A 4537-2021</t>
        </is>
      </c>
      <c r="B4886" s="1" t="n">
        <v>44224</v>
      </c>
      <c r="C4886" s="1" t="n">
        <v>45353</v>
      </c>
      <c r="D4886" t="inlineStr">
        <is>
          <t>VÄRMLANDS LÄN</t>
        </is>
      </c>
      <c r="E4886" t="inlineStr">
        <is>
          <t>EDA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4593-2021</t>
        </is>
      </c>
      <c r="B4887" s="1" t="n">
        <v>44224</v>
      </c>
      <c r="C4887" s="1" t="n">
        <v>45353</v>
      </c>
      <c r="D4887" t="inlineStr">
        <is>
          <t>VÄRMLANDS LÄN</t>
        </is>
      </c>
      <c r="E4887" t="inlineStr">
        <is>
          <t>SÄFFLE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4479-2021</t>
        </is>
      </c>
      <c r="B4888" s="1" t="n">
        <v>44224</v>
      </c>
      <c r="C4888" s="1" t="n">
        <v>45353</v>
      </c>
      <c r="D4888" t="inlineStr">
        <is>
          <t>VÄRMLANDS LÄN</t>
        </is>
      </c>
      <c r="E4888" t="inlineStr">
        <is>
          <t>TORSBY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4617-2021</t>
        </is>
      </c>
      <c r="B4889" s="1" t="n">
        <v>44224</v>
      </c>
      <c r="C4889" s="1" t="n">
        <v>45353</v>
      </c>
      <c r="D4889" t="inlineStr">
        <is>
          <t>VÄRMLANDS LÄN</t>
        </is>
      </c>
      <c r="E4889" t="inlineStr">
        <is>
          <t>FILIPSTAD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4475-2021</t>
        </is>
      </c>
      <c r="B4890" s="1" t="n">
        <v>44224</v>
      </c>
      <c r="C4890" s="1" t="n">
        <v>45353</v>
      </c>
      <c r="D4890" t="inlineStr">
        <is>
          <t>VÄRMLANDS LÄN</t>
        </is>
      </c>
      <c r="E4890" t="inlineStr">
        <is>
          <t>FILIPSTAD</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4607-2021</t>
        </is>
      </c>
      <c r="B4891" s="1" t="n">
        <v>44224</v>
      </c>
      <c r="C4891" s="1" t="n">
        <v>45353</v>
      </c>
      <c r="D4891" t="inlineStr">
        <is>
          <t>VÄRMLANDS LÄN</t>
        </is>
      </c>
      <c r="E4891" t="inlineStr">
        <is>
          <t>ÅRJÄNG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4619-2021</t>
        </is>
      </c>
      <c r="B4892" s="1" t="n">
        <v>44224</v>
      </c>
      <c r="C4892" s="1" t="n">
        <v>45353</v>
      </c>
      <c r="D4892" t="inlineStr">
        <is>
          <t>VÄRMLANDS LÄN</t>
        </is>
      </c>
      <c r="E4892" t="inlineStr">
        <is>
          <t>FILIPSTAD</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4630-2021</t>
        </is>
      </c>
      <c r="B4893" s="1" t="n">
        <v>44224</v>
      </c>
      <c r="C4893" s="1" t="n">
        <v>45353</v>
      </c>
      <c r="D4893" t="inlineStr">
        <is>
          <t>VÄRMLANDS LÄN</t>
        </is>
      </c>
      <c r="E4893" t="inlineStr">
        <is>
          <t>ARVIKA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4702-2021</t>
        </is>
      </c>
      <c r="B4894" s="1" t="n">
        <v>44225</v>
      </c>
      <c r="C4894" s="1" t="n">
        <v>45353</v>
      </c>
      <c r="D4894" t="inlineStr">
        <is>
          <t>VÄRMLANDS LÄN</t>
        </is>
      </c>
      <c r="E4894" t="inlineStr">
        <is>
          <t>EDA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4711-2021</t>
        </is>
      </c>
      <c r="B4895" s="1" t="n">
        <v>44225</v>
      </c>
      <c r="C4895" s="1" t="n">
        <v>45353</v>
      </c>
      <c r="D4895" t="inlineStr">
        <is>
          <t>VÄRMLANDS LÄN</t>
        </is>
      </c>
      <c r="E4895" t="inlineStr">
        <is>
          <t>TORSBY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4681-2021</t>
        </is>
      </c>
      <c r="B4896" s="1" t="n">
        <v>44225</v>
      </c>
      <c r="C4896" s="1" t="n">
        <v>45353</v>
      </c>
      <c r="D4896" t="inlineStr">
        <is>
          <t>VÄRMLANDS LÄN</t>
        </is>
      </c>
      <c r="E4896" t="inlineStr">
        <is>
          <t>KARLSTAD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4712-2021</t>
        </is>
      </c>
      <c r="B4897" s="1" t="n">
        <v>44225</v>
      </c>
      <c r="C4897" s="1" t="n">
        <v>45353</v>
      </c>
      <c r="D4897" t="inlineStr">
        <is>
          <t>VÄRMLANDS LÄN</t>
        </is>
      </c>
      <c r="E4897" t="inlineStr">
        <is>
          <t>SUNNE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4724-2021</t>
        </is>
      </c>
      <c r="B4898" s="1" t="n">
        <v>44225</v>
      </c>
      <c r="C4898" s="1" t="n">
        <v>45353</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4863-2021</t>
        </is>
      </c>
      <c r="B4899" s="1" t="n">
        <v>44225</v>
      </c>
      <c r="C4899" s="1" t="n">
        <v>45353</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4834-2021</t>
        </is>
      </c>
      <c r="B4900" s="1" t="n">
        <v>44225</v>
      </c>
      <c r="C4900" s="1" t="n">
        <v>45353</v>
      </c>
      <c r="D4900" t="inlineStr">
        <is>
          <t>VÄRMLANDS LÄN</t>
        </is>
      </c>
      <c r="E4900" t="inlineStr">
        <is>
          <t>HAGFORS</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4738-2021</t>
        </is>
      </c>
      <c r="B4901" s="1" t="n">
        <v>44225</v>
      </c>
      <c r="C4901" s="1" t="n">
        <v>45353</v>
      </c>
      <c r="D4901" t="inlineStr">
        <is>
          <t>VÄRMLANDS LÄN</t>
        </is>
      </c>
      <c r="E4901" t="inlineStr">
        <is>
          <t>FILIPSTAD</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5682-2021</t>
        </is>
      </c>
      <c r="B4902" s="1" t="n">
        <v>44225</v>
      </c>
      <c r="C4902" s="1" t="n">
        <v>45353</v>
      </c>
      <c r="D4902" t="inlineStr">
        <is>
          <t>VÄRMLANDS LÄN</t>
        </is>
      </c>
      <c r="E4902" t="inlineStr">
        <is>
          <t>KARLSTAD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4916-2021</t>
        </is>
      </c>
      <c r="B4903" s="1" t="n">
        <v>44226</v>
      </c>
      <c r="C4903" s="1" t="n">
        <v>45353</v>
      </c>
      <c r="D4903" t="inlineStr">
        <is>
          <t>VÄRMLANDS LÄN</t>
        </is>
      </c>
      <c r="E4903" t="inlineStr">
        <is>
          <t>SUNNE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4935-2021</t>
        </is>
      </c>
      <c r="B4904" s="1" t="n">
        <v>44227</v>
      </c>
      <c r="C4904" s="1" t="n">
        <v>45353</v>
      </c>
      <c r="D4904" t="inlineStr">
        <is>
          <t>VÄRMLANDS LÄN</t>
        </is>
      </c>
      <c r="E4904" t="inlineStr">
        <is>
          <t>EDA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4934-2021</t>
        </is>
      </c>
      <c r="B4905" s="1" t="n">
        <v>44227</v>
      </c>
      <c r="C4905" s="1" t="n">
        <v>45353</v>
      </c>
      <c r="D4905" t="inlineStr">
        <is>
          <t>VÄRMLANDS LÄN</t>
        </is>
      </c>
      <c r="E4905" t="inlineStr">
        <is>
          <t>EDA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4936-2021</t>
        </is>
      </c>
      <c r="B4906" s="1" t="n">
        <v>44227</v>
      </c>
      <c r="C4906" s="1" t="n">
        <v>45353</v>
      </c>
      <c r="D4906" t="inlineStr">
        <is>
          <t>VÄRMLANDS LÄN</t>
        </is>
      </c>
      <c r="E4906" t="inlineStr">
        <is>
          <t>EDA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4991-2021</t>
        </is>
      </c>
      <c r="B4907" s="1" t="n">
        <v>44228</v>
      </c>
      <c r="C4907" s="1" t="n">
        <v>45353</v>
      </c>
      <c r="D4907" t="inlineStr">
        <is>
          <t>VÄRMLANDS LÄN</t>
        </is>
      </c>
      <c r="E4907" t="inlineStr">
        <is>
          <t>FORSHAGA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5141-2021</t>
        </is>
      </c>
      <c r="B4908" s="1" t="n">
        <v>44228</v>
      </c>
      <c r="C4908" s="1" t="n">
        <v>45353</v>
      </c>
      <c r="D4908" t="inlineStr">
        <is>
          <t>VÄRMLANDS LÄN</t>
        </is>
      </c>
      <c r="E4908" t="inlineStr">
        <is>
          <t>FILIPSTAD</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5167-2021</t>
        </is>
      </c>
      <c r="B4909" s="1" t="n">
        <v>44228</v>
      </c>
      <c r="C4909" s="1" t="n">
        <v>45353</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5072-2021</t>
        </is>
      </c>
      <c r="B4910" s="1" t="n">
        <v>44228</v>
      </c>
      <c r="C4910" s="1" t="n">
        <v>45353</v>
      </c>
      <c r="D4910" t="inlineStr">
        <is>
          <t>VÄRMLANDS LÄN</t>
        </is>
      </c>
      <c r="E4910" t="inlineStr">
        <is>
          <t>HAMMARÖ</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5176-2021</t>
        </is>
      </c>
      <c r="B4911" s="1" t="n">
        <v>44228</v>
      </c>
      <c r="C4911" s="1" t="n">
        <v>45353</v>
      </c>
      <c r="D4911" t="inlineStr">
        <is>
          <t>VÄRMLANDS LÄN</t>
        </is>
      </c>
      <c r="E4911" t="inlineStr">
        <is>
          <t>FILIPSTAD</t>
        </is>
      </c>
      <c r="F4911" t="inlineStr">
        <is>
          <t>Bergvik skog väst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5050-2021</t>
        </is>
      </c>
      <c r="B4912" s="1" t="n">
        <v>44228</v>
      </c>
      <c r="C4912" s="1" t="n">
        <v>45353</v>
      </c>
      <c r="D4912" t="inlineStr">
        <is>
          <t>VÄRMLANDS LÄN</t>
        </is>
      </c>
      <c r="E4912" t="inlineStr">
        <is>
          <t>TORSBY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5105-2021</t>
        </is>
      </c>
      <c r="B4913" s="1" t="n">
        <v>44228</v>
      </c>
      <c r="C4913" s="1" t="n">
        <v>45353</v>
      </c>
      <c r="D4913" t="inlineStr">
        <is>
          <t>VÄRMLANDS LÄN</t>
        </is>
      </c>
      <c r="E4913" t="inlineStr">
        <is>
          <t>TORSBY</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5197-2021</t>
        </is>
      </c>
      <c r="B4914" s="1" t="n">
        <v>44228</v>
      </c>
      <c r="C4914" s="1" t="n">
        <v>45353</v>
      </c>
      <c r="D4914" t="inlineStr">
        <is>
          <t>VÄRMLANDS LÄN</t>
        </is>
      </c>
      <c r="E4914" t="inlineStr">
        <is>
          <t>KARLSTAD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5328-2021</t>
        </is>
      </c>
      <c r="B4915" s="1" t="n">
        <v>44229</v>
      </c>
      <c r="C4915" s="1" t="n">
        <v>45353</v>
      </c>
      <c r="D4915" t="inlineStr">
        <is>
          <t>VÄRMLANDS LÄN</t>
        </is>
      </c>
      <c r="E4915" t="inlineStr">
        <is>
          <t>KIL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5259-2021</t>
        </is>
      </c>
      <c r="B4916" s="1" t="n">
        <v>44229</v>
      </c>
      <c r="C4916" s="1" t="n">
        <v>45353</v>
      </c>
      <c r="D4916" t="inlineStr">
        <is>
          <t>VÄRMLANDS LÄN</t>
        </is>
      </c>
      <c r="E4916" t="inlineStr">
        <is>
          <t>ÅRJÄNG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5342-2021</t>
        </is>
      </c>
      <c r="B4917" s="1" t="n">
        <v>44229</v>
      </c>
      <c r="C4917" s="1" t="n">
        <v>45353</v>
      </c>
      <c r="D4917" t="inlineStr">
        <is>
          <t>VÄRMLANDS LÄN</t>
        </is>
      </c>
      <c r="E4917" t="inlineStr">
        <is>
          <t>FILIPSTAD</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5329-2021</t>
        </is>
      </c>
      <c r="B4918" s="1" t="n">
        <v>44229</v>
      </c>
      <c r="C4918" s="1" t="n">
        <v>45353</v>
      </c>
      <c r="D4918" t="inlineStr">
        <is>
          <t>VÄRMLANDS LÄN</t>
        </is>
      </c>
      <c r="E4918" t="inlineStr">
        <is>
          <t>KIL</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5365-2021</t>
        </is>
      </c>
      <c r="B4919" s="1" t="n">
        <v>44229</v>
      </c>
      <c r="C4919" s="1" t="n">
        <v>45353</v>
      </c>
      <c r="D4919" t="inlineStr">
        <is>
          <t>VÄRMLANDS LÄN</t>
        </is>
      </c>
      <c r="E4919" t="inlineStr">
        <is>
          <t>TORSBY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5229-2021</t>
        </is>
      </c>
      <c r="B4920" s="1" t="n">
        <v>44229</v>
      </c>
      <c r="C4920" s="1" t="n">
        <v>45353</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6169-2021</t>
        </is>
      </c>
      <c r="B4921" s="1" t="n">
        <v>44229</v>
      </c>
      <c r="C4921" s="1" t="n">
        <v>45353</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5729-2021</t>
        </is>
      </c>
      <c r="B4922" s="1" t="n">
        <v>44229</v>
      </c>
      <c r="C4922" s="1" t="n">
        <v>45353</v>
      </c>
      <c r="D4922" t="inlineStr">
        <is>
          <t>VÄRMLANDS LÄN</t>
        </is>
      </c>
      <c r="E4922" t="inlineStr">
        <is>
          <t>FILIPSTAD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6164-2021</t>
        </is>
      </c>
      <c r="B4923" s="1" t="n">
        <v>44229</v>
      </c>
      <c r="C4923" s="1" t="n">
        <v>45353</v>
      </c>
      <c r="D4923" t="inlineStr">
        <is>
          <t>VÄRMLANDS LÄN</t>
        </is>
      </c>
      <c r="E4923" t="inlineStr">
        <is>
          <t>SÄFFLE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5428-2021</t>
        </is>
      </c>
      <c r="B4924" s="1" t="n">
        <v>44229</v>
      </c>
      <c r="C4924" s="1" t="n">
        <v>45353</v>
      </c>
      <c r="D4924" t="inlineStr">
        <is>
          <t>VÄRMLANDS LÄN</t>
        </is>
      </c>
      <c r="E4924" t="inlineStr">
        <is>
          <t>MUNKFORS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5713-2021</t>
        </is>
      </c>
      <c r="B4925" s="1" t="n">
        <v>44230</v>
      </c>
      <c r="C4925" s="1" t="n">
        <v>45353</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5572-2021</t>
        </is>
      </c>
      <c r="B4926" s="1" t="n">
        <v>44230</v>
      </c>
      <c r="C4926" s="1" t="n">
        <v>45353</v>
      </c>
      <c r="D4926" t="inlineStr">
        <is>
          <t>VÄRMLANDS LÄN</t>
        </is>
      </c>
      <c r="E4926" t="inlineStr">
        <is>
          <t>TORSBY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5634-2021</t>
        </is>
      </c>
      <c r="B4927" s="1" t="n">
        <v>44230</v>
      </c>
      <c r="C4927" s="1" t="n">
        <v>45353</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5710-2021</t>
        </is>
      </c>
      <c r="B4928" s="1" t="n">
        <v>44230</v>
      </c>
      <c r="C4928" s="1" t="n">
        <v>45353</v>
      </c>
      <c r="D4928" t="inlineStr">
        <is>
          <t>VÄRMLANDS LÄN</t>
        </is>
      </c>
      <c r="E4928" t="inlineStr">
        <is>
          <t>KARLSTAD</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5890-2021</t>
        </is>
      </c>
      <c r="B4929" s="1" t="n">
        <v>44230</v>
      </c>
      <c r="C4929" s="1" t="n">
        <v>45353</v>
      </c>
      <c r="D4929" t="inlineStr">
        <is>
          <t>VÄRMLANDS LÄN</t>
        </is>
      </c>
      <c r="E4929" t="inlineStr">
        <is>
          <t>SUNNE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5884-2021</t>
        </is>
      </c>
      <c r="B4930" s="1" t="n">
        <v>44230</v>
      </c>
      <c r="C4930" s="1" t="n">
        <v>45353</v>
      </c>
      <c r="D4930" t="inlineStr">
        <is>
          <t>VÄRMLANDS LÄN</t>
        </is>
      </c>
      <c r="E4930" t="inlineStr">
        <is>
          <t>SUNNE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6055-2021</t>
        </is>
      </c>
      <c r="B4931" s="1" t="n">
        <v>44230</v>
      </c>
      <c r="C4931" s="1" t="n">
        <v>45353</v>
      </c>
      <c r="D4931" t="inlineStr">
        <is>
          <t>VÄRMLANDS LÄN</t>
        </is>
      </c>
      <c r="E4931" t="inlineStr">
        <is>
          <t>SÄFFLE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5834-2021</t>
        </is>
      </c>
      <c r="B4932" s="1" t="n">
        <v>44231</v>
      </c>
      <c r="C4932" s="1" t="n">
        <v>45353</v>
      </c>
      <c r="D4932" t="inlineStr">
        <is>
          <t>VÄRMLANDS LÄN</t>
        </is>
      </c>
      <c r="E4932" t="inlineStr">
        <is>
          <t>FILIPSTAD</t>
        </is>
      </c>
      <c r="F4932" t="inlineStr">
        <is>
          <t>Bergvik skog väst AB</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5839-2021</t>
        </is>
      </c>
      <c r="B4933" s="1" t="n">
        <v>44231</v>
      </c>
      <c r="C4933" s="1" t="n">
        <v>45353</v>
      </c>
      <c r="D4933" t="inlineStr">
        <is>
          <t>VÄRMLANDS LÄN</t>
        </is>
      </c>
      <c r="E4933" t="inlineStr">
        <is>
          <t>TORSBY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5881-2021</t>
        </is>
      </c>
      <c r="B4934" s="1" t="n">
        <v>44231</v>
      </c>
      <c r="C4934" s="1" t="n">
        <v>45353</v>
      </c>
      <c r="D4934" t="inlineStr">
        <is>
          <t>VÄRMLANDS LÄN</t>
        </is>
      </c>
      <c r="E4934" t="inlineStr">
        <is>
          <t>ARVIKA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5920-2021</t>
        </is>
      </c>
      <c r="B4935" s="1" t="n">
        <v>44231</v>
      </c>
      <c r="C4935" s="1" t="n">
        <v>45353</v>
      </c>
      <c r="D4935" t="inlineStr">
        <is>
          <t>VÄRMLANDS LÄN</t>
        </is>
      </c>
      <c r="E4935" t="inlineStr">
        <is>
          <t>SÄFFLE</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5907-2021</t>
        </is>
      </c>
      <c r="B4936" s="1" t="n">
        <v>44231</v>
      </c>
      <c r="C4936" s="1" t="n">
        <v>45353</v>
      </c>
      <c r="D4936" t="inlineStr">
        <is>
          <t>VÄRMLANDS LÄN</t>
        </is>
      </c>
      <c r="E4936" t="inlineStr">
        <is>
          <t>ARVIKA</t>
        </is>
      </c>
      <c r="F4936" t="inlineStr">
        <is>
          <t>Bergvik skog väst AB</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6034-2021</t>
        </is>
      </c>
      <c r="B4937" s="1" t="n">
        <v>44232</v>
      </c>
      <c r="C4937" s="1" t="n">
        <v>45353</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6063-2021</t>
        </is>
      </c>
      <c r="B4938" s="1" t="n">
        <v>44232</v>
      </c>
      <c r="C4938" s="1" t="n">
        <v>45353</v>
      </c>
      <c r="D4938" t="inlineStr">
        <is>
          <t>VÄRMLANDS LÄN</t>
        </is>
      </c>
      <c r="E4938" t="inlineStr">
        <is>
          <t>TORSBY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6111-2021</t>
        </is>
      </c>
      <c r="B4939" s="1" t="n">
        <v>44232</v>
      </c>
      <c r="C4939" s="1" t="n">
        <v>45353</v>
      </c>
      <c r="D4939" t="inlineStr">
        <is>
          <t>VÄRMLANDS LÄN</t>
        </is>
      </c>
      <c r="E4939" t="inlineStr">
        <is>
          <t>TORSBY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6121-2021</t>
        </is>
      </c>
      <c r="B4940" s="1" t="n">
        <v>44232</v>
      </c>
      <c r="C4940" s="1" t="n">
        <v>45353</v>
      </c>
      <c r="D4940" t="inlineStr">
        <is>
          <t>VÄRMLANDS LÄN</t>
        </is>
      </c>
      <c r="E4940" t="inlineStr">
        <is>
          <t>TORSBY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6068-2021</t>
        </is>
      </c>
      <c r="B4941" s="1" t="n">
        <v>44232</v>
      </c>
      <c r="C4941" s="1" t="n">
        <v>45353</v>
      </c>
      <c r="D4941" t="inlineStr">
        <is>
          <t>VÄRMLANDS LÄN</t>
        </is>
      </c>
      <c r="E4941" t="inlineStr">
        <is>
          <t>TORSBY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6102-2021</t>
        </is>
      </c>
      <c r="B4942" s="1" t="n">
        <v>44232</v>
      </c>
      <c r="C4942" s="1" t="n">
        <v>45353</v>
      </c>
      <c r="D4942" t="inlineStr">
        <is>
          <t>VÄRMLANDS LÄN</t>
        </is>
      </c>
      <c r="E4942" t="inlineStr">
        <is>
          <t>TORSBY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6184-2021</t>
        </is>
      </c>
      <c r="B4943" s="1" t="n">
        <v>44233</v>
      </c>
      <c r="C4943" s="1" t="n">
        <v>45353</v>
      </c>
      <c r="D4943" t="inlineStr">
        <is>
          <t>VÄRMLANDS LÄN</t>
        </is>
      </c>
      <c r="E4943" t="inlineStr">
        <is>
          <t>ARVIKA</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6195-2021</t>
        </is>
      </c>
      <c r="B4944" s="1" t="n">
        <v>44234</v>
      </c>
      <c r="C4944" s="1" t="n">
        <v>45353</v>
      </c>
      <c r="D4944" t="inlineStr">
        <is>
          <t>VÄRMLANDS LÄN</t>
        </is>
      </c>
      <c r="E4944" t="inlineStr">
        <is>
          <t>SUNNE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6194-2021</t>
        </is>
      </c>
      <c r="B4945" s="1" t="n">
        <v>44234</v>
      </c>
      <c r="C4945" s="1" t="n">
        <v>45353</v>
      </c>
      <c r="D4945" t="inlineStr">
        <is>
          <t>VÄRMLANDS LÄN</t>
        </is>
      </c>
      <c r="E4945" t="inlineStr">
        <is>
          <t>KRISTINEHAMN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6364-2021</t>
        </is>
      </c>
      <c r="B4946" s="1" t="n">
        <v>44235</v>
      </c>
      <c r="C4946" s="1" t="n">
        <v>45353</v>
      </c>
      <c r="D4946" t="inlineStr">
        <is>
          <t>VÄRMLANDS LÄN</t>
        </is>
      </c>
      <c r="E4946" t="inlineStr">
        <is>
          <t>SUNNE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6209-2021</t>
        </is>
      </c>
      <c r="B4947" s="1" t="n">
        <v>44235</v>
      </c>
      <c r="C4947" s="1" t="n">
        <v>45353</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6289-2021</t>
        </is>
      </c>
      <c r="B4948" s="1" t="n">
        <v>44235</v>
      </c>
      <c r="C4948" s="1" t="n">
        <v>45353</v>
      </c>
      <c r="D4948" t="inlineStr">
        <is>
          <t>VÄRMLANDS LÄN</t>
        </is>
      </c>
      <c r="E4948" t="inlineStr">
        <is>
          <t>SUNNE</t>
        </is>
      </c>
      <c r="F4948" t="inlineStr">
        <is>
          <t>Bergvik skog väst AB</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6389-2021</t>
        </is>
      </c>
      <c r="B4949" s="1" t="n">
        <v>44235</v>
      </c>
      <c r="C4949" s="1" t="n">
        <v>45353</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6410-2021</t>
        </is>
      </c>
      <c r="B4950" s="1" t="n">
        <v>44235</v>
      </c>
      <c r="C4950" s="1" t="n">
        <v>45353</v>
      </c>
      <c r="D4950" t="inlineStr">
        <is>
          <t>VÄRMLANDS LÄN</t>
        </is>
      </c>
      <c r="E4950" t="inlineStr">
        <is>
          <t>ÅRJÄNG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6474-2021</t>
        </is>
      </c>
      <c r="B4951" s="1" t="n">
        <v>44235</v>
      </c>
      <c r="C4951" s="1" t="n">
        <v>45353</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6539-2021</t>
        </is>
      </c>
      <c r="B4952" s="1" t="n">
        <v>44235</v>
      </c>
      <c r="C4952" s="1" t="n">
        <v>45353</v>
      </c>
      <c r="D4952" t="inlineStr">
        <is>
          <t>VÄRMLANDS LÄN</t>
        </is>
      </c>
      <c r="E4952" t="inlineStr">
        <is>
          <t>FILIPSTAD</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6472-2021</t>
        </is>
      </c>
      <c r="B4953" s="1" t="n">
        <v>44235</v>
      </c>
      <c r="C4953" s="1" t="n">
        <v>45353</v>
      </c>
      <c r="D4953" t="inlineStr">
        <is>
          <t>VÄRMLANDS LÄN</t>
        </is>
      </c>
      <c r="E4953" t="inlineStr">
        <is>
          <t>EDA</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6478-2021</t>
        </is>
      </c>
      <c r="B4954" s="1" t="n">
        <v>44235</v>
      </c>
      <c r="C4954" s="1" t="n">
        <v>45353</v>
      </c>
      <c r="D4954" t="inlineStr">
        <is>
          <t>VÄRMLANDS LÄN</t>
        </is>
      </c>
      <c r="E4954" t="inlineStr">
        <is>
          <t>ARVIKA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6542-2021</t>
        </is>
      </c>
      <c r="B4955" s="1" t="n">
        <v>44235</v>
      </c>
      <c r="C4955" s="1" t="n">
        <v>45353</v>
      </c>
      <c r="D4955" t="inlineStr">
        <is>
          <t>VÄRMLANDS LÄN</t>
        </is>
      </c>
      <c r="E4955" t="inlineStr">
        <is>
          <t>FILIPSTAD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6522-2021</t>
        </is>
      </c>
      <c r="B4956" s="1" t="n">
        <v>44236</v>
      </c>
      <c r="C4956" s="1" t="n">
        <v>45353</v>
      </c>
      <c r="D4956" t="inlineStr">
        <is>
          <t>VÄRMLANDS LÄN</t>
        </is>
      </c>
      <c r="E4956" t="inlineStr">
        <is>
          <t>ÅRJÄNG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6551-2021</t>
        </is>
      </c>
      <c r="B4957" s="1" t="n">
        <v>44236</v>
      </c>
      <c r="C4957" s="1" t="n">
        <v>45353</v>
      </c>
      <c r="D4957" t="inlineStr">
        <is>
          <t>VÄRMLANDS LÄN</t>
        </is>
      </c>
      <c r="E4957" t="inlineStr">
        <is>
          <t>ÅRJÄNG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6505-2021</t>
        </is>
      </c>
      <c r="B4958" s="1" t="n">
        <v>44236</v>
      </c>
      <c r="C4958" s="1" t="n">
        <v>45353</v>
      </c>
      <c r="D4958" t="inlineStr">
        <is>
          <t>VÄRMLANDS LÄN</t>
        </is>
      </c>
      <c r="E4958" t="inlineStr">
        <is>
          <t>KRISTINEHAMN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6656-2021</t>
        </is>
      </c>
      <c r="B4959" s="1" t="n">
        <v>44236</v>
      </c>
      <c r="C4959" s="1" t="n">
        <v>45353</v>
      </c>
      <c r="D4959" t="inlineStr">
        <is>
          <t>VÄRMLANDS LÄN</t>
        </is>
      </c>
      <c r="E4959" t="inlineStr">
        <is>
          <t>TORSBY</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6696-2021</t>
        </is>
      </c>
      <c r="B4960" s="1" t="n">
        <v>44236</v>
      </c>
      <c r="C4960" s="1" t="n">
        <v>45353</v>
      </c>
      <c r="D4960" t="inlineStr">
        <is>
          <t>VÄRMLANDS LÄN</t>
        </is>
      </c>
      <c r="E4960" t="inlineStr">
        <is>
          <t>EDA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6709-2021</t>
        </is>
      </c>
      <c r="B4961" s="1" t="n">
        <v>44236</v>
      </c>
      <c r="C4961" s="1" t="n">
        <v>45353</v>
      </c>
      <c r="D4961" t="inlineStr">
        <is>
          <t>VÄRMLANDS LÄN</t>
        </is>
      </c>
      <c r="E4961" t="inlineStr">
        <is>
          <t>SUNNE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6770-2021</t>
        </is>
      </c>
      <c r="B4962" s="1" t="n">
        <v>44236</v>
      </c>
      <c r="C4962" s="1" t="n">
        <v>45353</v>
      </c>
      <c r="D4962" t="inlineStr">
        <is>
          <t>VÄRMLANDS LÄN</t>
        </is>
      </c>
      <c r="E4962" t="inlineStr">
        <is>
          <t>FILIPSTAD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6825-2021</t>
        </is>
      </c>
      <c r="B4963" s="1" t="n">
        <v>44237</v>
      </c>
      <c r="C4963" s="1" t="n">
        <v>45353</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6900-2021</t>
        </is>
      </c>
      <c r="B4964" s="1" t="n">
        <v>44237</v>
      </c>
      <c r="C4964" s="1" t="n">
        <v>45353</v>
      </c>
      <c r="D4964" t="inlineStr">
        <is>
          <t>VÄRMLANDS LÄN</t>
        </is>
      </c>
      <c r="E4964" t="inlineStr">
        <is>
          <t>ÅRJÄNG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6908-2021</t>
        </is>
      </c>
      <c r="B4965" s="1" t="n">
        <v>44237</v>
      </c>
      <c r="C4965" s="1" t="n">
        <v>45353</v>
      </c>
      <c r="D4965" t="inlineStr">
        <is>
          <t>VÄRMLANDS LÄN</t>
        </is>
      </c>
      <c r="E4965" t="inlineStr">
        <is>
          <t>ÅRJÄNG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6964-2021</t>
        </is>
      </c>
      <c r="B4966" s="1" t="n">
        <v>44237</v>
      </c>
      <c r="C4966" s="1" t="n">
        <v>45353</v>
      </c>
      <c r="D4966" t="inlineStr">
        <is>
          <t>VÄRMLANDS LÄN</t>
        </is>
      </c>
      <c r="E4966" t="inlineStr">
        <is>
          <t>FORSHAGA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6937-2021</t>
        </is>
      </c>
      <c r="B4967" s="1" t="n">
        <v>44237</v>
      </c>
      <c r="C4967" s="1" t="n">
        <v>45353</v>
      </c>
      <c r="D4967" t="inlineStr">
        <is>
          <t>VÄRMLANDS LÄN</t>
        </is>
      </c>
      <c r="E4967" t="inlineStr">
        <is>
          <t>SUNNE</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7223-2021</t>
        </is>
      </c>
      <c r="B4968" s="1" t="n">
        <v>44238</v>
      </c>
      <c r="C4968" s="1" t="n">
        <v>45353</v>
      </c>
      <c r="D4968" t="inlineStr">
        <is>
          <t>VÄRMLANDS LÄN</t>
        </is>
      </c>
      <c r="E4968" t="inlineStr">
        <is>
          <t>SUNNE</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7259-2021</t>
        </is>
      </c>
      <c r="B4969" s="1" t="n">
        <v>44238</v>
      </c>
      <c r="C4969" s="1" t="n">
        <v>45353</v>
      </c>
      <c r="D4969" t="inlineStr">
        <is>
          <t>VÄRMLANDS LÄN</t>
        </is>
      </c>
      <c r="E4969" t="inlineStr">
        <is>
          <t>ARVIKA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7224-2021</t>
        </is>
      </c>
      <c r="B4970" s="1" t="n">
        <v>44238</v>
      </c>
      <c r="C4970" s="1" t="n">
        <v>45353</v>
      </c>
      <c r="D4970" t="inlineStr">
        <is>
          <t>VÄRMLANDS LÄN</t>
        </is>
      </c>
      <c r="E4970" t="inlineStr">
        <is>
          <t>ARVIKA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7253-2021</t>
        </is>
      </c>
      <c r="B4971" s="1" t="n">
        <v>44238</v>
      </c>
      <c r="C4971" s="1" t="n">
        <v>45353</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7170-2021</t>
        </is>
      </c>
      <c r="B4972" s="1" t="n">
        <v>44238</v>
      </c>
      <c r="C4972" s="1" t="n">
        <v>45353</v>
      </c>
      <c r="D4972" t="inlineStr">
        <is>
          <t>VÄRMLANDS LÄN</t>
        </is>
      </c>
      <c r="E4972" t="inlineStr">
        <is>
          <t>MUNKFORS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7214-2021</t>
        </is>
      </c>
      <c r="B4973" s="1" t="n">
        <v>44238</v>
      </c>
      <c r="C4973" s="1" t="n">
        <v>45353</v>
      </c>
      <c r="D4973" t="inlineStr">
        <is>
          <t>VÄRMLANDS LÄN</t>
        </is>
      </c>
      <c r="E4973" t="inlineStr">
        <is>
          <t>ÅRJÄNG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7256-2021</t>
        </is>
      </c>
      <c r="B4974" s="1" t="n">
        <v>44238</v>
      </c>
      <c r="C4974" s="1" t="n">
        <v>45353</v>
      </c>
      <c r="D4974" t="inlineStr">
        <is>
          <t>VÄRMLANDS LÄN</t>
        </is>
      </c>
      <c r="E4974" t="inlineStr">
        <is>
          <t>ARVIKA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7301-2021</t>
        </is>
      </c>
      <c r="B4975" s="1" t="n">
        <v>44238</v>
      </c>
      <c r="C4975" s="1" t="n">
        <v>45353</v>
      </c>
      <c r="D4975" t="inlineStr">
        <is>
          <t>VÄRMLANDS LÄN</t>
        </is>
      </c>
      <c r="E4975" t="inlineStr">
        <is>
          <t>SÄFFLE</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7312-2021</t>
        </is>
      </c>
      <c r="B4976" s="1" t="n">
        <v>44238</v>
      </c>
      <c r="C4976" s="1" t="n">
        <v>45353</v>
      </c>
      <c r="D4976" t="inlineStr">
        <is>
          <t>VÄRMLANDS LÄN</t>
        </is>
      </c>
      <c r="E4976" t="inlineStr">
        <is>
          <t>GRUMS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7372-2021</t>
        </is>
      </c>
      <c r="B4977" s="1" t="n">
        <v>44239</v>
      </c>
      <c r="C4977" s="1" t="n">
        <v>45353</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7413-2021</t>
        </is>
      </c>
      <c r="B4978" s="1" t="n">
        <v>44239</v>
      </c>
      <c r="C4978" s="1" t="n">
        <v>45353</v>
      </c>
      <c r="D4978" t="inlineStr">
        <is>
          <t>VÄRMLANDS LÄN</t>
        </is>
      </c>
      <c r="E4978" t="inlineStr">
        <is>
          <t>SUNNE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7555-2021</t>
        </is>
      </c>
      <c r="B4979" s="1" t="n">
        <v>44239</v>
      </c>
      <c r="C4979" s="1" t="n">
        <v>45353</v>
      </c>
      <c r="D4979" t="inlineStr">
        <is>
          <t>VÄRMLANDS LÄN</t>
        </is>
      </c>
      <c r="E4979" t="inlineStr">
        <is>
          <t>ÅRJÄNG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7527-2021</t>
        </is>
      </c>
      <c r="B4980" s="1" t="n">
        <v>44239</v>
      </c>
      <c r="C4980" s="1" t="n">
        <v>45353</v>
      </c>
      <c r="D4980" t="inlineStr">
        <is>
          <t>VÄRMLANDS LÄN</t>
        </is>
      </c>
      <c r="E4980" t="inlineStr">
        <is>
          <t>ÅRJÄNG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7537-2021</t>
        </is>
      </c>
      <c r="B4981" s="1" t="n">
        <v>44239</v>
      </c>
      <c r="C4981" s="1" t="n">
        <v>45353</v>
      </c>
      <c r="D4981" t="inlineStr">
        <is>
          <t>VÄRMLANDS LÄN</t>
        </is>
      </c>
      <c r="E4981" t="inlineStr">
        <is>
          <t>ÅRJÄNG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7576-2021</t>
        </is>
      </c>
      <c r="B4982" s="1" t="n">
        <v>44240</v>
      </c>
      <c r="C4982" s="1" t="n">
        <v>45353</v>
      </c>
      <c r="D4982" t="inlineStr">
        <is>
          <t>VÄRMLANDS LÄN</t>
        </is>
      </c>
      <c r="E4982" t="inlineStr">
        <is>
          <t>ÅRJÄNG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7606-2021</t>
        </is>
      </c>
      <c r="B4983" s="1" t="n">
        <v>44241</v>
      </c>
      <c r="C4983" s="1" t="n">
        <v>45353</v>
      </c>
      <c r="D4983" t="inlineStr">
        <is>
          <t>VÄRMLANDS LÄN</t>
        </is>
      </c>
      <c r="E4983" t="inlineStr">
        <is>
          <t>HAGFORS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7593-2021</t>
        </is>
      </c>
      <c r="B4984" s="1" t="n">
        <v>44241</v>
      </c>
      <c r="C4984" s="1" t="n">
        <v>45353</v>
      </c>
      <c r="D4984" t="inlineStr">
        <is>
          <t>VÄRMLANDS LÄN</t>
        </is>
      </c>
      <c r="E4984" t="inlineStr">
        <is>
          <t>FILIPSTAD</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7605-2021</t>
        </is>
      </c>
      <c r="B4985" s="1" t="n">
        <v>44241</v>
      </c>
      <c r="C4985" s="1" t="n">
        <v>45353</v>
      </c>
      <c r="D4985" t="inlineStr">
        <is>
          <t>VÄRMLANDS LÄN</t>
        </is>
      </c>
      <c r="E4985" t="inlineStr">
        <is>
          <t>HAGFORS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7604-2021</t>
        </is>
      </c>
      <c r="B4986" s="1" t="n">
        <v>44241</v>
      </c>
      <c r="C4986" s="1" t="n">
        <v>45353</v>
      </c>
      <c r="D4986" t="inlineStr">
        <is>
          <t>VÄRMLANDS LÄN</t>
        </is>
      </c>
      <c r="E4986" t="inlineStr">
        <is>
          <t>HAGFORS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7661-2021</t>
        </is>
      </c>
      <c r="B4987" s="1" t="n">
        <v>44242</v>
      </c>
      <c r="C4987" s="1" t="n">
        <v>45353</v>
      </c>
      <c r="D4987" t="inlineStr">
        <is>
          <t>VÄRMLANDS LÄN</t>
        </is>
      </c>
      <c r="E4987" t="inlineStr">
        <is>
          <t>TORSBY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7725-2021</t>
        </is>
      </c>
      <c r="B4988" s="1" t="n">
        <v>44242</v>
      </c>
      <c r="C4988" s="1" t="n">
        <v>45353</v>
      </c>
      <c r="D4988" t="inlineStr">
        <is>
          <t>VÄRMLANDS LÄN</t>
        </is>
      </c>
      <c r="E4988" t="inlineStr">
        <is>
          <t>ARVIKA</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7723-2021</t>
        </is>
      </c>
      <c r="B4989" s="1" t="n">
        <v>44242</v>
      </c>
      <c r="C4989" s="1" t="n">
        <v>45353</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7758-2021</t>
        </is>
      </c>
      <c r="B4990" s="1" t="n">
        <v>44242</v>
      </c>
      <c r="C4990" s="1" t="n">
        <v>45353</v>
      </c>
      <c r="D4990" t="inlineStr">
        <is>
          <t>VÄRMLANDS LÄN</t>
        </is>
      </c>
      <c r="E4990" t="inlineStr">
        <is>
          <t>SÄFFLE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7727-2021</t>
        </is>
      </c>
      <c r="B4991" s="1" t="n">
        <v>44242</v>
      </c>
      <c r="C4991" s="1" t="n">
        <v>45353</v>
      </c>
      <c r="D4991" t="inlineStr">
        <is>
          <t>VÄRMLANDS LÄN</t>
        </is>
      </c>
      <c r="E4991" t="inlineStr">
        <is>
          <t>ARVIKA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7774-2021</t>
        </is>
      </c>
      <c r="B4992" s="1" t="n">
        <v>44242</v>
      </c>
      <c r="C4992" s="1" t="n">
        <v>45353</v>
      </c>
      <c r="D4992" t="inlineStr">
        <is>
          <t>VÄRMLANDS LÄN</t>
        </is>
      </c>
      <c r="E4992" t="inlineStr">
        <is>
          <t>ÅRJÄNG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7975-2021</t>
        </is>
      </c>
      <c r="B4993" s="1" t="n">
        <v>44242</v>
      </c>
      <c r="C4993" s="1" t="n">
        <v>45353</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8034-2021</t>
        </is>
      </c>
      <c r="B4994" s="1" t="n">
        <v>44243</v>
      </c>
      <c r="C4994" s="1" t="n">
        <v>45353</v>
      </c>
      <c r="D4994" t="inlineStr">
        <is>
          <t>VÄRMLANDS LÄN</t>
        </is>
      </c>
      <c r="E4994" t="inlineStr">
        <is>
          <t>TORSBY</t>
        </is>
      </c>
      <c r="G4994" t="n">
        <v>15.4</v>
      </c>
      <c r="H4994" t="n">
        <v>0</v>
      </c>
      <c r="I4994" t="n">
        <v>0</v>
      </c>
      <c r="J4994" t="n">
        <v>0</v>
      </c>
      <c r="K4994" t="n">
        <v>0</v>
      </c>
      <c r="L4994" t="n">
        <v>0</v>
      </c>
      <c r="M4994" t="n">
        <v>0</v>
      </c>
      <c r="N4994" t="n">
        <v>0</v>
      </c>
      <c r="O4994" t="n">
        <v>0</v>
      </c>
      <c r="P4994" t="n">
        <v>0</v>
      </c>
      <c r="Q4994" t="n">
        <v>0</v>
      </c>
      <c r="R4994" s="2" t="inlineStr"/>
    </row>
    <row r="4995" ht="15" customHeight="1">
      <c r="A4995" t="inlineStr">
        <is>
          <t>A 7898-2021</t>
        </is>
      </c>
      <c r="B4995" s="1" t="n">
        <v>44243</v>
      </c>
      <c r="C4995" s="1" t="n">
        <v>45353</v>
      </c>
      <c r="D4995" t="inlineStr">
        <is>
          <t>VÄRMLANDS LÄN</t>
        </is>
      </c>
      <c r="E4995" t="inlineStr">
        <is>
          <t>TORSBY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8228-2021</t>
        </is>
      </c>
      <c r="B4996" s="1" t="n">
        <v>44243</v>
      </c>
      <c r="C4996" s="1" t="n">
        <v>45353</v>
      </c>
      <c r="D4996" t="inlineStr">
        <is>
          <t>VÄRMLANDS LÄN</t>
        </is>
      </c>
      <c r="E4996" t="inlineStr">
        <is>
          <t>KARLSTAD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8230-2021</t>
        </is>
      </c>
      <c r="B4997" s="1" t="n">
        <v>44243</v>
      </c>
      <c r="C4997" s="1" t="n">
        <v>45353</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8151-2021</t>
        </is>
      </c>
      <c r="B4998" s="1" t="n">
        <v>44244</v>
      </c>
      <c r="C4998" s="1" t="n">
        <v>45353</v>
      </c>
      <c r="D4998" t="inlineStr">
        <is>
          <t>VÄRMLANDS LÄN</t>
        </is>
      </c>
      <c r="E4998" t="inlineStr">
        <is>
          <t>EDA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8132-2021</t>
        </is>
      </c>
      <c r="B4999" s="1" t="n">
        <v>44244</v>
      </c>
      <c r="C4999" s="1" t="n">
        <v>45353</v>
      </c>
      <c r="D4999" t="inlineStr">
        <is>
          <t>VÄRMLANDS LÄN</t>
        </is>
      </c>
      <c r="E4999" t="inlineStr">
        <is>
          <t>EDA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8144-2021</t>
        </is>
      </c>
      <c r="B5000" s="1" t="n">
        <v>44244</v>
      </c>
      <c r="C5000" s="1" t="n">
        <v>45353</v>
      </c>
      <c r="D5000" t="inlineStr">
        <is>
          <t>VÄRMLANDS LÄN</t>
        </is>
      </c>
      <c r="E5000" t="inlineStr">
        <is>
          <t>EDA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8192-2021</t>
        </is>
      </c>
      <c r="B5001" s="1" t="n">
        <v>44244</v>
      </c>
      <c r="C5001" s="1" t="n">
        <v>45353</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8140-2021</t>
        </is>
      </c>
      <c r="B5002" s="1" t="n">
        <v>44244</v>
      </c>
      <c r="C5002" s="1" t="n">
        <v>45353</v>
      </c>
      <c r="D5002" t="inlineStr">
        <is>
          <t>VÄRMLANDS LÄN</t>
        </is>
      </c>
      <c r="E5002" t="inlineStr">
        <is>
          <t>EDA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8183-2021</t>
        </is>
      </c>
      <c r="B5003" s="1" t="n">
        <v>44244</v>
      </c>
      <c r="C5003" s="1" t="n">
        <v>45353</v>
      </c>
      <c r="D5003" t="inlineStr">
        <is>
          <t>VÄRMLANDS LÄN</t>
        </is>
      </c>
      <c r="E5003" t="inlineStr">
        <is>
          <t>KIL</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8143-2021</t>
        </is>
      </c>
      <c r="B5004" s="1" t="n">
        <v>44244</v>
      </c>
      <c r="C5004" s="1" t="n">
        <v>45353</v>
      </c>
      <c r="D5004" t="inlineStr">
        <is>
          <t>VÄRMLANDS LÄN</t>
        </is>
      </c>
      <c r="E5004" t="inlineStr">
        <is>
          <t>EDA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8435-2021</t>
        </is>
      </c>
      <c r="B5005" s="1" t="n">
        <v>44245</v>
      </c>
      <c r="C5005" s="1" t="n">
        <v>45353</v>
      </c>
      <c r="D5005" t="inlineStr">
        <is>
          <t>VÄRMLANDS LÄN</t>
        </is>
      </c>
      <c r="E5005" t="inlineStr">
        <is>
          <t>KARLSTAD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8520-2021</t>
        </is>
      </c>
      <c r="B5006" s="1" t="n">
        <v>44245</v>
      </c>
      <c r="C5006" s="1" t="n">
        <v>45353</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8378-2021</t>
        </is>
      </c>
      <c r="B5007" s="1" t="n">
        <v>44245</v>
      </c>
      <c r="C5007" s="1" t="n">
        <v>45353</v>
      </c>
      <c r="D5007" t="inlineStr">
        <is>
          <t>VÄRMLANDS LÄN</t>
        </is>
      </c>
      <c r="E5007" t="inlineStr">
        <is>
          <t>HAGFORS</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8600-2021</t>
        </is>
      </c>
      <c r="B5008" s="1" t="n">
        <v>44245</v>
      </c>
      <c r="C5008" s="1" t="n">
        <v>45353</v>
      </c>
      <c r="D5008" t="inlineStr">
        <is>
          <t>VÄRMLANDS LÄN</t>
        </is>
      </c>
      <c r="E5008" t="inlineStr">
        <is>
          <t>KRISTINEHAMN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8957-2021</t>
        </is>
      </c>
      <c r="B5009" s="1" t="n">
        <v>44246</v>
      </c>
      <c r="C5009" s="1" t="n">
        <v>45353</v>
      </c>
      <c r="D5009" t="inlineStr">
        <is>
          <t>VÄRMLANDS LÄN</t>
        </is>
      </c>
      <c r="E5009" t="inlineStr">
        <is>
          <t>ÅRJÄNG</t>
        </is>
      </c>
      <c r="F5009" t="inlineStr">
        <is>
          <t>Övriga Aktiebolag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8951-2021</t>
        </is>
      </c>
      <c r="B5010" s="1" t="n">
        <v>44246</v>
      </c>
      <c r="C5010" s="1" t="n">
        <v>45353</v>
      </c>
      <c r="D5010" t="inlineStr">
        <is>
          <t>VÄRMLANDS LÄN</t>
        </is>
      </c>
      <c r="E5010" t="inlineStr">
        <is>
          <t>ÅRJÄNG</t>
        </is>
      </c>
      <c r="F5010" t="inlineStr">
        <is>
          <t>Övriga Aktiebolag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8740-2021</t>
        </is>
      </c>
      <c r="B5011" s="1" t="n">
        <v>44246</v>
      </c>
      <c r="C5011" s="1" t="n">
        <v>45353</v>
      </c>
      <c r="D5011" t="inlineStr">
        <is>
          <t>VÄRMLANDS LÄN</t>
        </is>
      </c>
      <c r="E5011" t="inlineStr">
        <is>
          <t>SÄFFLE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8910-2021</t>
        </is>
      </c>
      <c r="B5012" s="1" t="n">
        <v>44246</v>
      </c>
      <c r="C5012" s="1" t="n">
        <v>45353</v>
      </c>
      <c r="D5012" t="inlineStr">
        <is>
          <t>VÄRMLANDS LÄN</t>
        </is>
      </c>
      <c r="E5012" t="inlineStr">
        <is>
          <t>TORSBY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8882-2021</t>
        </is>
      </c>
      <c r="B5013" s="1" t="n">
        <v>44247</v>
      </c>
      <c r="C5013" s="1" t="n">
        <v>45353</v>
      </c>
      <c r="D5013" t="inlineStr">
        <is>
          <t>VÄRMLANDS LÄN</t>
        </is>
      </c>
      <c r="E5013" t="inlineStr">
        <is>
          <t>SÄFFLE</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8885-2021</t>
        </is>
      </c>
      <c r="B5014" s="1" t="n">
        <v>44248</v>
      </c>
      <c r="C5014" s="1" t="n">
        <v>45353</v>
      </c>
      <c r="D5014" t="inlineStr">
        <is>
          <t>VÄRMLANDS LÄN</t>
        </is>
      </c>
      <c r="E5014" t="inlineStr">
        <is>
          <t>ÅRJÄNG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9289-2021</t>
        </is>
      </c>
      <c r="B5015" s="1" t="n">
        <v>44249</v>
      </c>
      <c r="C5015" s="1" t="n">
        <v>45353</v>
      </c>
      <c r="D5015" t="inlineStr">
        <is>
          <t>VÄRMLANDS LÄN</t>
        </is>
      </c>
      <c r="E5015" t="inlineStr">
        <is>
          <t>EDA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9441-2021</t>
        </is>
      </c>
      <c r="B5016" s="1" t="n">
        <v>44251</v>
      </c>
      <c r="C5016" s="1" t="n">
        <v>45353</v>
      </c>
      <c r="D5016" t="inlineStr">
        <is>
          <t>VÄRMLANDS LÄN</t>
        </is>
      </c>
      <c r="E5016" t="inlineStr">
        <is>
          <t>ÅRJÄNG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9436-2021</t>
        </is>
      </c>
      <c r="B5017" s="1" t="n">
        <v>44251</v>
      </c>
      <c r="C5017" s="1" t="n">
        <v>45353</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9484-2021</t>
        </is>
      </c>
      <c r="B5018" s="1" t="n">
        <v>44251</v>
      </c>
      <c r="C5018" s="1" t="n">
        <v>45353</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9570-2021</t>
        </is>
      </c>
      <c r="B5019" s="1" t="n">
        <v>44251</v>
      </c>
      <c r="C5019" s="1" t="n">
        <v>45353</v>
      </c>
      <c r="D5019" t="inlineStr">
        <is>
          <t>VÄRMLANDS LÄN</t>
        </is>
      </c>
      <c r="E5019" t="inlineStr">
        <is>
          <t>KIL</t>
        </is>
      </c>
      <c r="F5019" t="inlineStr">
        <is>
          <t>Kommuner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9769-2021</t>
        </is>
      </c>
      <c r="B5020" s="1" t="n">
        <v>44252</v>
      </c>
      <c r="C5020" s="1" t="n">
        <v>45353</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9775-2021</t>
        </is>
      </c>
      <c r="B5021" s="1" t="n">
        <v>44252</v>
      </c>
      <c r="C5021" s="1" t="n">
        <v>45353</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9821-2021</t>
        </is>
      </c>
      <c r="B5022" s="1" t="n">
        <v>44252</v>
      </c>
      <c r="C5022" s="1" t="n">
        <v>45353</v>
      </c>
      <c r="D5022" t="inlineStr">
        <is>
          <t>VÄRMLANDS LÄN</t>
        </is>
      </c>
      <c r="E5022" t="inlineStr">
        <is>
          <t>HAGFORS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9687-2021</t>
        </is>
      </c>
      <c r="B5023" s="1" t="n">
        <v>44252</v>
      </c>
      <c r="C5023" s="1" t="n">
        <v>45353</v>
      </c>
      <c r="D5023" t="inlineStr">
        <is>
          <t>VÄRMLANDS LÄN</t>
        </is>
      </c>
      <c r="E5023" t="inlineStr">
        <is>
          <t>KRISTINEHAMN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9825-2021</t>
        </is>
      </c>
      <c r="B5024" s="1" t="n">
        <v>44252</v>
      </c>
      <c r="C5024" s="1" t="n">
        <v>45353</v>
      </c>
      <c r="D5024" t="inlineStr">
        <is>
          <t>VÄRMLANDS LÄN</t>
        </is>
      </c>
      <c r="E5024" t="inlineStr">
        <is>
          <t>KARLSTAD</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9851-2021</t>
        </is>
      </c>
      <c r="B5025" s="1" t="n">
        <v>44253</v>
      </c>
      <c r="C5025" s="1" t="n">
        <v>45353</v>
      </c>
      <c r="D5025" t="inlineStr">
        <is>
          <t>VÄRMLANDS LÄN</t>
        </is>
      </c>
      <c r="E5025" t="inlineStr">
        <is>
          <t>ARVIKA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10070-2021</t>
        </is>
      </c>
      <c r="B5026" s="1" t="n">
        <v>44256</v>
      </c>
      <c r="C5026" s="1" t="n">
        <v>45353</v>
      </c>
      <c r="D5026" t="inlineStr">
        <is>
          <t>VÄRMLANDS LÄN</t>
        </is>
      </c>
      <c r="E5026" t="inlineStr">
        <is>
          <t>GRUMS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10096-2021</t>
        </is>
      </c>
      <c r="B5027" s="1" t="n">
        <v>44256</v>
      </c>
      <c r="C5027" s="1" t="n">
        <v>45353</v>
      </c>
      <c r="D5027" t="inlineStr">
        <is>
          <t>VÄRMLANDS LÄN</t>
        </is>
      </c>
      <c r="E5027" t="inlineStr">
        <is>
          <t>HAGFORS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10104-2021</t>
        </is>
      </c>
      <c r="B5028" s="1" t="n">
        <v>44256</v>
      </c>
      <c r="C5028" s="1" t="n">
        <v>45353</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10111-2021</t>
        </is>
      </c>
      <c r="B5029" s="1" t="n">
        <v>44256</v>
      </c>
      <c r="C5029" s="1" t="n">
        <v>45353</v>
      </c>
      <c r="D5029" t="inlineStr">
        <is>
          <t>VÄRMLANDS LÄN</t>
        </is>
      </c>
      <c r="E5029" t="inlineStr">
        <is>
          <t>KRISTINEHAMN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10133-2021</t>
        </is>
      </c>
      <c r="B5030" s="1" t="n">
        <v>44256</v>
      </c>
      <c r="C5030" s="1" t="n">
        <v>45353</v>
      </c>
      <c r="D5030" t="inlineStr">
        <is>
          <t>VÄRMLANDS LÄN</t>
        </is>
      </c>
      <c r="E5030" t="inlineStr">
        <is>
          <t>TORSBY</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10103-2021</t>
        </is>
      </c>
      <c r="B5031" s="1" t="n">
        <v>44256</v>
      </c>
      <c r="C5031" s="1" t="n">
        <v>45353</v>
      </c>
      <c r="D5031" t="inlineStr">
        <is>
          <t>VÄRMLANDS LÄN</t>
        </is>
      </c>
      <c r="E5031" t="inlineStr">
        <is>
          <t>KRISTINEHAMN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10109-2021</t>
        </is>
      </c>
      <c r="B5032" s="1" t="n">
        <v>44256</v>
      </c>
      <c r="C5032" s="1" t="n">
        <v>45353</v>
      </c>
      <c r="D5032" t="inlineStr">
        <is>
          <t>VÄRMLANDS LÄN</t>
        </is>
      </c>
      <c r="E5032" t="inlineStr">
        <is>
          <t>KRISTINEHAMN</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10157-2021</t>
        </is>
      </c>
      <c r="B5033" s="1" t="n">
        <v>44256</v>
      </c>
      <c r="C5033" s="1" t="n">
        <v>45353</v>
      </c>
      <c r="D5033" t="inlineStr">
        <is>
          <t>VÄRMLANDS LÄN</t>
        </is>
      </c>
      <c r="E5033" t="inlineStr">
        <is>
          <t>KARLSTAD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10184-2021</t>
        </is>
      </c>
      <c r="B5034" s="1" t="n">
        <v>44256</v>
      </c>
      <c r="C5034" s="1" t="n">
        <v>45353</v>
      </c>
      <c r="D5034" t="inlineStr">
        <is>
          <t>VÄRMLANDS LÄN</t>
        </is>
      </c>
      <c r="E5034" t="inlineStr">
        <is>
          <t>KRISTINEHAMN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10182-2021</t>
        </is>
      </c>
      <c r="B5035" s="1" t="n">
        <v>44256</v>
      </c>
      <c r="C5035" s="1" t="n">
        <v>45353</v>
      </c>
      <c r="D5035" t="inlineStr">
        <is>
          <t>VÄRMLANDS LÄN</t>
        </is>
      </c>
      <c r="E5035" t="inlineStr">
        <is>
          <t>KRISTINEHAMN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10102-2021</t>
        </is>
      </c>
      <c r="B5036" s="1" t="n">
        <v>44256</v>
      </c>
      <c r="C5036" s="1" t="n">
        <v>45353</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10108-2021</t>
        </is>
      </c>
      <c r="B5037" s="1" t="n">
        <v>44256</v>
      </c>
      <c r="C5037" s="1" t="n">
        <v>45353</v>
      </c>
      <c r="D5037" t="inlineStr">
        <is>
          <t>VÄRMLANDS LÄN</t>
        </is>
      </c>
      <c r="E5037" t="inlineStr">
        <is>
          <t>KRISTINEHAMN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10175-2021</t>
        </is>
      </c>
      <c r="B5038" s="1" t="n">
        <v>44256</v>
      </c>
      <c r="C5038" s="1" t="n">
        <v>45353</v>
      </c>
      <c r="D5038" t="inlineStr">
        <is>
          <t>VÄRMLANDS LÄN</t>
        </is>
      </c>
      <c r="E5038" t="inlineStr">
        <is>
          <t>KRISTINEHAMN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10190-2021</t>
        </is>
      </c>
      <c r="B5039" s="1" t="n">
        <v>44256</v>
      </c>
      <c r="C5039" s="1" t="n">
        <v>45353</v>
      </c>
      <c r="D5039" t="inlineStr">
        <is>
          <t>VÄRMLANDS LÄN</t>
        </is>
      </c>
      <c r="E5039" t="inlineStr">
        <is>
          <t>KRISTINEHAMN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10107-2021</t>
        </is>
      </c>
      <c r="B5040" s="1" t="n">
        <v>44256</v>
      </c>
      <c r="C5040" s="1" t="n">
        <v>45353</v>
      </c>
      <c r="D5040" t="inlineStr">
        <is>
          <t>VÄRMLANDS LÄN</t>
        </is>
      </c>
      <c r="E5040" t="inlineStr">
        <is>
          <t>KRISTINEHAMN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10118-2021</t>
        </is>
      </c>
      <c r="B5041" s="1" t="n">
        <v>44256</v>
      </c>
      <c r="C5041" s="1" t="n">
        <v>45353</v>
      </c>
      <c r="D5041" t="inlineStr">
        <is>
          <t>VÄRMLANDS LÄN</t>
        </is>
      </c>
      <c r="E5041" t="inlineStr">
        <is>
          <t>TORSBY</t>
        </is>
      </c>
      <c r="G5041" t="n">
        <v>12.5</v>
      </c>
      <c r="H5041" t="n">
        <v>0</v>
      </c>
      <c r="I5041" t="n">
        <v>0</v>
      </c>
      <c r="J5041" t="n">
        <v>0</v>
      </c>
      <c r="K5041" t="n">
        <v>0</v>
      </c>
      <c r="L5041" t="n">
        <v>0</v>
      </c>
      <c r="M5041" t="n">
        <v>0</v>
      </c>
      <c r="N5041" t="n">
        <v>0</v>
      </c>
      <c r="O5041" t="n">
        <v>0</v>
      </c>
      <c r="P5041" t="n">
        <v>0</v>
      </c>
      <c r="Q5041" t="n">
        <v>0</v>
      </c>
      <c r="R5041" s="2" t="inlineStr"/>
    </row>
    <row r="5042" ht="15" customHeight="1">
      <c r="A5042" t="inlineStr">
        <is>
          <t>A 10151-2021</t>
        </is>
      </c>
      <c r="B5042" s="1" t="n">
        <v>44256</v>
      </c>
      <c r="C5042" s="1" t="n">
        <v>45353</v>
      </c>
      <c r="D5042" t="inlineStr">
        <is>
          <t>VÄRMLANDS LÄN</t>
        </is>
      </c>
      <c r="E5042" t="inlineStr">
        <is>
          <t>SUNNE</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10310-2021</t>
        </is>
      </c>
      <c r="B5043" s="1" t="n">
        <v>44257</v>
      </c>
      <c r="C5043" s="1" t="n">
        <v>45353</v>
      </c>
      <c r="D5043" t="inlineStr">
        <is>
          <t>VÄRMLANDS LÄN</t>
        </is>
      </c>
      <c r="E5043" t="inlineStr">
        <is>
          <t>HAGFORS</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10322-2021</t>
        </is>
      </c>
      <c r="B5044" s="1" t="n">
        <v>44257</v>
      </c>
      <c r="C5044" s="1" t="n">
        <v>45353</v>
      </c>
      <c r="D5044" t="inlineStr">
        <is>
          <t>VÄRMLANDS LÄN</t>
        </is>
      </c>
      <c r="E5044" t="inlineStr">
        <is>
          <t>EDA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10579-2021</t>
        </is>
      </c>
      <c r="B5045" s="1" t="n">
        <v>44257</v>
      </c>
      <c r="C5045" s="1" t="n">
        <v>45353</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10565-2021</t>
        </is>
      </c>
      <c r="B5046" s="1" t="n">
        <v>44258</v>
      </c>
      <c r="C5046" s="1" t="n">
        <v>45353</v>
      </c>
      <c r="D5046" t="inlineStr">
        <is>
          <t>VÄRMLANDS LÄN</t>
        </is>
      </c>
      <c r="E5046" t="inlineStr">
        <is>
          <t>SÄFFLE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10494-2021</t>
        </is>
      </c>
      <c r="B5047" s="1" t="n">
        <v>44258</v>
      </c>
      <c r="C5047" s="1" t="n">
        <v>45353</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10541-2021</t>
        </is>
      </c>
      <c r="B5048" s="1" t="n">
        <v>44258</v>
      </c>
      <c r="C5048" s="1" t="n">
        <v>45353</v>
      </c>
      <c r="D5048" t="inlineStr">
        <is>
          <t>VÄRMLANDS LÄN</t>
        </is>
      </c>
      <c r="E5048" t="inlineStr">
        <is>
          <t>ÅRJÄNG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10563-2021</t>
        </is>
      </c>
      <c r="B5049" s="1" t="n">
        <v>44258</v>
      </c>
      <c r="C5049" s="1" t="n">
        <v>45353</v>
      </c>
      <c r="D5049" t="inlineStr">
        <is>
          <t>VÄRMLANDS LÄN</t>
        </is>
      </c>
      <c r="E5049" t="inlineStr">
        <is>
          <t>SÄFFLE</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10661-2021</t>
        </is>
      </c>
      <c r="B5050" s="1" t="n">
        <v>44258</v>
      </c>
      <c r="C5050" s="1" t="n">
        <v>45353</v>
      </c>
      <c r="D5050" t="inlineStr">
        <is>
          <t>VÄRMLANDS LÄN</t>
        </is>
      </c>
      <c r="E5050" t="inlineStr">
        <is>
          <t>SÄFFLE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10594-2021</t>
        </is>
      </c>
      <c r="B5051" s="1" t="n">
        <v>44258</v>
      </c>
      <c r="C5051" s="1" t="n">
        <v>45353</v>
      </c>
      <c r="D5051" t="inlineStr">
        <is>
          <t>VÄRMLANDS LÄN</t>
        </is>
      </c>
      <c r="E5051" t="inlineStr">
        <is>
          <t>ÅRJÄNG</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10631-2021</t>
        </is>
      </c>
      <c r="B5052" s="1" t="n">
        <v>44258</v>
      </c>
      <c r="C5052" s="1" t="n">
        <v>45353</v>
      </c>
      <c r="D5052" t="inlineStr">
        <is>
          <t>VÄRMLANDS LÄN</t>
        </is>
      </c>
      <c r="E5052" t="inlineStr">
        <is>
          <t>SUNNE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10644-2021</t>
        </is>
      </c>
      <c r="B5053" s="1" t="n">
        <v>44258</v>
      </c>
      <c r="C5053" s="1" t="n">
        <v>45353</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10658-2021</t>
        </is>
      </c>
      <c r="B5054" s="1" t="n">
        <v>44258</v>
      </c>
      <c r="C5054" s="1" t="n">
        <v>45353</v>
      </c>
      <c r="D5054" t="inlineStr">
        <is>
          <t>VÄRMLANDS LÄN</t>
        </is>
      </c>
      <c r="E5054" t="inlineStr">
        <is>
          <t>SUNNE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10588-2021</t>
        </is>
      </c>
      <c r="B5055" s="1" t="n">
        <v>44258</v>
      </c>
      <c r="C5055" s="1" t="n">
        <v>45353</v>
      </c>
      <c r="D5055" t="inlineStr">
        <is>
          <t>VÄRMLANDS LÄN</t>
        </is>
      </c>
      <c r="E5055" t="inlineStr">
        <is>
          <t>ÅRJÄNG</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10717-2021</t>
        </is>
      </c>
      <c r="B5056" s="1" t="n">
        <v>44258</v>
      </c>
      <c r="C5056" s="1" t="n">
        <v>45353</v>
      </c>
      <c r="D5056" t="inlineStr">
        <is>
          <t>VÄRMLANDS LÄN</t>
        </is>
      </c>
      <c r="E5056" t="inlineStr">
        <is>
          <t>KARLSTAD</t>
        </is>
      </c>
      <c r="G5056" t="n">
        <v>25.2</v>
      </c>
      <c r="H5056" t="n">
        <v>0</v>
      </c>
      <c r="I5056" t="n">
        <v>0</v>
      </c>
      <c r="J5056" t="n">
        <v>0</v>
      </c>
      <c r="K5056" t="n">
        <v>0</v>
      </c>
      <c r="L5056" t="n">
        <v>0</v>
      </c>
      <c r="M5056" t="n">
        <v>0</v>
      </c>
      <c r="N5056" t="n">
        <v>0</v>
      </c>
      <c r="O5056" t="n">
        <v>0</v>
      </c>
      <c r="P5056" t="n">
        <v>0</v>
      </c>
      <c r="Q5056" t="n">
        <v>0</v>
      </c>
      <c r="R5056" s="2" t="inlineStr"/>
    </row>
    <row r="5057" ht="15" customHeight="1">
      <c r="A5057" t="inlineStr">
        <is>
          <t>A 10721-2021</t>
        </is>
      </c>
      <c r="B5057" s="1" t="n">
        <v>44258</v>
      </c>
      <c r="C5057" s="1" t="n">
        <v>45353</v>
      </c>
      <c r="D5057" t="inlineStr">
        <is>
          <t>VÄRMLANDS LÄN</t>
        </is>
      </c>
      <c r="E5057" t="inlineStr">
        <is>
          <t>MUNKFORS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10730-2021</t>
        </is>
      </c>
      <c r="B5058" s="1" t="n">
        <v>44258</v>
      </c>
      <c r="C5058" s="1" t="n">
        <v>45353</v>
      </c>
      <c r="D5058" t="inlineStr">
        <is>
          <t>VÄRMLANDS LÄN</t>
        </is>
      </c>
      <c r="E5058" t="inlineStr">
        <is>
          <t>EDA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10803-2021</t>
        </is>
      </c>
      <c r="B5059" s="1" t="n">
        <v>44258</v>
      </c>
      <c r="C5059" s="1" t="n">
        <v>45353</v>
      </c>
      <c r="D5059" t="inlineStr">
        <is>
          <t>VÄRMLANDS LÄN</t>
        </is>
      </c>
      <c r="E5059" t="inlineStr">
        <is>
          <t>GRUMS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10501-2021</t>
        </is>
      </c>
      <c r="B5060" s="1" t="n">
        <v>44258</v>
      </c>
      <c r="C5060" s="1" t="n">
        <v>45353</v>
      </c>
      <c r="D5060" t="inlineStr">
        <is>
          <t>VÄRMLANDS LÄN</t>
        </is>
      </c>
      <c r="E5060" t="inlineStr">
        <is>
          <t>FILIPSTAD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10720-2021</t>
        </is>
      </c>
      <c r="B5061" s="1" t="n">
        <v>44258</v>
      </c>
      <c r="C5061" s="1" t="n">
        <v>45353</v>
      </c>
      <c r="D5061" t="inlineStr">
        <is>
          <t>VÄRMLANDS LÄN</t>
        </is>
      </c>
      <c r="E5061" t="inlineStr">
        <is>
          <t>MUNKFORS</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10729-2021</t>
        </is>
      </c>
      <c r="B5062" s="1" t="n">
        <v>44258</v>
      </c>
      <c r="C5062" s="1" t="n">
        <v>45353</v>
      </c>
      <c r="D5062" t="inlineStr">
        <is>
          <t>VÄRMLANDS LÄN</t>
        </is>
      </c>
      <c r="E5062" t="inlineStr">
        <is>
          <t>EDA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10718-2021</t>
        </is>
      </c>
      <c r="B5063" s="1" t="n">
        <v>44258</v>
      </c>
      <c r="C5063" s="1" t="n">
        <v>45353</v>
      </c>
      <c r="D5063" t="inlineStr">
        <is>
          <t>VÄRMLANDS LÄN</t>
        </is>
      </c>
      <c r="E5063" t="inlineStr">
        <is>
          <t>SÄFFLE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10778-2021</t>
        </is>
      </c>
      <c r="B5064" s="1" t="n">
        <v>44259</v>
      </c>
      <c r="C5064" s="1" t="n">
        <v>45353</v>
      </c>
      <c r="D5064" t="inlineStr">
        <is>
          <t>VÄRMLANDS LÄN</t>
        </is>
      </c>
      <c r="E5064" t="inlineStr">
        <is>
          <t>TORSBY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10750-2021</t>
        </is>
      </c>
      <c r="B5065" s="1" t="n">
        <v>44259</v>
      </c>
      <c r="C5065" s="1" t="n">
        <v>45353</v>
      </c>
      <c r="D5065" t="inlineStr">
        <is>
          <t>VÄRMLANDS LÄN</t>
        </is>
      </c>
      <c r="E5065" t="inlineStr">
        <is>
          <t>ARVIKA</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10774-2021</t>
        </is>
      </c>
      <c r="B5066" s="1" t="n">
        <v>44259</v>
      </c>
      <c r="C5066" s="1" t="n">
        <v>45353</v>
      </c>
      <c r="D5066" t="inlineStr">
        <is>
          <t>VÄRMLANDS LÄN</t>
        </is>
      </c>
      <c r="E5066" t="inlineStr">
        <is>
          <t>EDA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10957-2021</t>
        </is>
      </c>
      <c r="B5067" s="1" t="n">
        <v>44260</v>
      </c>
      <c r="C5067" s="1" t="n">
        <v>45353</v>
      </c>
      <c r="D5067" t="inlineStr">
        <is>
          <t>VÄRMLANDS LÄN</t>
        </is>
      </c>
      <c r="E5067" t="inlineStr">
        <is>
          <t>SUNNE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11015-2021</t>
        </is>
      </c>
      <c r="B5068" s="1" t="n">
        <v>44260</v>
      </c>
      <c r="C5068" s="1" t="n">
        <v>45353</v>
      </c>
      <c r="D5068" t="inlineStr">
        <is>
          <t>VÄRMLANDS LÄN</t>
        </is>
      </c>
      <c r="E5068" t="inlineStr">
        <is>
          <t>SÄFFLE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11157-2021</t>
        </is>
      </c>
      <c r="B5069" s="1" t="n">
        <v>44261</v>
      </c>
      <c r="C5069" s="1" t="n">
        <v>45353</v>
      </c>
      <c r="D5069" t="inlineStr">
        <is>
          <t>VÄRMLANDS LÄN</t>
        </is>
      </c>
      <c r="E5069" t="inlineStr">
        <is>
          <t>ÅRJÄNG</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11156-2021</t>
        </is>
      </c>
      <c r="B5070" s="1" t="n">
        <v>44261</v>
      </c>
      <c r="C5070" s="1" t="n">
        <v>45353</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11265-2021</t>
        </is>
      </c>
      <c r="B5071" s="1" t="n">
        <v>44263</v>
      </c>
      <c r="C5071" s="1" t="n">
        <v>45353</v>
      </c>
      <c r="D5071" t="inlineStr">
        <is>
          <t>VÄRMLANDS LÄN</t>
        </is>
      </c>
      <c r="E5071" t="inlineStr">
        <is>
          <t>ÅRJÄNG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11285-2021</t>
        </is>
      </c>
      <c r="B5072" s="1" t="n">
        <v>44263</v>
      </c>
      <c r="C5072" s="1" t="n">
        <v>45353</v>
      </c>
      <c r="D5072" t="inlineStr">
        <is>
          <t>VÄRMLANDS LÄN</t>
        </is>
      </c>
      <c r="E5072" t="inlineStr">
        <is>
          <t>SÄFFLE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11397-2021</t>
        </is>
      </c>
      <c r="B5073" s="1" t="n">
        <v>44263</v>
      </c>
      <c r="C5073" s="1" t="n">
        <v>45353</v>
      </c>
      <c r="D5073" t="inlineStr">
        <is>
          <t>VÄRMLANDS LÄN</t>
        </is>
      </c>
      <c r="E5073" t="inlineStr">
        <is>
          <t>SUNNE</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11512-2021</t>
        </is>
      </c>
      <c r="B5074" s="1" t="n">
        <v>44264</v>
      </c>
      <c r="C5074" s="1" t="n">
        <v>45353</v>
      </c>
      <c r="D5074" t="inlineStr">
        <is>
          <t>VÄRMLANDS LÄN</t>
        </is>
      </c>
      <c r="E5074" t="inlineStr">
        <is>
          <t>SUNNE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11620-2021</t>
        </is>
      </c>
      <c r="B5075" s="1" t="n">
        <v>44264</v>
      </c>
      <c r="C5075" s="1" t="n">
        <v>45353</v>
      </c>
      <c r="D5075" t="inlineStr">
        <is>
          <t>VÄRMLANDS LÄN</t>
        </is>
      </c>
      <c r="E5075" t="inlineStr">
        <is>
          <t>SUNNE</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11513-2021</t>
        </is>
      </c>
      <c r="B5076" s="1" t="n">
        <v>44264</v>
      </c>
      <c r="C5076" s="1" t="n">
        <v>45353</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11580-2021</t>
        </is>
      </c>
      <c r="B5077" s="1" t="n">
        <v>44264</v>
      </c>
      <c r="C5077" s="1" t="n">
        <v>45353</v>
      </c>
      <c r="D5077" t="inlineStr">
        <is>
          <t>VÄRMLANDS LÄN</t>
        </is>
      </c>
      <c r="E5077" t="inlineStr">
        <is>
          <t>SÄFFLE</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11577-2021</t>
        </is>
      </c>
      <c r="B5078" s="1" t="n">
        <v>44264</v>
      </c>
      <c r="C5078" s="1" t="n">
        <v>45353</v>
      </c>
      <c r="D5078" t="inlineStr">
        <is>
          <t>VÄRMLANDS LÄN</t>
        </is>
      </c>
      <c r="E5078" t="inlineStr">
        <is>
          <t>KARLSTAD</t>
        </is>
      </c>
      <c r="F5078" t="inlineStr">
        <is>
          <t>Kommuner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11634-2021</t>
        </is>
      </c>
      <c r="B5079" s="1" t="n">
        <v>44264</v>
      </c>
      <c r="C5079" s="1" t="n">
        <v>45353</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11632-2021</t>
        </is>
      </c>
      <c r="B5080" s="1" t="n">
        <v>44264</v>
      </c>
      <c r="C5080" s="1" t="n">
        <v>45353</v>
      </c>
      <c r="D5080" t="inlineStr">
        <is>
          <t>VÄRMLANDS LÄN</t>
        </is>
      </c>
      <c r="E5080" t="inlineStr">
        <is>
          <t>SUNNE</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11695-2021</t>
        </is>
      </c>
      <c r="B5081" s="1" t="n">
        <v>44264</v>
      </c>
      <c r="C5081" s="1" t="n">
        <v>45353</v>
      </c>
      <c r="D5081" t="inlineStr">
        <is>
          <t>VÄRMLANDS LÄN</t>
        </is>
      </c>
      <c r="E5081" t="inlineStr">
        <is>
          <t>TORSBY</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11783-2021</t>
        </is>
      </c>
      <c r="B5082" s="1" t="n">
        <v>44265</v>
      </c>
      <c r="C5082" s="1" t="n">
        <v>45353</v>
      </c>
      <c r="D5082" t="inlineStr">
        <is>
          <t>VÄRMLANDS LÄN</t>
        </is>
      </c>
      <c r="E5082" t="inlineStr">
        <is>
          <t>GRUMS</t>
        </is>
      </c>
      <c r="F5082" t="inlineStr">
        <is>
          <t>Bergvik skog väst AB</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11721-2021</t>
        </is>
      </c>
      <c r="B5083" s="1" t="n">
        <v>44265</v>
      </c>
      <c r="C5083" s="1" t="n">
        <v>45353</v>
      </c>
      <c r="D5083" t="inlineStr">
        <is>
          <t>VÄRMLANDS LÄN</t>
        </is>
      </c>
      <c r="E5083" t="inlineStr">
        <is>
          <t>SUNNE</t>
        </is>
      </c>
      <c r="F5083" t="inlineStr">
        <is>
          <t>Övriga Aktiebolag</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11785-2021</t>
        </is>
      </c>
      <c r="B5084" s="1" t="n">
        <v>44265</v>
      </c>
      <c r="C5084" s="1" t="n">
        <v>45353</v>
      </c>
      <c r="D5084" t="inlineStr">
        <is>
          <t>VÄRMLANDS LÄN</t>
        </is>
      </c>
      <c r="E5084" t="inlineStr">
        <is>
          <t>KIL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11897-2021</t>
        </is>
      </c>
      <c r="B5085" s="1" t="n">
        <v>44265</v>
      </c>
      <c r="C5085" s="1" t="n">
        <v>45353</v>
      </c>
      <c r="D5085" t="inlineStr">
        <is>
          <t>VÄRMLANDS LÄN</t>
        </is>
      </c>
      <c r="E5085" t="inlineStr">
        <is>
          <t>ÅRJÄNG</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11921-2021</t>
        </is>
      </c>
      <c r="B5086" s="1" t="n">
        <v>44265</v>
      </c>
      <c r="C5086" s="1" t="n">
        <v>45353</v>
      </c>
      <c r="D5086" t="inlineStr">
        <is>
          <t>VÄRMLANDS LÄN</t>
        </is>
      </c>
      <c r="E5086" t="inlineStr">
        <is>
          <t>KRISTINEHAMN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11947-2021</t>
        </is>
      </c>
      <c r="B5087" s="1" t="n">
        <v>44265</v>
      </c>
      <c r="C5087" s="1" t="n">
        <v>45353</v>
      </c>
      <c r="D5087" t="inlineStr">
        <is>
          <t>VÄRMLANDS LÄN</t>
        </is>
      </c>
      <c r="E5087" t="inlineStr">
        <is>
          <t>TORSBY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11945-2021</t>
        </is>
      </c>
      <c r="B5088" s="1" t="n">
        <v>44266</v>
      </c>
      <c r="C5088" s="1" t="n">
        <v>45353</v>
      </c>
      <c r="D5088" t="inlineStr">
        <is>
          <t>VÄRMLANDS LÄN</t>
        </is>
      </c>
      <c r="E5088" t="inlineStr">
        <is>
          <t>ARVIKA</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12055-2021</t>
        </is>
      </c>
      <c r="B5089" s="1" t="n">
        <v>44266</v>
      </c>
      <c r="C5089" s="1" t="n">
        <v>45353</v>
      </c>
      <c r="D5089" t="inlineStr">
        <is>
          <t>VÄRMLANDS LÄN</t>
        </is>
      </c>
      <c r="E5089" t="inlineStr">
        <is>
          <t>SÄFFLE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11981-2021</t>
        </is>
      </c>
      <c r="B5090" s="1" t="n">
        <v>44266</v>
      </c>
      <c r="C5090" s="1" t="n">
        <v>45353</v>
      </c>
      <c r="D5090" t="inlineStr">
        <is>
          <t>VÄRMLANDS LÄN</t>
        </is>
      </c>
      <c r="E5090" t="inlineStr">
        <is>
          <t>STORFORS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12137-2021</t>
        </is>
      </c>
      <c r="B5091" s="1" t="n">
        <v>44266</v>
      </c>
      <c r="C5091" s="1" t="n">
        <v>45353</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12141-2021</t>
        </is>
      </c>
      <c r="B5092" s="1" t="n">
        <v>44266</v>
      </c>
      <c r="C5092" s="1" t="n">
        <v>45353</v>
      </c>
      <c r="D5092" t="inlineStr">
        <is>
          <t>VÄRMLANDS LÄN</t>
        </is>
      </c>
      <c r="E5092" t="inlineStr">
        <is>
          <t>HAGFORS</t>
        </is>
      </c>
      <c r="F5092" t="inlineStr">
        <is>
          <t>Bergvik skog väst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12023-2021</t>
        </is>
      </c>
      <c r="B5093" s="1" t="n">
        <v>44266</v>
      </c>
      <c r="C5093" s="1" t="n">
        <v>45353</v>
      </c>
      <c r="D5093" t="inlineStr">
        <is>
          <t>VÄRMLANDS LÄN</t>
        </is>
      </c>
      <c r="E5093" t="inlineStr">
        <is>
          <t>STORFORS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12215-2021</t>
        </is>
      </c>
      <c r="B5094" s="1" t="n">
        <v>44266</v>
      </c>
      <c r="C5094" s="1" t="n">
        <v>45353</v>
      </c>
      <c r="D5094" t="inlineStr">
        <is>
          <t>VÄRMLANDS LÄN</t>
        </is>
      </c>
      <c r="E5094" t="inlineStr">
        <is>
          <t>KIL</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12424-2021</t>
        </is>
      </c>
      <c r="B5095" s="1" t="n">
        <v>44266</v>
      </c>
      <c r="C5095" s="1" t="n">
        <v>45353</v>
      </c>
      <c r="D5095" t="inlineStr">
        <is>
          <t>VÄRMLANDS LÄN</t>
        </is>
      </c>
      <c r="E5095" t="inlineStr">
        <is>
          <t>KIL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12352-2021</t>
        </is>
      </c>
      <c r="B5096" s="1" t="n">
        <v>44267</v>
      </c>
      <c r="C5096" s="1" t="n">
        <v>45353</v>
      </c>
      <c r="D5096" t="inlineStr">
        <is>
          <t>VÄRMLANDS LÄN</t>
        </is>
      </c>
      <c r="E5096" t="inlineStr">
        <is>
          <t>ÅRJÄNG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12389-2021</t>
        </is>
      </c>
      <c r="B5097" s="1" t="n">
        <v>44267</v>
      </c>
      <c r="C5097" s="1" t="n">
        <v>45353</v>
      </c>
      <c r="D5097" t="inlineStr">
        <is>
          <t>VÄRMLANDS LÄN</t>
        </is>
      </c>
      <c r="E5097" t="inlineStr">
        <is>
          <t>GRUMS</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12527-2021</t>
        </is>
      </c>
      <c r="B5098" s="1" t="n">
        <v>44269</v>
      </c>
      <c r="C5098" s="1" t="n">
        <v>45353</v>
      </c>
      <c r="D5098" t="inlineStr">
        <is>
          <t>VÄRMLANDS LÄN</t>
        </is>
      </c>
      <c r="E5098" t="inlineStr">
        <is>
          <t>FORSHAGA</t>
        </is>
      </c>
      <c r="F5098" t="inlineStr">
        <is>
          <t>Bergvik skog väst AB</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12533-2021</t>
        </is>
      </c>
      <c r="B5099" s="1" t="n">
        <v>44269</v>
      </c>
      <c r="C5099" s="1" t="n">
        <v>45353</v>
      </c>
      <c r="D5099" t="inlineStr">
        <is>
          <t>VÄRMLANDS LÄN</t>
        </is>
      </c>
      <c r="E5099" t="inlineStr">
        <is>
          <t>ARVIKA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12529-2021</t>
        </is>
      </c>
      <c r="B5100" s="1" t="n">
        <v>44269</v>
      </c>
      <c r="C5100" s="1" t="n">
        <v>45353</v>
      </c>
      <c r="D5100" t="inlineStr">
        <is>
          <t>VÄRMLANDS LÄN</t>
        </is>
      </c>
      <c r="E5100" t="inlineStr">
        <is>
          <t>ARVIKA</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12542-2021</t>
        </is>
      </c>
      <c r="B5101" s="1" t="n">
        <v>44270</v>
      </c>
      <c r="C5101" s="1" t="n">
        <v>45353</v>
      </c>
      <c r="D5101" t="inlineStr">
        <is>
          <t>VÄRMLANDS LÄN</t>
        </is>
      </c>
      <c r="E5101" t="inlineStr">
        <is>
          <t>KRISTINEHAMN</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12635-2021</t>
        </is>
      </c>
      <c r="B5102" s="1" t="n">
        <v>44270</v>
      </c>
      <c r="C5102" s="1" t="n">
        <v>45353</v>
      </c>
      <c r="D5102" t="inlineStr">
        <is>
          <t>VÄRMLANDS LÄN</t>
        </is>
      </c>
      <c r="E5102" t="inlineStr">
        <is>
          <t>SUNNE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12659-2021</t>
        </is>
      </c>
      <c r="B5103" s="1" t="n">
        <v>44270</v>
      </c>
      <c r="C5103" s="1" t="n">
        <v>45353</v>
      </c>
      <c r="D5103" t="inlineStr">
        <is>
          <t>VÄRMLANDS LÄN</t>
        </is>
      </c>
      <c r="E5103" t="inlineStr">
        <is>
          <t>ARVIKA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12728-2021</t>
        </is>
      </c>
      <c r="B5104" s="1" t="n">
        <v>44270</v>
      </c>
      <c r="C5104" s="1" t="n">
        <v>45353</v>
      </c>
      <c r="D5104" t="inlineStr">
        <is>
          <t>VÄRMLANDS LÄN</t>
        </is>
      </c>
      <c r="E5104" t="inlineStr">
        <is>
          <t>KIL</t>
        </is>
      </c>
      <c r="F5104" t="inlineStr">
        <is>
          <t>Kommuner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12822-2021</t>
        </is>
      </c>
      <c r="B5105" s="1" t="n">
        <v>44270</v>
      </c>
      <c r="C5105" s="1" t="n">
        <v>45353</v>
      </c>
      <c r="D5105" t="inlineStr">
        <is>
          <t>VÄRMLANDS LÄN</t>
        </is>
      </c>
      <c r="E5105" t="inlineStr">
        <is>
          <t>SÄFFLE</t>
        </is>
      </c>
      <c r="G5105" t="n">
        <v>26.3</v>
      </c>
      <c r="H5105" t="n">
        <v>0</v>
      </c>
      <c r="I5105" t="n">
        <v>0</v>
      </c>
      <c r="J5105" t="n">
        <v>0</v>
      </c>
      <c r="K5105" t="n">
        <v>0</v>
      </c>
      <c r="L5105" t="n">
        <v>0</v>
      </c>
      <c r="M5105" t="n">
        <v>0</v>
      </c>
      <c r="N5105" t="n">
        <v>0</v>
      </c>
      <c r="O5105" t="n">
        <v>0</v>
      </c>
      <c r="P5105" t="n">
        <v>0</v>
      </c>
      <c r="Q5105" t="n">
        <v>0</v>
      </c>
      <c r="R5105" s="2" t="inlineStr"/>
    </row>
    <row r="5106" ht="15" customHeight="1">
      <c r="A5106" t="inlineStr">
        <is>
          <t>A 12792-2021</t>
        </is>
      </c>
      <c r="B5106" s="1" t="n">
        <v>44270</v>
      </c>
      <c r="C5106" s="1" t="n">
        <v>45353</v>
      </c>
      <c r="D5106" t="inlineStr">
        <is>
          <t>VÄRMLANDS LÄN</t>
        </is>
      </c>
      <c r="E5106" t="inlineStr">
        <is>
          <t>SUNNE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12541-2021</t>
        </is>
      </c>
      <c r="B5107" s="1" t="n">
        <v>44270</v>
      </c>
      <c r="C5107" s="1" t="n">
        <v>45353</v>
      </c>
      <c r="D5107" t="inlineStr">
        <is>
          <t>VÄRMLANDS LÄN</t>
        </is>
      </c>
      <c r="E5107" t="inlineStr">
        <is>
          <t>KRISTINEHAMN</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12853-2021</t>
        </is>
      </c>
      <c r="B5108" s="1" t="n">
        <v>44271</v>
      </c>
      <c r="C5108" s="1" t="n">
        <v>45353</v>
      </c>
      <c r="D5108" t="inlineStr">
        <is>
          <t>VÄRMLANDS LÄN</t>
        </is>
      </c>
      <c r="E5108" t="inlineStr">
        <is>
          <t>ÅRJÄNG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13013-2021</t>
        </is>
      </c>
      <c r="B5109" s="1" t="n">
        <v>44271</v>
      </c>
      <c r="C5109" s="1" t="n">
        <v>45353</v>
      </c>
      <c r="D5109" t="inlineStr">
        <is>
          <t>VÄRMLANDS LÄN</t>
        </is>
      </c>
      <c r="E5109" t="inlineStr">
        <is>
          <t>TORSBY</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12892-2021</t>
        </is>
      </c>
      <c r="B5110" s="1" t="n">
        <v>44271</v>
      </c>
      <c r="C5110" s="1" t="n">
        <v>45353</v>
      </c>
      <c r="D5110" t="inlineStr">
        <is>
          <t>VÄRMLANDS LÄN</t>
        </is>
      </c>
      <c r="E5110" t="inlineStr">
        <is>
          <t>EDA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12842-2021</t>
        </is>
      </c>
      <c r="B5111" s="1" t="n">
        <v>44271</v>
      </c>
      <c r="C5111" s="1" t="n">
        <v>45353</v>
      </c>
      <c r="D5111" t="inlineStr">
        <is>
          <t>VÄRMLANDS LÄN</t>
        </is>
      </c>
      <c r="E5111" t="inlineStr">
        <is>
          <t>ÅRJÄNG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12940-2021</t>
        </is>
      </c>
      <c r="B5112" s="1" t="n">
        <v>44271</v>
      </c>
      <c r="C5112" s="1" t="n">
        <v>45353</v>
      </c>
      <c r="D5112" t="inlineStr">
        <is>
          <t>VÄRMLANDS LÄN</t>
        </is>
      </c>
      <c r="E5112" t="inlineStr">
        <is>
          <t>SÄFFLE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13007-2021</t>
        </is>
      </c>
      <c r="B5113" s="1" t="n">
        <v>44271</v>
      </c>
      <c r="C5113" s="1" t="n">
        <v>45353</v>
      </c>
      <c r="D5113" t="inlineStr">
        <is>
          <t>VÄRMLANDS LÄN</t>
        </is>
      </c>
      <c r="E5113" t="inlineStr">
        <is>
          <t>ARVIKA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13025-2021</t>
        </is>
      </c>
      <c r="B5114" s="1" t="n">
        <v>44271</v>
      </c>
      <c r="C5114" s="1" t="n">
        <v>45353</v>
      </c>
      <c r="D5114" t="inlineStr">
        <is>
          <t>VÄRMLANDS LÄN</t>
        </is>
      </c>
      <c r="E5114" t="inlineStr">
        <is>
          <t>ARVIKA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13140-2021</t>
        </is>
      </c>
      <c r="B5115" s="1" t="n">
        <v>44271</v>
      </c>
      <c r="C5115" s="1" t="n">
        <v>45353</v>
      </c>
      <c r="D5115" t="inlineStr">
        <is>
          <t>VÄRMLANDS LÄN</t>
        </is>
      </c>
      <c r="E5115" t="inlineStr">
        <is>
          <t>GRUMS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13156-2021</t>
        </is>
      </c>
      <c r="B5116" s="1" t="n">
        <v>44272</v>
      </c>
      <c r="C5116" s="1" t="n">
        <v>45353</v>
      </c>
      <c r="D5116" t="inlineStr">
        <is>
          <t>VÄRMLANDS LÄN</t>
        </is>
      </c>
      <c r="E5116" t="inlineStr">
        <is>
          <t>FORSHAGA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13115-2021</t>
        </is>
      </c>
      <c r="B5117" s="1" t="n">
        <v>44272</v>
      </c>
      <c r="C5117" s="1" t="n">
        <v>45353</v>
      </c>
      <c r="D5117" t="inlineStr">
        <is>
          <t>VÄRMLANDS LÄN</t>
        </is>
      </c>
      <c r="E5117" t="inlineStr">
        <is>
          <t>ÅRJÄNG</t>
        </is>
      </c>
      <c r="F5117" t="inlineStr">
        <is>
          <t>Övriga Aktiebolag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13047-2021</t>
        </is>
      </c>
      <c r="B5118" s="1" t="n">
        <v>44272</v>
      </c>
      <c r="C5118" s="1" t="n">
        <v>45353</v>
      </c>
      <c r="D5118" t="inlineStr">
        <is>
          <t>VÄRMLANDS LÄN</t>
        </is>
      </c>
      <c r="E5118" t="inlineStr">
        <is>
          <t>STORFORS</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13107-2021</t>
        </is>
      </c>
      <c r="B5119" s="1" t="n">
        <v>44272</v>
      </c>
      <c r="C5119" s="1" t="n">
        <v>45353</v>
      </c>
      <c r="D5119" t="inlineStr">
        <is>
          <t>VÄRMLANDS LÄN</t>
        </is>
      </c>
      <c r="E5119" t="inlineStr">
        <is>
          <t>SUNNE</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13575-2021</t>
        </is>
      </c>
      <c r="B5120" s="1" t="n">
        <v>44273</v>
      </c>
      <c r="C5120" s="1" t="n">
        <v>45353</v>
      </c>
      <c r="D5120" t="inlineStr">
        <is>
          <t>VÄRMLANDS LÄN</t>
        </is>
      </c>
      <c r="E5120" t="inlineStr">
        <is>
          <t>HAGFORS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13601-2021</t>
        </is>
      </c>
      <c r="B5121" s="1" t="n">
        <v>44274</v>
      </c>
      <c r="C5121" s="1" t="n">
        <v>45353</v>
      </c>
      <c r="D5121" t="inlineStr">
        <is>
          <t>VÄRMLANDS LÄN</t>
        </is>
      </c>
      <c r="E5121" t="inlineStr">
        <is>
          <t>STORFORS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13932-2021</t>
        </is>
      </c>
      <c r="B5122" s="1" t="n">
        <v>44277</v>
      </c>
      <c r="C5122" s="1" t="n">
        <v>45353</v>
      </c>
      <c r="D5122" t="inlineStr">
        <is>
          <t>VÄRMLANDS LÄN</t>
        </is>
      </c>
      <c r="E5122" t="inlineStr">
        <is>
          <t>FILIPSTAD</t>
        </is>
      </c>
      <c r="F5122" t="inlineStr">
        <is>
          <t>Bergvik skog väst AB</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13828-2021</t>
        </is>
      </c>
      <c r="B5123" s="1" t="n">
        <v>44277</v>
      </c>
      <c r="C5123" s="1" t="n">
        <v>45353</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13914-2021</t>
        </is>
      </c>
      <c r="B5124" s="1" t="n">
        <v>44277</v>
      </c>
      <c r="C5124" s="1" t="n">
        <v>45353</v>
      </c>
      <c r="D5124" t="inlineStr">
        <is>
          <t>VÄRMLANDS LÄN</t>
        </is>
      </c>
      <c r="E5124" t="inlineStr">
        <is>
          <t>KRISTINEHAMN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14094-2021</t>
        </is>
      </c>
      <c r="B5125" s="1" t="n">
        <v>44278</v>
      </c>
      <c r="C5125" s="1" t="n">
        <v>45353</v>
      </c>
      <c r="D5125" t="inlineStr">
        <is>
          <t>VÄRMLANDS LÄN</t>
        </is>
      </c>
      <c r="E5125" t="inlineStr">
        <is>
          <t>ÅRJÄNG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14214-2021</t>
        </is>
      </c>
      <c r="B5126" s="1" t="n">
        <v>44278</v>
      </c>
      <c r="C5126" s="1" t="n">
        <v>45353</v>
      </c>
      <c r="D5126" t="inlineStr">
        <is>
          <t>VÄRMLANDS LÄN</t>
        </is>
      </c>
      <c r="E5126" t="inlineStr">
        <is>
          <t>SUNNE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14181-2021</t>
        </is>
      </c>
      <c r="B5127" s="1" t="n">
        <v>44278</v>
      </c>
      <c r="C5127" s="1" t="n">
        <v>45353</v>
      </c>
      <c r="D5127" t="inlineStr">
        <is>
          <t>VÄRMLANDS LÄN</t>
        </is>
      </c>
      <c r="E5127" t="inlineStr">
        <is>
          <t>ARVIKA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14222-2021</t>
        </is>
      </c>
      <c r="B5128" s="1" t="n">
        <v>44278</v>
      </c>
      <c r="C5128" s="1" t="n">
        <v>45353</v>
      </c>
      <c r="D5128" t="inlineStr">
        <is>
          <t>VÄRMLANDS LÄN</t>
        </is>
      </c>
      <c r="E5128" t="inlineStr">
        <is>
          <t>EDA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14273-2021</t>
        </is>
      </c>
      <c r="B5129" s="1" t="n">
        <v>44278</v>
      </c>
      <c r="C5129" s="1" t="n">
        <v>45353</v>
      </c>
      <c r="D5129" t="inlineStr">
        <is>
          <t>VÄRMLANDS LÄN</t>
        </is>
      </c>
      <c r="E5129" t="inlineStr">
        <is>
          <t>ARVIKA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14356-2021</t>
        </is>
      </c>
      <c r="B5130" s="1" t="n">
        <v>44279</v>
      </c>
      <c r="C5130" s="1" t="n">
        <v>45353</v>
      </c>
      <c r="D5130" t="inlineStr">
        <is>
          <t>VÄRMLANDS LÄN</t>
        </is>
      </c>
      <c r="E5130" t="inlineStr">
        <is>
          <t>STORFORS</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14475-2021</t>
        </is>
      </c>
      <c r="B5131" s="1" t="n">
        <v>44279</v>
      </c>
      <c r="C5131" s="1" t="n">
        <v>45353</v>
      </c>
      <c r="D5131" t="inlineStr">
        <is>
          <t>VÄRMLANDS LÄN</t>
        </is>
      </c>
      <c r="E5131" t="inlineStr">
        <is>
          <t>KARLSTAD</t>
        </is>
      </c>
      <c r="F5131" t="inlineStr">
        <is>
          <t>Bergvik skog väst AB</t>
        </is>
      </c>
      <c r="G5131" t="n">
        <v>25.3</v>
      </c>
      <c r="H5131" t="n">
        <v>0</v>
      </c>
      <c r="I5131" t="n">
        <v>0</v>
      </c>
      <c r="J5131" t="n">
        <v>0</v>
      </c>
      <c r="K5131" t="n">
        <v>0</v>
      </c>
      <c r="L5131" t="n">
        <v>0</v>
      </c>
      <c r="M5131" t="n">
        <v>0</v>
      </c>
      <c r="N5131" t="n">
        <v>0</v>
      </c>
      <c r="O5131" t="n">
        <v>0</v>
      </c>
      <c r="P5131" t="n">
        <v>0</v>
      </c>
      <c r="Q5131" t="n">
        <v>0</v>
      </c>
      <c r="R5131" s="2" t="inlineStr"/>
    </row>
    <row r="5132" ht="15" customHeight="1">
      <c r="A5132" t="inlineStr">
        <is>
          <t>A 14469-2021</t>
        </is>
      </c>
      <c r="B5132" s="1" t="n">
        <v>44279</v>
      </c>
      <c r="C5132" s="1" t="n">
        <v>45353</v>
      </c>
      <c r="D5132" t="inlineStr">
        <is>
          <t>VÄRMLANDS LÄN</t>
        </is>
      </c>
      <c r="E5132" t="inlineStr">
        <is>
          <t>KARLSTAD</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14740-2021</t>
        </is>
      </c>
      <c r="B5133" s="1" t="n">
        <v>44280</v>
      </c>
      <c r="C5133" s="1" t="n">
        <v>45353</v>
      </c>
      <c r="D5133" t="inlineStr">
        <is>
          <t>VÄRMLANDS LÄN</t>
        </is>
      </c>
      <c r="E5133" t="inlineStr">
        <is>
          <t>SÄFFLE</t>
        </is>
      </c>
      <c r="F5133" t="inlineStr">
        <is>
          <t>Bergvik skog väst AB</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14808-2021</t>
        </is>
      </c>
      <c r="B5134" s="1" t="n">
        <v>44280</v>
      </c>
      <c r="C5134" s="1" t="n">
        <v>45353</v>
      </c>
      <c r="D5134" t="inlineStr">
        <is>
          <t>VÄRMLANDS LÄN</t>
        </is>
      </c>
      <c r="E5134" t="inlineStr">
        <is>
          <t>KRISTINEHAMN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14913-2021</t>
        </is>
      </c>
      <c r="B5135" s="1" t="n">
        <v>44281</v>
      </c>
      <c r="C5135" s="1" t="n">
        <v>45353</v>
      </c>
      <c r="D5135" t="inlineStr">
        <is>
          <t>VÄRMLANDS LÄN</t>
        </is>
      </c>
      <c r="E5135" t="inlineStr">
        <is>
          <t>EDA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15058-2021</t>
        </is>
      </c>
      <c r="B5136" s="1" t="n">
        <v>44281</v>
      </c>
      <c r="C5136" s="1" t="n">
        <v>45353</v>
      </c>
      <c r="D5136" t="inlineStr">
        <is>
          <t>VÄRMLANDS LÄN</t>
        </is>
      </c>
      <c r="E5136" t="inlineStr">
        <is>
          <t>ARVIKA</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14906-2021</t>
        </is>
      </c>
      <c r="B5137" s="1" t="n">
        <v>44281</v>
      </c>
      <c r="C5137" s="1" t="n">
        <v>45353</v>
      </c>
      <c r="D5137" t="inlineStr">
        <is>
          <t>VÄRMLANDS LÄN</t>
        </is>
      </c>
      <c r="E5137" t="inlineStr">
        <is>
          <t>ÅRJÄNG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14996-2021</t>
        </is>
      </c>
      <c r="B5138" s="1" t="n">
        <v>44281</v>
      </c>
      <c r="C5138" s="1" t="n">
        <v>45353</v>
      </c>
      <c r="D5138" t="inlineStr">
        <is>
          <t>VÄRMLANDS LÄN</t>
        </is>
      </c>
      <c r="E5138" t="inlineStr">
        <is>
          <t>FORSHAGA</t>
        </is>
      </c>
      <c r="F5138" t="inlineStr">
        <is>
          <t>Bergvik skog väst AB</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14942-2021</t>
        </is>
      </c>
      <c r="B5139" s="1" t="n">
        <v>44281</v>
      </c>
      <c r="C5139" s="1" t="n">
        <v>45353</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15249-2021</t>
        </is>
      </c>
      <c r="B5140" s="1" t="n">
        <v>44282</v>
      </c>
      <c r="C5140" s="1" t="n">
        <v>45353</v>
      </c>
      <c r="D5140" t="inlineStr">
        <is>
          <t>VÄRMLANDS LÄN</t>
        </is>
      </c>
      <c r="E5140" t="inlineStr">
        <is>
          <t>ÅRJÄNG</t>
        </is>
      </c>
      <c r="F5140" t="inlineStr">
        <is>
          <t>Övriga Aktiebolag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15224-2021</t>
        </is>
      </c>
      <c r="B5141" s="1" t="n">
        <v>44284</v>
      </c>
      <c r="C5141" s="1" t="n">
        <v>45353</v>
      </c>
      <c r="D5141" t="inlineStr">
        <is>
          <t>VÄRMLANDS LÄN</t>
        </is>
      </c>
      <c r="E5141" t="inlineStr">
        <is>
          <t>FORSHAGA</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15171-2021</t>
        </is>
      </c>
      <c r="B5142" s="1" t="n">
        <v>44284</v>
      </c>
      <c r="C5142" s="1" t="n">
        <v>45353</v>
      </c>
      <c r="D5142" t="inlineStr">
        <is>
          <t>VÄRMLANDS LÄN</t>
        </is>
      </c>
      <c r="E5142" t="inlineStr">
        <is>
          <t>SUNNE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15203-2021</t>
        </is>
      </c>
      <c r="B5143" s="1" t="n">
        <v>44284</v>
      </c>
      <c r="C5143" s="1" t="n">
        <v>45353</v>
      </c>
      <c r="D5143" t="inlineStr">
        <is>
          <t>VÄRMLANDS LÄN</t>
        </is>
      </c>
      <c r="E5143" t="inlineStr">
        <is>
          <t>FORSHAGA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15149-2021</t>
        </is>
      </c>
      <c r="B5144" s="1" t="n">
        <v>44284</v>
      </c>
      <c r="C5144" s="1" t="n">
        <v>45353</v>
      </c>
      <c r="D5144" t="inlineStr">
        <is>
          <t>VÄRMLANDS LÄN</t>
        </is>
      </c>
      <c r="E5144" t="inlineStr">
        <is>
          <t>KARLSTAD</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15185-2021</t>
        </is>
      </c>
      <c r="B5145" s="1" t="n">
        <v>44284</v>
      </c>
      <c r="C5145" s="1" t="n">
        <v>45353</v>
      </c>
      <c r="D5145" t="inlineStr">
        <is>
          <t>VÄRMLANDS LÄN</t>
        </is>
      </c>
      <c r="E5145" t="inlineStr">
        <is>
          <t>HAGFORS</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15225-2021</t>
        </is>
      </c>
      <c r="B5146" s="1" t="n">
        <v>44284</v>
      </c>
      <c r="C5146" s="1" t="n">
        <v>45353</v>
      </c>
      <c r="D5146" t="inlineStr">
        <is>
          <t>VÄRMLANDS LÄN</t>
        </is>
      </c>
      <c r="E5146" t="inlineStr">
        <is>
          <t>ARVIKA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15244-2021</t>
        </is>
      </c>
      <c r="B5147" s="1" t="n">
        <v>44284</v>
      </c>
      <c r="C5147" s="1" t="n">
        <v>45353</v>
      </c>
      <c r="D5147" t="inlineStr">
        <is>
          <t>VÄRMLANDS LÄN</t>
        </is>
      </c>
      <c r="E5147" t="inlineStr">
        <is>
          <t>ÅRJÄNG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15186-2021</t>
        </is>
      </c>
      <c r="B5148" s="1" t="n">
        <v>44284</v>
      </c>
      <c r="C5148" s="1" t="n">
        <v>45353</v>
      </c>
      <c r="D5148" t="inlineStr">
        <is>
          <t>VÄRMLANDS LÄN</t>
        </is>
      </c>
      <c r="E5148" t="inlineStr">
        <is>
          <t>HAGFORS</t>
        </is>
      </c>
      <c r="F5148" t="inlineStr">
        <is>
          <t>Bergvik skog väst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15245-2021</t>
        </is>
      </c>
      <c r="B5149" s="1" t="n">
        <v>44284</v>
      </c>
      <c r="C5149" s="1" t="n">
        <v>45353</v>
      </c>
      <c r="D5149" t="inlineStr">
        <is>
          <t>VÄRMLANDS LÄN</t>
        </is>
      </c>
      <c r="E5149" t="inlineStr">
        <is>
          <t>ÅRJÄNG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15279-2021</t>
        </is>
      </c>
      <c r="B5150" s="1" t="n">
        <v>44284</v>
      </c>
      <c r="C5150" s="1" t="n">
        <v>45353</v>
      </c>
      <c r="D5150" t="inlineStr">
        <is>
          <t>VÄRMLANDS LÄN</t>
        </is>
      </c>
      <c r="E5150" t="inlineStr">
        <is>
          <t>TORSBY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15256-2021</t>
        </is>
      </c>
      <c r="B5151" s="1" t="n">
        <v>44284</v>
      </c>
      <c r="C5151" s="1" t="n">
        <v>45353</v>
      </c>
      <c r="D5151" t="inlineStr">
        <is>
          <t>VÄRMLANDS LÄN</t>
        </is>
      </c>
      <c r="E5151" t="inlineStr">
        <is>
          <t>SÄFFLE</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15395-2021</t>
        </is>
      </c>
      <c r="B5152" s="1" t="n">
        <v>44285</v>
      </c>
      <c r="C5152" s="1" t="n">
        <v>45353</v>
      </c>
      <c r="D5152" t="inlineStr">
        <is>
          <t>VÄRMLANDS LÄN</t>
        </is>
      </c>
      <c r="E5152" t="inlineStr">
        <is>
          <t>EDA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15437-2021</t>
        </is>
      </c>
      <c r="B5153" s="1" t="n">
        <v>44285</v>
      </c>
      <c r="C5153" s="1" t="n">
        <v>45353</v>
      </c>
      <c r="D5153" t="inlineStr">
        <is>
          <t>VÄRMLANDS LÄN</t>
        </is>
      </c>
      <c r="E5153" t="inlineStr">
        <is>
          <t>KIL</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15536-2021</t>
        </is>
      </c>
      <c r="B5154" s="1" t="n">
        <v>44285</v>
      </c>
      <c r="C5154" s="1" t="n">
        <v>45353</v>
      </c>
      <c r="D5154" t="inlineStr">
        <is>
          <t>VÄRMLANDS LÄN</t>
        </is>
      </c>
      <c r="E5154" t="inlineStr">
        <is>
          <t>ARVIKA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15476-2021</t>
        </is>
      </c>
      <c r="B5155" s="1" t="n">
        <v>44285</v>
      </c>
      <c r="C5155" s="1" t="n">
        <v>45353</v>
      </c>
      <c r="D5155" t="inlineStr">
        <is>
          <t>VÄRMLANDS LÄN</t>
        </is>
      </c>
      <c r="E5155" t="inlineStr">
        <is>
          <t>SÄFFLE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16191-2021</t>
        </is>
      </c>
      <c r="B5156" s="1" t="n">
        <v>44285</v>
      </c>
      <c r="C5156" s="1" t="n">
        <v>45353</v>
      </c>
      <c r="D5156" t="inlineStr">
        <is>
          <t>VÄRMLANDS LÄN</t>
        </is>
      </c>
      <c r="E5156" t="inlineStr">
        <is>
          <t>TORSBY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15577-2021</t>
        </is>
      </c>
      <c r="B5157" s="1" t="n">
        <v>44285</v>
      </c>
      <c r="C5157" s="1" t="n">
        <v>45353</v>
      </c>
      <c r="D5157" t="inlineStr">
        <is>
          <t>VÄRMLANDS LÄN</t>
        </is>
      </c>
      <c r="E5157" t="inlineStr">
        <is>
          <t>KRISTINEHAMN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15773-2021</t>
        </is>
      </c>
      <c r="B5158" s="1" t="n">
        <v>44286</v>
      </c>
      <c r="C5158" s="1" t="n">
        <v>45353</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15854-2021</t>
        </is>
      </c>
      <c r="B5159" s="1" t="n">
        <v>44286</v>
      </c>
      <c r="C5159" s="1" t="n">
        <v>45353</v>
      </c>
      <c r="D5159" t="inlineStr">
        <is>
          <t>VÄRMLANDS LÄN</t>
        </is>
      </c>
      <c r="E5159" t="inlineStr">
        <is>
          <t>TORSBY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15759-2021</t>
        </is>
      </c>
      <c r="B5160" s="1" t="n">
        <v>44286</v>
      </c>
      <c r="C5160" s="1" t="n">
        <v>45353</v>
      </c>
      <c r="D5160" t="inlineStr">
        <is>
          <t>VÄRMLANDS LÄN</t>
        </is>
      </c>
      <c r="E5160" t="inlineStr">
        <is>
          <t>EDA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15701-2021</t>
        </is>
      </c>
      <c r="B5161" s="1" t="n">
        <v>44286</v>
      </c>
      <c r="C5161" s="1" t="n">
        <v>45353</v>
      </c>
      <c r="D5161" t="inlineStr">
        <is>
          <t>VÄRMLANDS LÄN</t>
        </is>
      </c>
      <c r="E5161" t="inlineStr">
        <is>
          <t>GRUMS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15761-2021</t>
        </is>
      </c>
      <c r="B5162" s="1" t="n">
        <v>44286</v>
      </c>
      <c r="C5162" s="1" t="n">
        <v>45353</v>
      </c>
      <c r="D5162" t="inlineStr">
        <is>
          <t>VÄRMLANDS LÄN</t>
        </is>
      </c>
      <c r="E5162" t="inlineStr">
        <is>
          <t>EDA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15810-2021</t>
        </is>
      </c>
      <c r="B5163" s="1" t="n">
        <v>44286</v>
      </c>
      <c r="C5163" s="1" t="n">
        <v>45353</v>
      </c>
      <c r="D5163" t="inlineStr">
        <is>
          <t>VÄRMLANDS LÄN</t>
        </is>
      </c>
      <c r="E5163" t="inlineStr">
        <is>
          <t>KARLSTAD</t>
        </is>
      </c>
      <c r="F5163" t="inlineStr">
        <is>
          <t>Bergvik skog väst AB</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15853-2021</t>
        </is>
      </c>
      <c r="B5164" s="1" t="n">
        <v>44286</v>
      </c>
      <c r="C5164" s="1" t="n">
        <v>45353</v>
      </c>
      <c r="D5164" t="inlineStr">
        <is>
          <t>VÄRMLANDS LÄN</t>
        </is>
      </c>
      <c r="E5164" t="inlineStr">
        <is>
          <t>TORSBY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15912-2021</t>
        </is>
      </c>
      <c r="B5165" s="1" t="n">
        <v>44287</v>
      </c>
      <c r="C5165" s="1" t="n">
        <v>45353</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15945-2021</t>
        </is>
      </c>
      <c r="B5166" s="1" t="n">
        <v>44287</v>
      </c>
      <c r="C5166" s="1" t="n">
        <v>45353</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15961-2021</t>
        </is>
      </c>
      <c r="B5167" s="1" t="n">
        <v>44287</v>
      </c>
      <c r="C5167" s="1" t="n">
        <v>45353</v>
      </c>
      <c r="D5167" t="inlineStr">
        <is>
          <t>VÄRMLANDS LÄN</t>
        </is>
      </c>
      <c r="E5167" t="inlineStr">
        <is>
          <t>SÄFFLE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15919-2021</t>
        </is>
      </c>
      <c r="B5168" s="1" t="n">
        <v>44287</v>
      </c>
      <c r="C5168" s="1" t="n">
        <v>45353</v>
      </c>
      <c r="D5168" t="inlineStr">
        <is>
          <t>VÄRMLANDS LÄN</t>
        </is>
      </c>
      <c r="E5168" t="inlineStr">
        <is>
          <t>KIL</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15965-2021</t>
        </is>
      </c>
      <c r="B5169" s="1" t="n">
        <v>44287</v>
      </c>
      <c r="C5169" s="1" t="n">
        <v>45353</v>
      </c>
      <c r="D5169" t="inlineStr">
        <is>
          <t>VÄRMLANDS LÄN</t>
        </is>
      </c>
      <c r="E5169" t="inlineStr">
        <is>
          <t>ARVIKA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16167-2021</t>
        </is>
      </c>
      <c r="B5170" s="1" t="n">
        <v>44287</v>
      </c>
      <c r="C5170" s="1" t="n">
        <v>45353</v>
      </c>
      <c r="D5170" t="inlineStr">
        <is>
          <t>VÄRMLANDS LÄN</t>
        </is>
      </c>
      <c r="E5170" t="inlineStr">
        <is>
          <t>KIL</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16163-2021</t>
        </is>
      </c>
      <c r="B5171" s="1" t="n">
        <v>44287</v>
      </c>
      <c r="C5171" s="1" t="n">
        <v>45353</v>
      </c>
      <c r="D5171" t="inlineStr">
        <is>
          <t>VÄRMLANDS LÄN</t>
        </is>
      </c>
      <c r="E5171" t="inlineStr">
        <is>
          <t>KIL</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15939-2021</t>
        </is>
      </c>
      <c r="B5172" s="1" t="n">
        <v>44287</v>
      </c>
      <c r="C5172" s="1" t="n">
        <v>45353</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15981-2021</t>
        </is>
      </c>
      <c r="B5173" s="1" t="n">
        <v>44287</v>
      </c>
      <c r="C5173" s="1" t="n">
        <v>45353</v>
      </c>
      <c r="D5173" t="inlineStr">
        <is>
          <t>VÄRMLANDS LÄN</t>
        </is>
      </c>
      <c r="E5173" t="inlineStr">
        <is>
          <t>ARVIKA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16168-2021</t>
        </is>
      </c>
      <c r="B5174" s="1" t="n">
        <v>44287</v>
      </c>
      <c r="C5174" s="1" t="n">
        <v>45353</v>
      </c>
      <c r="D5174" t="inlineStr">
        <is>
          <t>VÄRMLANDS LÄN</t>
        </is>
      </c>
      <c r="E5174" t="inlineStr">
        <is>
          <t>KIL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16052-2021</t>
        </is>
      </c>
      <c r="B5175" s="1" t="n">
        <v>44287</v>
      </c>
      <c r="C5175" s="1" t="n">
        <v>45353</v>
      </c>
      <c r="D5175" t="inlineStr">
        <is>
          <t>VÄRMLANDS LÄN</t>
        </is>
      </c>
      <c r="E5175" t="inlineStr">
        <is>
          <t>SUNNE</t>
        </is>
      </c>
      <c r="F5175" t="inlineStr">
        <is>
          <t>Övriga Aktiebolag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16169-2021</t>
        </is>
      </c>
      <c r="B5176" s="1" t="n">
        <v>44287</v>
      </c>
      <c r="C5176" s="1" t="n">
        <v>45353</v>
      </c>
      <c r="D5176" t="inlineStr">
        <is>
          <t>VÄRMLANDS LÄN</t>
        </is>
      </c>
      <c r="E5176" t="inlineStr">
        <is>
          <t>KIL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16078-2021</t>
        </is>
      </c>
      <c r="B5177" s="1" t="n">
        <v>44288</v>
      </c>
      <c r="C5177" s="1" t="n">
        <v>45353</v>
      </c>
      <c r="D5177" t="inlineStr">
        <is>
          <t>VÄRMLANDS LÄN</t>
        </is>
      </c>
      <c r="E5177" t="inlineStr">
        <is>
          <t>EDA</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16079-2021</t>
        </is>
      </c>
      <c r="B5178" s="1" t="n">
        <v>44288</v>
      </c>
      <c r="C5178" s="1" t="n">
        <v>45353</v>
      </c>
      <c r="D5178" t="inlineStr">
        <is>
          <t>VÄRMLANDS LÄN</t>
        </is>
      </c>
      <c r="E5178" t="inlineStr">
        <is>
          <t>EDA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16092-2021</t>
        </is>
      </c>
      <c r="B5179" s="1" t="n">
        <v>44289</v>
      </c>
      <c r="C5179" s="1" t="n">
        <v>45353</v>
      </c>
      <c r="D5179" t="inlineStr">
        <is>
          <t>VÄRMLANDS LÄN</t>
        </is>
      </c>
      <c r="E5179" t="inlineStr">
        <is>
          <t>GRUMS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16105-2021</t>
        </is>
      </c>
      <c r="B5180" s="1" t="n">
        <v>44290</v>
      </c>
      <c r="C5180" s="1" t="n">
        <v>45353</v>
      </c>
      <c r="D5180" t="inlineStr">
        <is>
          <t>VÄRMLANDS LÄN</t>
        </is>
      </c>
      <c r="E5180" t="inlineStr">
        <is>
          <t>EDA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16103-2021</t>
        </is>
      </c>
      <c r="B5181" s="1" t="n">
        <v>44290</v>
      </c>
      <c r="C5181" s="1" t="n">
        <v>45353</v>
      </c>
      <c r="D5181" t="inlineStr">
        <is>
          <t>VÄRMLANDS LÄN</t>
        </is>
      </c>
      <c r="E5181" t="inlineStr">
        <is>
          <t>EDA</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16104-2021</t>
        </is>
      </c>
      <c r="B5182" s="1" t="n">
        <v>44290</v>
      </c>
      <c r="C5182" s="1" t="n">
        <v>45353</v>
      </c>
      <c r="D5182" t="inlineStr">
        <is>
          <t>VÄRMLANDS LÄN</t>
        </is>
      </c>
      <c r="E5182" t="inlineStr">
        <is>
          <t>EDA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16248-2021</t>
        </is>
      </c>
      <c r="B5183" s="1" t="n">
        <v>44291</v>
      </c>
      <c r="C5183" s="1" t="n">
        <v>45353</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16206-2021</t>
        </is>
      </c>
      <c r="B5184" s="1" t="n">
        <v>44292</v>
      </c>
      <c r="C5184" s="1" t="n">
        <v>45353</v>
      </c>
      <c r="D5184" t="inlineStr">
        <is>
          <t>VÄRMLANDS LÄN</t>
        </is>
      </c>
      <c r="E5184" t="inlineStr">
        <is>
          <t>KARLSTAD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16303-2021</t>
        </is>
      </c>
      <c r="B5185" s="1" t="n">
        <v>44292</v>
      </c>
      <c r="C5185" s="1" t="n">
        <v>45353</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16176-2021</t>
        </is>
      </c>
      <c r="B5186" s="1" t="n">
        <v>44292</v>
      </c>
      <c r="C5186" s="1" t="n">
        <v>45353</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16299-2021</t>
        </is>
      </c>
      <c r="B5187" s="1" t="n">
        <v>44292</v>
      </c>
      <c r="C5187" s="1" t="n">
        <v>45353</v>
      </c>
      <c r="D5187" t="inlineStr">
        <is>
          <t>VÄRMLANDS LÄN</t>
        </is>
      </c>
      <c r="E5187" t="inlineStr">
        <is>
          <t>TORSBY</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16466-2021</t>
        </is>
      </c>
      <c r="B5188" s="1" t="n">
        <v>44292</v>
      </c>
      <c r="C5188" s="1" t="n">
        <v>45353</v>
      </c>
      <c r="D5188" t="inlineStr">
        <is>
          <t>VÄRMLANDS LÄN</t>
        </is>
      </c>
      <c r="E5188" t="inlineStr">
        <is>
          <t>GRUMS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16375-2021</t>
        </is>
      </c>
      <c r="B5189" s="1" t="n">
        <v>44292</v>
      </c>
      <c r="C5189" s="1" t="n">
        <v>45353</v>
      </c>
      <c r="D5189" t="inlineStr">
        <is>
          <t>VÄRMLANDS LÄN</t>
        </is>
      </c>
      <c r="E5189" t="inlineStr">
        <is>
          <t>TORSBY</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16467-2021</t>
        </is>
      </c>
      <c r="B5190" s="1" t="n">
        <v>44292</v>
      </c>
      <c r="C5190" s="1" t="n">
        <v>45353</v>
      </c>
      <c r="D5190" t="inlineStr">
        <is>
          <t>VÄRMLANDS LÄN</t>
        </is>
      </c>
      <c r="E5190" t="inlineStr">
        <is>
          <t>GRUMS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16540-2021</t>
        </is>
      </c>
      <c r="B5191" s="1" t="n">
        <v>44293</v>
      </c>
      <c r="C5191" s="1" t="n">
        <v>45353</v>
      </c>
      <c r="D5191" t="inlineStr">
        <is>
          <t>VÄRMLANDS LÄN</t>
        </is>
      </c>
      <c r="E5191" t="inlineStr">
        <is>
          <t>ARVIKA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16646-2021</t>
        </is>
      </c>
      <c r="B5192" s="1" t="n">
        <v>44294</v>
      </c>
      <c r="C5192" s="1" t="n">
        <v>45353</v>
      </c>
      <c r="D5192" t="inlineStr">
        <is>
          <t>VÄRMLANDS LÄN</t>
        </is>
      </c>
      <c r="E5192" t="inlineStr">
        <is>
          <t>SÄFFLE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16655-2021</t>
        </is>
      </c>
      <c r="B5193" s="1" t="n">
        <v>44294</v>
      </c>
      <c r="C5193" s="1" t="n">
        <v>45353</v>
      </c>
      <c r="D5193" t="inlineStr">
        <is>
          <t>VÄRMLANDS LÄN</t>
        </is>
      </c>
      <c r="E5193" t="inlineStr">
        <is>
          <t>FORSHAGA</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16676-2021</t>
        </is>
      </c>
      <c r="B5194" s="1" t="n">
        <v>44294</v>
      </c>
      <c r="C5194" s="1" t="n">
        <v>45353</v>
      </c>
      <c r="D5194" t="inlineStr">
        <is>
          <t>VÄRMLANDS LÄN</t>
        </is>
      </c>
      <c r="E5194" t="inlineStr">
        <is>
          <t>ÅRJÄNG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16689-2021</t>
        </is>
      </c>
      <c r="B5195" s="1" t="n">
        <v>44294</v>
      </c>
      <c r="C5195" s="1" t="n">
        <v>45353</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16867-2021</t>
        </is>
      </c>
      <c r="B5196" s="1" t="n">
        <v>44295</v>
      </c>
      <c r="C5196" s="1" t="n">
        <v>45353</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16940-2021</t>
        </is>
      </c>
      <c r="B5197" s="1" t="n">
        <v>44295</v>
      </c>
      <c r="C5197" s="1" t="n">
        <v>45353</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16797-2021</t>
        </is>
      </c>
      <c r="B5198" s="1" t="n">
        <v>44295</v>
      </c>
      <c r="C5198" s="1" t="n">
        <v>45353</v>
      </c>
      <c r="D5198" t="inlineStr">
        <is>
          <t>VÄRMLANDS LÄN</t>
        </is>
      </c>
      <c r="E5198" t="inlineStr">
        <is>
          <t>ARVIKA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16820-2021</t>
        </is>
      </c>
      <c r="B5199" s="1" t="n">
        <v>44295</v>
      </c>
      <c r="C5199" s="1" t="n">
        <v>45353</v>
      </c>
      <c r="D5199" t="inlineStr">
        <is>
          <t>VÄRMLANDS LÄN</t>
        </is>
      </c>
      <c r="E5199" t="inlineStr">
        <is>
          <t>KARLSTAD</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16890-2021</t>
        </is>
      </c>
      <c r="B5200" s="1" t="n">
        <v>44295</v>
      </c>
      <c r="C5200" s="1" t="n">
        <v>45353</v>
      </c>
      <c r="D5200" t="inlineStr">
        <is>
          <t>VÄRMLANDS LÄN</t>
        </is>
      </c>
      <c r="E5200" t="inlineStr">
        <is>
          <t>HAMMARÖ</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16861-2021</t>
        </is>
      </c>
      <c r="B5201" s="1" t="n">
        <v>44295</v>
      </c>
      <c r="C5201" s="1" t="n">
        <v>45353</v>
      </c>
      <c r="D5201" t="inlineStr">
        <is>
          <t>VÄRMLANDS LÄN</t>
        </is>
      </c>
      <c r="E5201" t="inlineStr">
        <is>
          <t>KARLSTAD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16941-2021</t>
        </is>
      </c>
      <c r="B5202" s="1" t="n">
        <v>44295</v>
      </c>
      <c r="C5202" s="1" t="n">
        <v>45353</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16981-2021</t>
        </is>
      </c>
      <c r="B5203" s="1" t="n">
        <v>44295</v>
      </c>
      <c r="C5203" s="1" t="n">
        <v>45353</v>
      </c>
      <c r="D5203" t="inlineStr">
        <is>
          <t>VÄRMLANDS LÄN</t>
        </is>
      </c>
      <c r="E5203" t="inlineStr">
        <is>
          <t>ARVIKA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17054-2021</t>
        </is>
      </c>
      <c r="B5204" s="1" t="n">
        <v>44296</v>
      </c>
      <c r="C5204" s="1" t="n">
        <v>45353</v>
      </c>
      <c r="D5204" t="inlineStr">
        <is>
          <t>VÄRMLANDS LÄN</t>
        </is>
      </c>
      <c r="E5204" t="inlineStr">
        <is>
          <t>SÄFFLE</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17067-2021</t>
        </is>
      </c>
      <c r="B5205" s="1" t="n">
        <v>44297</v>
      </c>
      <c r="C5205" s="1" t="n">
        <v>45353</v>
      </c>
      <c r="D5205" t="inlineStr">
        <is>
          <t>VÄRMLANDS LÄN</t>
        </is>
      </c>
      <c r="E5205" t="inlineStr">
        <is>
          <t>HAGFORS</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17248-2021</t>
        </is>
      </c>
      <c r="B5206" s="1" t="n">
        <v>44298</v>
      </c>
      <c r="C5206" s="1" t="n">
        <v>45353</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17158-2021</t>
        </is>
      </c>
      <c r="B5207" s="1" t="n">
        <v>44298</v>
      </c>
      <c r="C5207" s="1" t="n">
        <v>45353</v>
      </c>
      <c r="D5207" t="inlineStr">
        <is>
          <t>VÄRMLANDS LÄN</t>
        </is>
      </c>
      <c r="E5207" t="inlineStr">
        <is>
          <t>ARVIKA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17178-2021</t>
        </is>
      </c>
      <c r="B5208" s="1" t="n">
        <v>44298</v>
      </c>
      <c r="C5208" s="1" t="n">
        <v>45353</v>
      </c>
      <c r="D5208" t="inlineStr">
        <is>
          <t>VÄRMLANDS LÄN</t>
        </is>
      </c>
      <c r="E5208" t="inlineStr">
        <is>
          <t>ÅRJÄNG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17249-2021</t>
        </is>
      </c>
      <c r="B5209" s="1" t="n">
        <v>44298</v>
      </c>
      <c r="C5209" s="1" t="n">
        <v>45353</v>
      </c>
      <c r="D5209" t="inlineStr">
        <is>
          <t>VÄRMLANDS LÄN</t>
        </is>
      </c>
      <c r="E5209" t="inlineStr">
        <is>
          <t>TORSBY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17140-2021</t>
        </is>
      </c>
      <c r="B5210" s="1" t="n">
        <v>44298</v>
      </c>
      <c r="C5210" s="1" t="n">
        <v>45353</v>
      </c>
      <c r="D5210" t="inlineStr">
        <is>
          <t>VÄRMLANDS LÄN</t>
        </is>
      </c>
      <c r="E5210" t="inlineStr">
        <is>
          <t>ARVIKA</t>
        </is>
      </c>
      <c r="F5210" t="inlineStr">
        <is>
          <t>Bergvik skog väst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17162-2021</t>
        </is>
      </c>
      <c r="B5211" s="1" t="n">
        <v>44298</v>
      </c>
      <c r="C5211" s="1" t="n">
        <v>45353</v>
      </c>
      <c r="D5211" t="inlineStr">
        <is>
          <t>VÄRMLANDS LÄN</t>
        </is>
      </c>
      <c r="E5211" t="inlineStr">
        <is>
          <t>EDA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17208-2021</t>
        </is>
      </c>
      <c r="B5212" s="1" t="n">
        <v>44298</v>
      </c>
      <c r="C5212" s="1" t="n">
        <v>45353</v>
      </c>
      <c r="D5212" t="inlineStr">
        <is>
          <t>VÄRMLANDS LÄN</t>
        </is>
      </c>
      <c r="E5212" t="inlineStr">
        <is>
          <t>KARLSTAD</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17559-2021</t>
        </is>
      </c>
      <c r="B5213" s="1" t="n">
        <v>44299</v>
      </c>
      <c r="C5213" s="1" t="n">
        <v>45353</v>
      </c>
      <c r="D5213" t="inlineStr">
        <is>
          <t>VÄRMLANDS LÄN</t>
        </is>
      </c>
      <c r="E5213" t="inlineStr">
        <is>
          <t>KIL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17664-2021</t>
        </is>
      </c>
      <c r="B5214" s="1" t="n">
        <v>44299</v>
      </c>
      <c r="C5214" s="1" t="n">
        <v>45353</v>
      </c>
      <c r="D5214" t="inlineStr">
        <is>
          <t>VÄRMLANDS LÄN</t>
        </is>
      </c>
      <c r="E5214" t="inlineStr">
        <is>
          <t>GRUMS</t>
        </is>
      </c>
      <c r="F5214" t="inlineStr">
        <is>
          <t>Bergvik skog väst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17665-2021</t>
        </is>
      </c>
      <c r="B5215" s="1" t="n">
        <v>44299</v>
      </c>
      <c r="C5215" s="1" t="n">
        <v>45353</v>
      </c>
      <c r="D5215" t="inlineStr">
        <is>
          <t>VÄRMLANDS LÄN</t>
        </is>
      </c>
      <c r="E5215" t="inlineStr">
        <is>
          <t>SÄFFLE</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17625-2021</t>
        </is>
      </c>
      <c r="B5216" s="1" t="n">
        <v>44299</v>
      </c>
      <c r="C5216" s="1" t="n">
        <v>45353</v>
      </c>
      <c r="D5216" t="inlineStr">
        <is>
          <t>VÄRMLANDS LÄN</t>
        </is>
      </c>
      <c r="E5216" t="inlineStr">
        <is>
          <t>STORFORS</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17809-2021</t>
        </is>
      </c>
      <c r="B5217" s="1" t="n">
        <v>44300</v>
      </c>
      <c r="C5217" s="1" t="n">
        <v>45353</v>
      </c>
      <c r="D5217" t="inlineStr">
        <is>
          <t>VÄRMLANDS LÄN</t>
        </is>
      </c>
      <c r="E5217" t="inlineStr">
        <is>
          <t>FILIPSTAD</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17807-2021</t>
        </is>
      </c>
      <c r="B5218" s="1" t="n">
        <v>44300</v>
      </c>
      <c r="C5218" s="1" t="n">
        <v>45353</v>
      </c>
      <c r="D5218" t="inlineStr">
        <is>
          <t>VÄRMLANDS LÄN</t>
        </is>
      </c>
      <c r="E5218" t="inlineStr">
        <is>
          <t>FILIPSTAD</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17813-2021</t>
        </is>
      </c>
      <c r="B5219" s="1" t="n">
        <v>44300</v>
      </c>
      <c r="C5219" s="1" t="n">
        <v>45353</v>
      </c>
      <c r="D5219" t="inlineStr">
        <is>
          <t>VÄRMLANDS LÄN</t>
        </is>
      </c>
      <c r="E5219" t="inlineStr">
        <is>
          <t>FILIPSTAD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17941-2021</t>
        </is>
      </c>
      <c r="B5220" s="1" t="n">
        <v>44301</v>
      </c>
      <c r="C5220" s="1" t="n">
        <v>45353</v>
      </c>
      <c r="D5220" t="inlineStr">
        <is>
          <t>VÄRMLANDS LÄN</t>
        </is>
      </c>
      <c r="E5220" t="inlineStr">
        <is>
          <t>TORSBY</t>
        </is>
      </c>
      <c r="F5220" t="inlineStr">
        <is>
          <t>Kommuner</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17962-2021</t>
        </is>
      </c>
      <c r="B5221" s="1" t="n">
        <v>44301</v>
      </c>
      <c r="C5221" s="1" t="n">
        <v>45353</v>
      </c>
      <c r="D5221" t="inlineStr">
        <is>
          <t>VÄRMLANDS LÄN</t>
        </is>
      </c>
      <c r="E5221" t="inlineStr">
        <is>
          <t>TORSBY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17927-2021</t>
        </is>
      </c>
      <c r="B5222" s="1" t="n">
        <v>44301</v>
      </c>
      <c r="C5222" s="1" t="n">
        <v>45353</v>
      </c>
      <c r="D5222" t="inlineStr">
        <is>
          <t>VÄRMLANDS LÄN</t>
        </is>
      </c>
      <c r="E5222" t="inlineStr">
        <is>
          <t>ÅRJÄNG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17878-2021</t>
        </is>
      </c>
      <c r="B5223" s="1" t="n">
        <v>44301</v>
      </c>
      <c r="C5223" s="1" t="n">
        <v>45353</v>
      </c>
      <c r="D5223" t="inlineStr">
        <is>
          <t>VÄRMLANDS LÄN</t>
        </is>
      </c>
      <c r="E5223" t="inlineStr">
        <is>
          <t>SUNNE</t>
        </is>
      </c>
      <c r="G5223" t="n">
        <v>12.2</v>
      </c>
      <c r="H5223" t="n">
        <v>0</v>
      </c>
      <c r="I5223" t="n">
        <v>0</v>
      </c>
      <c r="J5223" t="n">
        <v>0</v>
      </c>
      <c r="K5223" t="n">
        <v>0</v>
      </c>
      <c r="L5223" t="n">
        <v>0</v>
      </c>
      <c r="M5223" t="n">
        <v>0</v>
      </c>
      <c r="N5223" t="n">
        <v>0</v>
      </c>
      <c r="O5223" t="n">
        <v>0</v>
      </c>
      <c r="P5223" t="n">
        <v>0</v>
      </c>
      <c r="Q5223" t="n">
        <v>0</v>
      </c>
      <c r="R5223" s="2" t="inlineStr"/>
    </row>
    <row r="5224" ht="15" customHeight="1">
      <c r="A5224" t="inlineStr">
        <is>
          <t>A 17940-2021</t>
        </is>
      </c>
      <c r="B5224" s="1" t="n">
        <v>44301</v>
      </c>
      <c r="C5224" s="1" t="n">
        <v>45353</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17892-2021</t>
        </is>
      </c>
      <c r="B5225" s="1" t="n">
        <v>44301</v>
      </c>
      <c r="C5225" s="1" t="n">
        <v>45353</v>
      </c>
      <c r="D5225" t="inlineStr">
        <is>
          <t>VÄRMLANDS LÄN</t>
        </is>
      </c>
      <c r="E5225" t="inlineStr">
        <is>
          <t>ÅRJÄNG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17944-2021</t>
        </is>
      </c>
      <c r="B5226" s="1" t="n">
        <v>44301</v>
      </c>
      <c r="C5226" s="1" t="n">
        <v>45353</v>
      </c>
      <c r="D5226" t="inlineStr">
        <is>
          <t>VÄRMLANDS LÄN</t>
        </is>
      </c>
      <c r="E5226" t="inlineStr">
        <is>
          <t>TORSBY</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23524-2021</t>
        </is>
      </c>
      <c r="B5227" s="1" t="n">
        <v>44301</v>
      </c>
      <c r="C5227" s="1" t="n">
        <v>45353</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18174-2021</t>
        </is>
      </c>
      <c r="B5228" s="1" t="n">
        <v>44302</v>
      </c>
      <c r="C5228" s="1" t="n">
        <v>45353</v>
      </c>
      <c r="D5228" t="inlineStr">
        <is>
          <t>VÄRMLANDS LÄN</t>
        </is>
      </c>
      <c r="E5228" t="inlineStr">
        <is>
          <t>TORSBY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18033-2021</t>
        </is>
      </c>
      <c r="B5229" s="1" t="n">
        <v>44302</v>
      </c>
      <c r="C5229" s="1" t="n">
        <v>45353</v>
      </c>
      <c r="D5229" t="inlineStr">
        <is>
          <t>VÄRMLANDS LÄN</t>
        </is>
      </c>
      <c r="E5229" t="inlineStr">
        <is>
          <t>TORSBY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18044-2021</t>
        </is>
      </c>
      <c r="B5230" s="1" t="n">
        <v>44302</v>
      </c>
      <c r="C5230" s="1" t="n">
        <v>45353</v>
      </c>
      <c r="D5230" t="inlineStr">
        <is>
          <t>VÄRMLANDS LÄN</t>
        </is>
      </c>
      <c r="E5230" t="inlineStr">
        <is>
          <t>SÄFFLE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18235-2021</t>
        </is>
      </c>
      <c r="B5231" s="1" t="n">
        <v>44303</v>
      </c>
      <c r="C5231" s="1" t="n">
        <v>45353</v>
      </c>
      <c r="D5231" t="inlineStr">
        <is>
          <t>VÄRMLANDS LÄN</t>
        </is>
      </c>
      <c r="E5231" t="inlineStr">
        <is>
          <t>FILIPSTAD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18232-2021</t>
        </is>
      </c>
      <c r="B5232" s="1" t="n">
        <v>44303</v>
      </c>
      <c r="C5232" s="1" t="n">
        <v>45353</v>
      </c>
      <c r="D5232" t="inlineStr">
        <is>
          <t>VÄRMLANDS LÄN</t>
        </is>
      </c>
      <c r="E5232" t="inlineStr">
        <is>
          <t>KRISTINEHAMN</t>
        </is>
      </c>
      <c r="F5232" t="inlineStr">
        <is>
          <t>Kommuner</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18354-2021</t>
        </is>
      </c>
      <c r="B5233" s="1" t="n">
        <v>44305</v>
      </c>
      <c r="C5233" s="1" t="n">
        <v>45353</v>
      </c>
      <c r="D5233" t="inlineStr">
        <is>
          <t>VÄRMLANDS LÄN</t>
        </is>
      </c>
      <c r="E5233" t="inlineStr">
        <is>
          <t>TORSBY</t>
        </is>
      </c>
      <c r="F5233" t="inlineStr">
        <is>
          <t>Kommuner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18344-2021</t>
        </is>
      </c>
      <c r="B5234" s="1" t="n">
        <v>44305</v>
      </c>
      <c r="C5234" s="1" t="n">
        <v>45353</v>
      </c>
      <c r="D5234" t="inlineStr">
        <is>
          <t>VÄRMLANDS LÄN</t>
        </is>
      </c>
      <c r="E5234" t="inlineStr">
        <is>
          <t>TORSBY</t>
        </is>
      </c>
      <c r="F5234" t="inlineStr">
        <is>
          <t>Kommuner</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18349-2021</t>
        </is>
      </c>
      <c r="B5235" s="1" t="n">
        <v>44305</v>
      </c>
      <c r="C5235" s="1" t="n">
        <v>45353</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18499-2021</t>
        </is>
      </c>
      <c r="B5236" s="1" t="n">
        <v>44306</v>
      </c>
      <c r="C5236" s="1" t="n">
        <v>45353</v>
      </c>
      <c r="D5236" t="inlineStr">
        <is>
          <t>VÄRMLANDS LÄN</t>
        </is>
      </c>
      <c r="E5236" t="inlineStr">
        <is>
          <t>SUNNE</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18661-2021</t>
        </is>
      </c>
      <c r="B5237" s="1" t="n">
        <v>44306</v>
      </c>
      <c r="C5237" s="1" t="n">
        <v>45353</v>
      </c>
      <c r="D5237" t="inlineStr">
        <is>
          <t>VÄRMLANDS LÄN</t>
        </is>
      </c>
      <c r="E5237" t="inlineStr">
        <is>
          <t>ÅRJÄNG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18560-2021</t>
        </is>
      </c>
      <c r="B5238" s="1" t="n">
        <v>44306</v>
      </c>
      <c r="C5238" s="1" t="n">
        <v>45353</v>
      </c>
      <c r="D5238" t="inlineStr">
        <is>
          <t>VÄRMLANDS LÄN</t>
        </is>
      </c>
      <c r="E5238" t="inlineStr">
        <is>
          <t>TORSBY</t>
        </is>
      </c>
      <c r="F5238" t="inlineStr">
        <is>
          <t>Kommuner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18755-2021</t>
        </is>
      </c>
      <c r="B5239" s="1" t="n">
        <v>44307</v>
      </c>
      <c r="C5239" s="1" t="n">
        <v>45353</v>
      </c>
      <c r="D5239" t="inlineStr">
        <is>
          <t>VÄRMLANDS LÄN</t>
        </is>
      </c>
      <c r="E5239" t="inlineStr">
        <is>
          <t>KARLSTAD</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18772-2021</t>
        </is>
      </c>
      <c r="B5240" s="1" t="n">
        <v>44307</v>
      </c>
      <c r="C5240" s="1" t="n">
        <v>45353</v>
      </c>
      <c r="D5240" t="inlineStr">
        <is>
          <t>VÄRMLANDS LÄN</t>
        </is>
      </c>
      <c r="E5240" t="inlineStr">
        <is>
          <t>SÄFFLE</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18978-2021</t>
        </is>
      </c>
      <c r="B5241" s="1" t="n">
        <v>44308</v>
      </c>
      <c r="C5241" s="1" t="n">
        <v>45353</v>
      </c>
      <c r="D5241" t="inlineStr">
        <is>
          <t>VÄRMLANDS LÄN</t>
        </is>
      </c>
      <c r="E5241" t="inlineStr">
        <is>
          <t>MUNKFORS</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18903-2021</t>
        </is>
      </c>
      <c r="B5242" s="1" t="n">
        <v>44308</v>
      </c>
      <c r="C5242" s="1" t="n">
        <v>45353</v>
      </c>
      <c r="D5242" t="inlineStr">
        <is>
          <t>VÄRMLANDS LÄN</t>
        </is>
      </c>
      <c r="E5242" t="inlineStr">
        <is>
          <t>ÅRJÄNG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19031-2021</t>
        </is>
      </c>
      <c r="B5243" s="1" t="n">
        <v>44308</v>
      </c>
      <c r="C5243" s="1" t="n">
        <v>45353</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19193-2021</t>
        </is>
      </c>
      <c r="B5244" s="1" t="n">
        <v>44308</v>
      </c>
      <c r="C5244" s="1" t="n">
        <v>45353</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19244-2021</t>
        </is>
      </c>
      <c r="B5245" s="1" t="n">
        <v>44309</v>
      </c>
      <c r="C5245" s="1" t="n">
        <v>45353</v>
      </c>
      <c r="D5245" t="inlineStr">
        <is>
          <t>VÄRMLANDS LÄN</t>
        </is>
      </c>
      <c r="E5245" t="inlineStr">
        <is>
          <t>ÅRJÄNG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19272-2021</t>
        </is>
      </c>
      <c r="B5246" s="1" t="n">
        <v>44309</v>
      </c>
      <c r="C5246" s="1" t="n">
        <v>45353</v>
      </c>
      <c r="D5246" t="inlineStr">
        <is>
          <t>VÄRMLANDS LÄN</t>
        </is>
      </c>
      <c r="E5246" t="inlineStr">
        <is>
          <t>HAGFORS</t>
        </is>
      </c>
      <c r="F5246" t="inlineStr">
        <is>
          <t>Bergvik skog väst AB</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19349-2021</t>
        </is>
      </c>
      <c r="B5247" s="1" t="n">
        <v>44309</v>
      </c>
      <c r="C5247" s="1" t="n">
        <v>45353</v>
      </c>
      <c r="D5247" t="inlineStr">
        <is>
          <t>VÄRMLANDS LÄN</t>
        </is>
      </c>
      <c r="E5247" t="inlineStr">
        <is>
          <t>KRISTINEHAMN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19374-2021</t>
        </is>
      </c>
      <c r="B5248" s="1" t="n">
        <v>44309</v>
      </c>
      <c r="C5248" s="1" t="n">
        <v>45353</v>
      </c>
      <c r="D5248" t="inlineStr">
        <is>
          <t>VÄRMLANDS LÄN</t>
        </is>
      </c>
      <c r="E5248" t="inlineStr">
        <is>
          <t>SUNNE</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19338-2021</t>
        </is>
      </c>
      <c r="B5249" s="1" t="n">
        <v>44309</v>
      </c>
      <c r="C5249" s="1" t="n">
        <v>45353</v>
      </c>
      <c r="D5249" t="inlineStr">
        <is>
          <t>VÄRMLANDS LÄN</t>
        </is>
      </c>
      <c r="E5249" t="inlineStr">
        <is>
          <t>TORSBY</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19375-2021</t>
        </is>
      </c>
      <c r="B5250" s="1" t="n">
        <v>44309</v>
      </c>
      <c r="C5250" s="1" t="n">
        <v>45353</v>
      </c>
      <c r="D5250" t="inlineStr">
        <is>
          <t>VÄRMLANDS LÄN</t>
        </is>
      </c>
      <c r="E5250" t="inlineStr">
        <is>
          <t>TORSBY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19458-2021</t>
        </is>
      </c>
      <c r="B5251" s="1" t="n">
        <v>44311</v>
      </c>
      <c r="C5251" s="1" t="n">
        <v>45353</v>
      </c>
      <c r="D5251" t="inlineStr">
        <is>
          <t>VÄRMLANDS LÄN</t>
        </is>
      </c>
      <c r="E5251" t="inlineStr">
        <is>
          <t>ÅRJÄNG</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19464-2021</t>
        </is>
      </c>
      <c r="B5252" s="1" t="n">
        <v>44311</v>
      </c>
      <c r="C5252" s="1" t="n">
        <v>45353</v>
      </c>
      <c r="D5252" t="inlineStr">
        <is>
          <t>VÄRMLANDS LÄN</t>
        </is>
      </c>
      <c r="E5252" t="inlineStr">
        <is>
          <t>STORFORS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20182-2021</t>
        </is>
      </c>
      <c r="B5253" s="1" t="n">
        <v>44312</v>
      </c>
      <c r="C5253" s="1" t="n">
        <v>45353</v>
      </c>
      <c r="D5253" t="inlineStr">
        <is>
          <t>VÄRMLANDS LÄN</t>
        </is>
      </c>
      <c r="E5253" t="inlineStr">
        <is>
          <t>TORSBY</t>
        </is>
      </c>
      <c r="G5253" t="n">
        <v>14.4</v>
      </c>
      <c r="H5253" t="n">
        <v>0</v>
      </c>
      <c r="I5253" t="n">
        <v>0</v>
      </c>
      <c r="J5253" t="n">
        <v>0</v>
      </c>
      <c r="K5253" t="n">
        <v>0</v>
      </c>
      <c r="L5253" t="n">
        <v>0</v>
      </c>
      <c r="M5253" t="n">
        <v>0</v>
      </c>
      <c r="N5253" t="n">
        <v>0</v>
      </c>
      <c r="O5253" t="n">
        <v>0</v>
      </c>
      <c r="P5253" t="n">
        <v>0</v>
      </c>
      <c r="Q5253" t="n">
        <v>0</v>
      </c>
      <c r="R5253" s="2" t="inlineStr"/>
    </row>
    <row r="5254" ht="15" customHeight="1">
      <c r="A5254" t="inlineStr">
        <is>
          <t>A 19484-2021</t>
        </is>
      </c>
      <c r="B5254" s="1" t="n">
        <v>44312</v>
      </c>
      <c r="C5254" s="1" t="n">
        <v>45353</v>
      </c>
      <c r="D5254" t="inlineStr">
        <is>
          <t>VÄRMLANDS LÄN</t>
        </is>
      </c>
      <c r="E5254" t="inlineStr">
        <is>
          <t>ARVIKA</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19489-2021</t>
        </is>
      </c>
      <c r="B5255" s="1" t="n">
        <v>44312</v>
      </c>
      <c r="C5255" s="1" t="n">
        <v>45353</v>
      </c>
      <c r="D5255" t="inlineStr">
        <is>
          <t>VÄRMLANDS LÄN</t>
        </is>
      </c>
      <c r="E5255" t="inlineStr">
        <is>
          <t>SUNNE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19549-2021</t>
        </is>
      </c>
      <c r="B5256" s="1" t="n">
        <v>44312</v>
      </c>
      <c r="C5256" s="1" t="n">
        <v>45353</v>
      </c>
      <c r="D5256" t="inlineStr">
        <is>
          <t>VÄRMLANDS LÄN</t>
        </is>
      </c>
      <c r="E5256" t="inlineStr">
        <is>
          <t>SUNNE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19486-2021</t>
        </is>
      </c>
      <c r="B5257" s="1" t="n">
        <v>44312</v>
      </c>
      <c r="C5257" s="1" t="n">
        <v>45353</v>
      </c>
      <c r="D5257" t="inlineStr">
        <is>
          <t>VÄRMLANDS LÄN</t>
        </is>
      </c>
      <c r="E5257" t="inlineStr">
        <is>
          <t>ARVIKA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20199-2021</t>
        </is>
      </c>
      <c r="B5258" s="1" t="n">
        <v>44312</v>
      </c>
      <c r="C5258" s="1" t="n">
        <v>45353</v>
      </c>
      <c r="D5258" t="inlineStr">
        <is>
          <t>VÄRMLANDS LÄN</t>
        </is>
      </c>
      <c r="E5258" t="inlineStr">
        <is>
          <t>TORSBY</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20170-2021</t>
        </is>
      </c>
      <c r="B5259" s="1" t="n">
        <v>44312</v>
      </c>
      <c r="C5259" s="1" t="n">
        <v>45353</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19508-2021</t>
        </is>
      </c>
      <c r="B5260" s="1" t="n">
        <v>44312</v>
      </c>
      <c r="C5260" s="1" t="n">
        <v>45353</v>
      </c>
      <c r="D5260" t="inlineStr">
        <is>
          <t>VÄRMLANDS LÄN</t>
        </is>
      </c>
      <c r="E5260" t="inlineStr">
        <is>
          <t>GRUMS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19864-2021</t>
        </is>
      </c>
      <c r="B5261" s="1" t="n">
        <v>44313</v>
      </c>
      <c r="C5261" s="1" t="n">
        <v>45353</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19877-2021</t>
        </is>
      </c>
      <c r="B5262" s="1" t="n">
        <v>44313</v>
      </c>
      <c r="C5262" s="1" t="n">
        <v>45353</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19870-2021</t>
        </is>
      </c>
      <c r="B5263" s="1" t="n">
        <v>44313</v>
      </c>
      <c r="C5263" s="1" t="n">
        <v>45353</v>
      </c>
      <c r="D5263" t="inlineStr">
        <is>
          <t>VÄRMLANDS LÄN</t>
        </is>
      </c>
      <c r="E5263" t="inlineStr">
        <is>
          <t>SUNNE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19826-2021</t>
        </is>
      </c>
      <c r="B5264" s="1" t="n">
        <v>44313</v>
      </c>
      <c r="C5264" s="1" t="n">
        <v>45353</v>
      </c>
      <c r="D5264" t="inlineStr">
        <is>
          <t>VÄRMLANDS LÄN</t>
        </is>
      </c>
      <c r="E5264" t="inlineStr">
        <is>
          <t>ARVIKA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19974-2021</t>
        </is>
      </c>
      <c r="B5265" s="1" t="n">
        <v>44313</v>
      </c>
      <c r="C5265" s="1" t="n">
        <v>45353</v>
      </c>
      <c r="D5265" t="inlineStr">
        <is>
          <t>VÄRMLANDS LÄN</t>
        </is>
      </c>
      <c r="E5265" t="inlineStr">
        <is>
          <t>TORSBY</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20103-2021</t>
        </is>
      </c>
      <c r="B5266" s="1" t="n">
        <v>44314</v>
      </c>
      <c r="C5266" s="1" t="n">
        <v>45353</v>
      </c>
      <c r="D5266" t="inlineStr">
        <is>
          <t>VÄRMLANDS LÄN</t>
        </is>
      </c>
      <c r="E5266" t="inlineStr">
        <is>
          <t>FORSHAGA</t>
        </is>
      </c>
      <c r="F5266" t="inlineStr">
        <is>
          <t>Bergvik skog väst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20139-2021</t>
        </is>
      </c>
      <c r="B5267" s="1" t="n">
        <v>44314</v>
      </c>
      <c r="C5267" s="1" t="n">
        <v>45353</v>
      </c>
      <c r="D5267" t="inlineStr">
        <is>
          <t>VÄRMLANDS LÄN</t>
        </is>
      </c>
      <c r="E5267" t="inlineStr">
        <is>
          <t>KIL</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20122-2021</t>
        </is>
      </c>
      <c r="B5268" s="1" t="n">
        <v>44314</v>
      </c>
      <c r="C5268" s="1" t="n">
        <v>45353</v>
      </c>
      <c r="D5268" t="inlineStr">
        <is>
          <t>VÄRMLANDS LÄN</t>
        </is>
      </c>
      <c r="E5268" t="inlineStr">
        <is>
          <t>TORSBY</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21233-2021</t>
        </is>
      </c>
      <c r="B5269" s="1" t="n">
        <v>44314</v>
      </c>
      <c r="C5269" s="1" t="n">
        <v>45353</v>
      </c>
      <c r="D5269" t="inlineStr">
        <is>
          <t>VÄRMLANDS LÄN</t>
        </is>
      </c>
      <c r="E5269" t="inlineStr">
        <is>
          <t>KIL</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20357-2021</t>
        </is>
      </c>
      <c r="B5270" s="1" t="n">
        <v>44315</v>
      </c>
      <c r="C5270" s="1" t="n">
        <v>45353</v>
      </c>
      <c r="D5270" t="inlineStr">
        <is>
          <t>VÄRMLANDS LÄN</t>
        </is>
      </c>
      <c r="E5270" t="inlineStr">
        <is>
          <t>KIL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20311-2021</t>
        </is>
      </c>
      <c r="B5271" s="1" t="n">
        <v>44315</v>
      </c>
      <c r="C5271" s="1" t="n">
        <v>45353</v>
      </c>
      <c r="D5271" t="inlineStr">
        <is>
          <t>VÄRMLANDS LÄN</t>
        </is>
      </c>
      <c r="E5271" t="inlineStr">
        <is>
          <t>KIL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20346-2021</t>
        </is>
      </c>
      <c r="B5272" s="1" t="n">
        <v>44315</v>
      </c>
      <c r="C5272" s="1" t="n">
        <v>45353</v>
      </c>
      <c r="D5272" t="inlineStr">
        <is>
          <t>VÄRMLANDS LÄN</t>
        </is>
      </c>
      <c r="E5272" t="inlineStr">
        <is>
          <t>ARVIKA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20637-2021</t>
        </is>
      </c>
      <c r="B5273" s="1" t="n">
        <v>44316</v>
      </c>
      <c r="C5273" s="1" t="n">
        <v>45353</v>
      </c>
      <c r="D5273" t="inlineStr">
        <is>
          <t>VÄRMLANDS LÄN</t>
        </is>
      </c>
      <c r="E5273" t="inlineStr">
        <is>
          <t>SUNNE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20778-2021</t>
        </is>
      </c>
      <c r="B5274" s="1" t="n">
        <v>44316</v>
      </c>
      <c r="C5274" s="1" t="n">
        <v>45353</v>
      </c>
      <c r="D5274" t="inlineStr">
        <is>
          <t>VÄRMLANDS LÄN</t>
        </is>
      </c>
      <c r="E5274" t="inlineStr">
        <is>
          <t>HAGFORS</t>
        </is>
      </c>
      <c r="F5274" t="inlineStr">
        <is>
          <t>Bergvik skog väst AB</t>
        </is>
      </c>
      <c r="G5274" t="n">
        <v>14.1</v>
      </c>
      <c r="H5274" t="n">
        <v>0</v>
      </c>
      <c r="I5274" t="n">
        <v>0</v>
      </c>
      <c r="J5274" t="n">
        <v>0</v>
      </c>
      <c r="K5274" t="n">
        <v>0</v>
      </c>
      <c r="L5274" t="n">
        <v>0</v>
      </c>
      <c r="M5274" t="n">
        <v>0</v>
      </c>
      <c r="N5274" t="n">
        <v>0</v>
      </c>
      <c r="O5274" t="n">
        <v>0</v>
      </c>
      <c r="P5274" t="n">
        <v>0</v>
      </c>
      <c r="Q5274" t="n">
        <v>0</v>
      </c>
      <c r="R5274" s="2" t="inlineStr"/>
    </row>
    <row r="5275" ht="15" customHeight="1">
      <c r="A5275" t="inlineStr">
        <is>
          <t>A 20684-2021</t>
        </is>
      </c>
      <c r="B5275" s="1" t="n">
        <v>44316</v>
      </c>
      <c r="C5275" s="1" t="n">
        <v>45353</v>
      </c>
      <c r="D5275" t="inlineStr">
        <is>
          <t>VÄRMLANDS LÄN</t>
        </is>
      </c>
      <c r="E5275" t="inlineStr">
        <is>
          <t>SÄFFLE</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20755-2021</t>
        </is>
      </c>
      <c r="B5276" s="1" t="n">
        <v>44316</v>
      </c>
      <c r="C5276" s="1" t="n">
        <v>45353</v>
      </c>
      <c r="D5276" t="inlineStr">
        <is>
          <t>VÄRMLANDS LÄN</t>
        </is>
      </c>
      <c r="E5276" t="inlineStr">
        <is>
          <t>HAMMARÖ</t>
        </is>
      </c>
      <c r="G5276" t="n">
        <v>16.8</v>
      </c>
      <c r="H5276" t="n">
        <v>0</v>
      </c>
      <c r="I5276" t="n">
        <v>0</v>
      </c>
      <c r="J5276" t="n">
        <v>0</v>
      </c>
      <c r="K5276" t="n">
        <v>0</v>
      </c>
      <c r="L5276" t="n">
        <v>0</v>
      </c>
      <c r="M5276" t="n">
        <v>0</v>
      </c>
      <c r="N5276" t="n">
        <v>0</v>
      </c>
      <c r="O5276" t="n">
        <v>0</v>
      </c>
      <c r="P5276" t="n">
        <v>0</v>
      </c>
      <c r="Q5276" t="n">
        <v>0</v>
      </c>
      <c r="R5276" s="2" t="inlineStr"/>
    </row>
    <row r="5277" ht="15" customHeight="1">
      <c r="A5277" t="inlineStr">
        <is>
          <t>A 20800-2021</t>
        </is>
      </c>
      <c r="B5277" s="1" t="n">
        <v>44316</v>
      </c>
      <c r="C5277" s="1" t="n">
        <v>45353</v>
      </c>
      <c r="D5277" t="inlineStr">
        <is>
          <t>VÄRMLANDS LÄN</t>
        </is>
      </c>
      <c r="E5277" t="inlineStr">
        <is>
          <t>SUNNE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20895-2021</t>
        </is>
      </c>
      <c r="B5278" s="1" t="n">
        <v>44319</v>
      </c>
      <c r="C5278" s="1" t="n">
        <v>45353</v>
      </c>
      <c r="D5278" t="inlineStr">
        <is>
          <t>VÄRMLANDS LÄN</t>
        </is>
      </c>
      <c r="E5278" t="inlineStr">
        <is>
          <t>TORSBY</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20931-2021</t>
        </is>
      </c>
      <c r="B5279" s="1" t="n">
        <v>44319</v>
      </c>
      <c r="C5279" s="1" t="n">
        <v>45353</v>
      </c>
      <c r="D5279" t="inlineStr">
        <is>
          <t>VÄRMLANDS LÄN</t>
        </is>
      </c>
      <c r="E5279" t="inlineStr">
        <is>
          <t>SÄFFLE</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20954-2021</t>
        </is>
      </c>
      <c r="B5280" s="1" t="n">
        <v>44319</v>
      </c>
      <c r="C5280" s="1" t="n">
        <v>45353</v>
      </c>
      <c r="D5280" t="inlineStr">
        <is>
          <t>VÄRMLANDS LÄN</t>
        </is>
      </c>
      <c r="E5280" t="inlineStr">
        <is>
          <t>FILIPSTAD</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21031-2021</t>
        </is>
      </c>
      <c r="B5281" s="1" t="n">
        <v>44319</v>
      </c>
      <c r="C5281" s="1" t="n">
        <v>45353</v>
      </c>
      <c r="D5281" t="inlineStr">
        <is>
          <t>VÄRMLANDS LÄN</t>
        </is>
      </c>
      <c r="E5281" t="inlineStr">
        <is>
          <t>TORSBY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21071-2021</t>
        </is>
      </c>
      <c r="B5282" s="1" t="n">
        <v>44319</v>
      </c>
      <c r="C5282" s="1" t="n">
        <v>45353</v>
      </c>
      <c r="D5282" t="inlineStr">
        <is>
          <t>VÄRMLANDS LÄN</t>
        </is>
      </c>
      <c r="E5282" t="inlineStr">
        <is>
          <t>SUNNE</t>
        </is>
      </c>
      <c r="F5282" t="inlineStr">
        <is>
          <t>Övriga Aktiebolag</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21072-2021</t>
        </is>
      </c>
      <c r="B5283" s="1" t="n">
        <v>44319</v>
      </c>
      <c r="C5283" s="1" t="n">
        <v>45353</v>
      </c>
      <c r="D5283" t="inlineStr">
        <is>
          <t>VÄRMLANDS LÄN</t>
        </is>
      </c>
      <c r="E5283" t="inlineStr">
        <is>
          <t>SUNNE</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21378-2021</t>
        </is>
      </c>
      <c r="B5284" s="1" t="n">
        <v>44320</v>
      </c>
      <c r="C5284" s="1" t="n">
        <v>45353</v>
      </c>
      <c r="D5284" t="inlineStr">
        <is>
          <t>VÄRMLANDS LÄN</t>
        </is>
      </c>
      <c r="E5284" t="inlineStr">
        <is>
          <t>KIL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21146-2021</t>
        </is>
      </c>
      <c r="B5285" s="1" t="n">
        <v>44320</v>
      </c>
      <c r="C5285" s="1" t="n">
        <v>45353</v>
      </c>
      <c r="D5285" t="inlineStr">
        <is>
          <t>VÄRMLANDS LÄN</t>
        </is>
      </c>
      <c r="E5285" t="inlineStr">
        <is>
          <t>HAGFORS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21206-2021</t>
        </is>
      </c>
      <c r="B5286" s="1" t="n">
        <v>44320</v>
      </c>
      <c r="C5286" s="1" t="n">
        <v>45353</v>
      </c>
      <c r="D5286" t="inlineStr">
        <is>
          <t>VÄRMLANDS LÄN</t>
        </is>
      </c>
      <c r="E5286" t="inlineStr">
        <is>
          <t>TORSBY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21308-2021</t>
        </is>
      </c>
      <c r="B5287" s="1" t="n">
        <v>44320</v>
      </c>
      <c r="C5287" s="1" t="n">
        <v>45353</v>
      </c>
      <c r="D5287" t="inlineStr">
        <is>
          <t>VÄRMLANDS LÄN</t>
        </is>
      </c>
      <c r="E5287" t="inlineStr">
        <is>
          <t>EDA</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21382-2021</t>
        </is>
      </c>
      <c r="B5288" s="1" t="n">
        <v>44320</v>
      </c>
      <c r="C5288" s="1" t="n">
        <v>45353</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21381-2021</t>
        </is>
      </c>
      <c r="B5289" s="1" t="n">
        <v>44320</v>
      </c>
      <c r="C5289" s="1" t="n">
        <v>45353</v>
      </c>
      <c r="D5289" t="inlineStr">
        <is>
          <t>VÄRMLANDS LÄN</t>
        </is>
      </c>
      <c r="E5289" t="inlineStr">
        <is>
          <t>ARVIKA</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21525-2021</t>
        </is>
      </c>
      <c r="B5290" s="1" t="n">
        <v>44321</v>
      </c>
      <c r="C5290" s="1" t="n">
        <v>45353</v>
      </c>
      <c r="D5290" t="inlineStr">
        <is>
          <t>VÄRMLANDS LÄN</t>
        </is>
      </c>
      <c r="E5290" t="inlineStr">
        <is>
          <t>SÄFFLE</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21528-2021</t>
        </is>
      </c>
      <c r="B5291" s="1" t="n">
        <v>44321</v>
      </c>
      <c r="C5291" s="1" t="n">
        <v>45353</v>
      </c>
      <c r="D5291" t="inlineStr">
        <is>
          <t>VÄRMLANDS LÄN</t>
        </is>
      </c>
      <c r="E5291" t="inlineStr">
        <is>
          <t>SÄFFLE</t>
        </is>
      </c>
      <c r="F5291" t="inlineStr">
        <is>
          <t>Bergvik skog väst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21590-2021</t>
        </is>
      </c>
      <c r="B5292" s="1" t="n">
        <v>44321</v>
      </c>
      <c r="C5292" s="1" t="n">
        <v>45353</v>
      </c>
      <c r="D5292" t="inlineStr">
        <is>
          <t>VÄRMLANDS LÄN</t>
        </is>
      </c>
      <c r="E5292" t="inlineStr">
        <is>
          <t>STORFORS</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21656-2021</t>
        </is>
      </c>
      <c r="B5293" s="1" t="n">
        <v>44322</v>
      </c>
      <c r="C5293" s="1" t="n">
        <v>45353</v>
      </c>
      <c r="D5293" t="inlineStr">
        <is>
          <t>VÄRMLANDS LÄN</t>
        </is>
      </c>
      <c r="E5293" t="inlineStr">
        <is>
          <t>KARLSTAD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21681-2021</t>
        </is>
      </c>
      <c r="B5294" s="1" t="n">
        <v>44322</v>
      </c>
      <c r="C5294" s="1" t="n">
        <v>45353</v>
      </c>
      <c r="D5294" t="inlineStr">
        <is>
          <t>VÄRMLANDS LÄN</t>
        </is>
      </c>
      <c r="E5294" t="inlineStr">
        <is>
          <t>KIL</t>
        </is>
      </c>
      <c r="F5294" t="inlineStr">
        <is>
          <t>Kommuner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21737-2021</t>
        </is>
      </c>
      <c r="B5295" s="1" t="n">
        <v>44322</v>
      </c>
      <c r="C5295" s="1" t="n">
        <v>45353</v>
      </c>
      <c r="D5295" t="inlineStr">
        <is>
          <t>VÄRMLANDS LÄN</t>
        </is>
      </c>
      <c r="E5295" t="inlineStr">
        <is>
          <t>SUNNE</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21818-2021</t>
        </is>
      </c>
      <c r="B5296" s="1" t="n">
        <v>44322</v>
      </c>
      <c r="C5296" s="1" t="n">
        <v>45353</v>
      </c>
      <c r="D5296" t="inlineStr">
        <is>
          <t>VÄRMLANDS LÄN</t>
        </is>
      </c>
      <c r="E5296" t="inlineStr">
        <is>
          <t>KARLSTAD</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21701-2021</t>
        </is>
      </c>
      <c r="B5297" s="1" t="n">
        <v>44322</v>
      </c>
      <c r="C5297" s="1" t="n">
        <v>45353</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21651-2021</t>
        </is>
      </c>
      <c r="B5298" s="1" t="n">
        <v>44322</v>
      </c>
      <c r="C5298" s="1" t="n">
        <v>45353</v>
      </c>
      <c r="D5298" t="inlineStr">
        <is>
          <t>VÄRMLANDS LÄN</t>
        </is>
      </c>
      <c r="E5298" t="inlineStr">
        <is>
          <t>SÄFFLE</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21660-2021</t>
        </is>
      </c>
      <c r="B5299" s="1" t="n">
        <v>44322</v>
      </c>
      <c r="C5299" s="1" t="n">
        <v>45353</v>
      </c>
      <c r="D5299" t="inlineStr">
        <is>
          <t>VÄRMLANDS LÄN</t>
        </is>
      </c>
      <c r="E5299" t="inlineStr">
        <is>
          <t>SÄFFLE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21826-2021</t>
        </is>
      </c>
      <c r="B5300" s="1" t="n">
        <v>44322</v>
      </c>
      <c r="C5300" s="1" t="n">
        <v>45353</v>
      </c>
      <c r="D5300" t="inlineStr">
        <is>
          <t>VÄRMLANDS LÄN</t>
        </is>
      </c>
      <c r="E5300" t="inlineStr">
        <is>
          <t>KARLSTAD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21840-2021</t>
        </is>
      </c>
      <c r="B5301" s="1" t="n">
        <v>44322</v>
      </c>
      <c r="C5301" s="1" t="n">
        <v>45353</v>
      </c>
      <c r="D5301" t="inlineStr">
        <is>
          <t>VÄRMLANDS LÄN</t>
        </is>
      </c>
      <c r="E5301" t="inlineStr">
        <is>
          <t>KARLSTAD</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21862-2021</t>
        </is>
      </c>
      <c r="B5302" s="1" t="n">
        <v>44322</v>
      </c>
      <c r="C5302" s="1" t="n">
        <v>45353</v>
      </c>
      <c r="D5302" t="inlineStr">
        <is>
          <t>VÄRMLANDS LÄN</t>
        </is>
      </c>
      <c r="E5302" t="inlineStr">
        <is>
          <t>KARLSTAD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22563-2021</t>
        </is>
      </c>
      <c r="B5303" s="1" t="n">
        <v>44322</v>
      </c>
      <c r="C5303" s="1" t="n">
        <v>45353</v>
      </c>
      <c r="D5303" t="inlineStr">
        <is>
          <t>VÄRMLANDS LÄN</t>
        </is>
      </c>
      <c r="E5303" t="inlineStr">
        <is>
          <t>ARVIKA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22435-2021</t>
        </is>
      </c>
      <c r="B5304" s="1" t="n">
        <v>44322</v>
      </c>
      <c r="C5304" s="1" t="n">
        <v>45353</v>
      </c>
      <c r="D5304" t="inlineStr">
        <is>
          <t>VÄRMLANDS LÄN</t>
        </is>
      </c>
      <c r="E5304" t="inlineStr">
        <is>
          <t>STORFORS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22565-2021</t>
        </is>
      </c>
      <c r="B5305" s="1" t="n">
        <v>44322</v>
      </c>
      <c r="C5305" s="1" t="n">
        <v>45353</v>
      </c>
      <c r="D5305" t="inlineStr">
        <is>
          <t>VÄRMLANDS LÄN</t>
        </is>
      </c>
      <c r="E5305" t="inlineStr">
        <is>
          <t>ARVIKA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21995-2021</t>
        </is>
      </c>
      <c r="B5306" s="1" t="n">
        <v>44323</v>
      </c>
      <c r="C5306" s="1" t="n">
        <v>45353</v>
      </c>
      <c r="D5306" t="inlineStr">
        <is>
          <t>VÄRMLANDS LÄN</t>
        </is>
      </c>
      <c r="E5306" t="inlineStr">
        <is>
          <t>ÅRJÄNG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22007-2021</t>
        </is>
      </c>
      <c r="B5307" s="1" t="n">
        <v>44323</v>
      </c>
      <c r="C5307" s="1" t="n">
        <v>45353</v>
      </c>
      <c r="D5307" t="inlineStr">
        <is>
          <t>VÄRMLANDS LÄN</t>
        </is>
      </c>
      <c r="E5307" t="inlineStr">
        <is>
          <t>HAGFORS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21996-2021</t>
        </is>
      </c>
      <c r="B5308" s="1" t="n">
        <v>44323</v>
      </c>
      <c r="C5308" s="1" t="n">
        <v>45353</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22091-2021</t>
        </is>
      </c>
      <c r="B5309" s="1" t="n">
        <v>44323</v>
      </c>
      <c r="C5309" s="1" t="n">
        <v>45353</v>
      </c>
      <c r="D5309" t="inlineStr">
        <is>
          <t>VÄRMLANDS LÄN</t>
        </is>
      </c>
      <c r="E5309" t="inlineStr">
        <is>
          <t>KARLSTAD</t>
        </is>
      </c>
      <c r="F5309" t="inlineStr">
        <is>
          <t>Övriga statliga verk och myndigheter</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22016-2021</t>
        </is>
      </c>
      <c r="B5310" s="1" t="n">
        <v>44323</v>
      </c>
      <c r="C5310" s="1" t="n">
        <v>45353</v>
      </c>
      <c r="D5310" t="inlineStr">
        <is>
          <t>VÄRMLANDS LÄN</t>
        </is>
      </c>
      <c r="E5310" t="inlineStr">
        <is>
          <t>HAGFORS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22022-2021</t>
        </is>
      </c>
      <c r="B5311" s="1" t="n">
        <v>44323</v>
      </c>
      <c r="C5311" s="1" t="n">
        <v>45353</v>
      </c>
      <c r="D5311" t="inlineStr">
        <is>
          <t>VÄRMLANDS LÄN</t>
        </is>
      </c>
      <c r="E5311" t="inlineStr">
        <is>
          <t>HAGFORS</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22038-2021</t>
        </is>
      </c>
      <c r="B5312" s="1" t="n">
        <v>44323</v>
      </c>
      <c r="C5312" s="1" t="n">
        <v>45353</v>
      </c>
      <c r="D5312" t="inlineStr">
        <is>
          <t>VÄRMLANDS LÄN</t>
        </is>
      </c>
      <c r="E5312" t="inlineStr">
        <is>
          <t>TORSBY</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22113-2021</t>
        </is>
      </c>
      <c r="B5313" s="1" t="n">
        <v>44323</v>
      </c>
      <c r="C5313" s="1" t="n">
        <v>45353</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22063-2021</t>
        </is>
      </c>
      <c r="B5314" s="1" t="n">
        <v>44323</v>
      </c>
      <c r="C5314" s="1" t="n">
        <v>45353</v>
      </c>
      <c r="D5314" t="inlineStr">
        <is>
          <t>VÄRMLANDS LÄN</t>
        </is>
      </c>
      <c r="E5314" t="inlineStr">
        <is>
          <t>STORFORS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22149-2021</t>
        </is>
      </c>
      <c r="B5315" s="1" t="n">
        <v>44324</v>
      </c>
      <c r="C5315" s="1" t="n">
        <v>45353</v>
      </c>
      <c r="D5315" t="inlineStr">
        <is>
          <t>VÄRMLANDS LÄN</t>
        </is>
      </c>
      <c r="E5315" t="inlineStr">
        <is>
          <t>KARLSTAD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22158-2021</t>
        </is>
      </c>
      <c r="B5316" s="1" t="n">
        <v>44325</v>
      </c>
      <c r="C5316" s="1" t="n">
        <v>45353</v>
      </c>
      <c r="D5316" t="inlineStr">
        <is>
          <t>VÄRMLANDS LÄN</t>
        </is>
      </c>
      <c r="E5316" t="inlineStr">
        <is>
          <t>ÅRJÄNG</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22167-2021</t>
        </is>
      </c>
      <c r="B5317" s="1" t="n">
        <v>44325</v>
      </c>
      <c r="C5317" s="1" t="n">
        <v>45353</v>
      </c>
      <c r="D5317" t="inlineStr">
        <is>
          <t>VÄRMLANDS LÄN</t>
        </is>
      </c>
      <c r="E5317" t="inlineStr">
        <is>
          <t>HAGFORS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22319-2021</t>
        </is>
      </c>
      <c r="B5318" s="1" t="n">
        <v>44326</v>
      </c>
      <c r="C5318" s="1" t="n">
        <v>45353</v>
      </c>
      <c r="D5318" t="inlineStr">
        <is>
          <t>VÄRMLANDS LÄN</t>
        </is>
      </c>
      <c r="E5318" t="inlineStr">
        <is>
          <t>GRUMS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22392-2021</t>
        </is>
      </c>
      <c r="B5319" s="1" t="n">
        <v>44326</v>
      </c>
      <c r="C5319" s="1" t="n">
        <v>45353</v>
      </c>
      <c r="D5319" t="inlineStr">
        <is>
          <t>VÄRMLANDS LÄN</t>
        </is>
      </c>
      <c r="E5319" t="inlineStr">
        <is>
          <t>SUNNE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22257-2021</t>
        </is>
      </c>
      <c r="B5320" s="1" t="n">
        <v>44326</v>
      </c>
      <c r="C5320" s="1" t="n">
        <v>45353</v>
      </c>
      <c r="D5320" t="inlineStr">
        <is>
          <t>VÄRMLANDS LÄN</t>
        </is>
      </c>
      <c r="E5320" t="inlineStr">
        <is>
          <t>HAGFORS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22289-2021</t>
        </is>
      </c>
      <c r="B5321" s="1" t="n">
        <v>44326</v>
      </c>
      <c r="C5321" s="1" t="n">
        <v>45353</v>
      </c>
      <c r="D5321" t="inlineStr">
        <is>
          <t>VÄRMLANDS LÄN</t>
        </is>
      </c>
      <c r="E5321" t="inlineStr">
        <is>
          <t>GRUMS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22295-2021</t>
        </is>
      </c>
      <c r="B5322" s="1" t="n">
        <v>44326</v>
      </c>
      <c r="C5322" s="1" t="n">
        <v>45353</v>
      </c>
      <c r="D5322" t="inlineStr">
        <is>
          <t>VÄRMLANDS LÄN</t>
        </is>
      </c>
      <c r="E5322" t="inlineStr">
        <is>
          <t>FORSHAGA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22331-2021</t>
        </is>
      </c>
      <c r="B5323" s="1" t="n">
        <v>44326</v>
      </c>
      <c r="C5323" s="1" t="n">
        <v>45353</v>
      </c>
      <c r="D5323" t="inlineStr">
        <is>
          <t>VÄRMLANDS LÄN</t>
        </is>
      </c>
      <c r="E5323" t="inlineStr">
        <is>
          <t>SUNNE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22350-2021</t>
        </is>
      </c>
      <c r="B5324" s="1" t="n">
        <v>44326</v>
      </c>
      <c r="C5324" s="1" t="n">
        <v>45353</v>
      </c>
      <c r="D5324" t="inlineStr">
        <is>
          <t>VÄRMLANDS LÄN</t>
        </is>
      </c>
      <c r="E5324" t="inlineStr">
        <is>
          <t>KARLSTAD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22413-2021</t>
        </is>
      </c>
      <c r="B5325" s="1" t="n">
        <v>44326</v>
      </c>
      <c r="C5325" s="1" t="n">
        <v>45353</v>
      </c>
      <c r="D5325" t="inlineStr">
        <is>
          <t>VÄRMLANDS LÄN</t>
        </is>
      </c>
      <c r="E5325" t="inlineStr">
        <is>
          <t>EDA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22459-2021</t>
        </is>
      </c>
      <c r="B5326" s="1" t="n">
        <v>44326</v>
      </c>
      <c r="C5326" s="1" t="n">
        <v>45353</v>
      </c>
      <c r="D5326" t="inlineStr">
        <is>
          <t>VÄRMLANDS LÄN</t>
        </is>
      </c>
      <c r="E5326" t="inlineStr">
        <is>
          <t>MUNKFORS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22464-2021</t>
        </is>
      </c>
      <c r="B5327" s="1" t="n">
        <v>44326</v>
      </c>
      <c r="C5327" s="1" t="n">
        <v>45353</v>
      </c>
      <c r="D5327" t="inlineStr">
        <is>
          <t>VÄRMLANDS LÄN</t>
        </is>
      </c>
      <c r="E5327" t="inlineStr">
        <is>
          <t>TORSBY</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22463-2021</t>
        </is>
      </c>
      <c r="B5328" s="1" t="n">
        <v>44326</v>
      </c>
      <c r="C5328" s="1" t="n">
        <v>45353</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22671-2021</t>
        </is>
      </c>
      <c r="B5329" s="1" t="n">
        <v>44327</v>
      </c>
      <c r="C5329" s="1" t="n">
        <v>45353</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22700-2021</t>
        </is>
      </c>
      <c r="B5330" s="1" t="n">
        <v>44327</v>
      </c>
      <c r="C5330" s="1" t="n">
        <v>45353</v>
      </c>
      <c r="D5330" t="inlineStr">
        <is>
          <t>VÄRMLANDS LÄN</t>
        </is>
      </c>
      <c r="E5330" t="inlineStr">
        <is>
          <t>EDA</t>
        </is>
      </c>
      <c r="F5330" t="inlineStr">
        <is>
          <t>Kommuner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22714-2021</t>
        </is>
      </c>
      <c r="B5331" s="1" t="n">
        <v>44327</v>
      </c>
      <c r="C5331" s="1" t="n">
        <v>45353</v>
      </c>
      <c r="D5331" t="inlineStr">
        <is>
          <t>VÄRMLANDS LÄN</t>
        </is>
      </c>
      <c r="E5331" t="inlineStr">
        <is>
          <t>EDA</t>
        </is>
      </c>
      <c r="F5331" t="inlineStr">
        <is>
          <t>Bergvik skog väst AB</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22638-2021</t>
        </is>
      </c>
      <c r="B5332" s="1" t="n">
        <v>44327</v>
      </c>
      <c r="C5332" s="1" t="n">
        <v>45353</v>
      </c>
      <c r="D5332" t="inlineStr">
        <is>
          <t>VÄRMLANDS LÄN</t>
        </is>
      </c>
      <c r="E5332" t="inlineStr">
        <is>
          <t>TORSBY</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22654-2021</t>
        </is>
      </c>
      <c r="B5333" s="1" t="n">
        <v>44327</v>
      </c>
      <c r="C5333" s="1" t="n">
        <v>45353</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22642-2021</t>
        </is>
      </c>
      <c r="B5334" s="1" t="n">
        <v>44327</v>
      </c>
      <c r="C5334" s="1" t="n">
        <v>45353</v>
      </c>
      <c r="D5334" t="inlineStr">
        <is>
          <t>VÄRMLANDS LÄN</t>
        </is>
      </c>
      <c r="E5334" t="inlineStr">
        <is>
          <t>HAGFORS</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22657-2021</t>
        </is>
      </c>
      <c r="B5335" s="1" t="n">
        <v>44327</v>
      </c>
      <c r="C5335" s="1" t="n">
        <v>45353</v>
      </c>
      <c r="D5335" t="inlineStr">
        <is>
          <t>VÄRMLANDS LÄN</t>
        </is>
      </c>
      <c r="E5335" t="inlineStr">
        <is>
          <t>KARLSTAD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22757-2021</t>
        </is>
      </c>
      <c r="B5336" s="1" t="n">
        <v>44327</v>
      </c>
      <c r="C5336" s="1" t="n">
        <v>45353</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22933-2021</t>
        </is>
      </c>
      <c r="B5337" s="1" t="n">
        <v>44327</v>
      </c>
      <c r="C5337" s="1" t="n">
        <v>45353</v>
      </c>
      <c r="D5337" t="inlineStr">
        <is>
          <t>VÄRMLANDS LÄN</t>
        </is>
      </c>
      <c r="E5337" t="inlineStr">
        <is>
          <t>FILIPSTAD</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22930-2021</t>
        </is>
      </c>
      <c r="B5338" s="1" t="n">
        <v>44327</v>
      </c>
      <c r="C5338" s="1" t="n">
        <v>45353</v>
      </c>
      <c r="D5338" t="inlineStr">
        <is>
          <t>VÄRMLANDS LÄN</t>
        </is>
      </c>
      <c r="E5338" t="inlineStr">
        <is>
          <t>FILIPSTAD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22982-2021</t>
        </is>
      </c>
      <c r="B5339" s="1" t="n">
        <v>44328</v>
      </c>
      <c r="C5339" s="1" t="n">
        <v>45353</v>
      </c>
      <c r="D5339" t="inlineStr">
        <is>
          <t>VÄRMLANDS LÄN</t>
        </is>
      </c>
      <c r="E5339" t="inlineStr">
        <is>
          <t>SUNNE</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22957-2021</t>
        </is>
      </c>
      <c r="B5340" s="1" t="n">
        <v>44328</v>
      </c>
      <c r="C5340" s="1" t="n">
        <v>45353</v>
      </c>
      <c r="D5340" t="inlineStr">
        <is>
          <t>VÄRMLANDS LÄN</t>
        </is>
      </c>
      <c r="E5340" t="inlineStr">
        <is>
          <t>HAGFORS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22897-2021</t>
        </is>
      </c>
      <c r="B5341" s="1" t="n">
        <v>44328</v>
      </c>
      <c r="C5341" s="1" t="n">
        <v>45353</v>
      </c>
      <c r="D5341" t="inlineStr">
        <is>
          <t>VÄRMLANDS LÄN</t>
        </is>
      </c>
      <c r="E5341" t="inlineStr">
        <is>
          <t>SÄFFLE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23191-2021</t>
        </is>
      </c>
      <c r="B5342" s="1" t="n">
        <v>44328</v>
      </c>
      <c r="C5342" s="1" t="n">
        <v>45353</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23332-2021</t>
        </is>
      </c>
      <c r="B5343" s="1" t="n">
        <v>44328</v>
      </c>
      <c r="C5343" s="1" t="n">
        <v>45353</v>
      </c>
      <c r="D5343" t="inlineStr">
        <is>
          <t>VÄRMLANDS LÄN</t>
        </is>
      </c>
      <c r="E5343" t="inlineStr">
        <is>
          <t>GRUMS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23194-2021</t>
        </is>
      </c>
      <c r="B5344" s="1" t="n">
        <v>44328</v>
      </c>
      <c r="C5344" s="1" t="n">
        <v>45353</v>
      </c>
      <c r="D5344" t="inlineStr">
        <is>
          <t>VÄRMLANDS LÄN</t>
        </is>
      </c>
      <c r="E5344" t="inlineStr">
        <is>
          <t>TORSBY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22971-2021</t>
        </is>
      </c>
      <c r="B5345" s="1" t="n">
        <v>44328</v>
      </c>
      <c r="C5345" s="1" t="n">
        <v>45353</v>
      </c>
      <c r="D5345" t="inlineStr">
        <is>
          <t>VÄRMLANDS LÄN</t>
        </is>
      </c>
      <c r="E5345" t="inlineStr">
        <is>
          <t>ARVIKA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23048-2021</t>
        </is>
      </c>
      <c r="B5346" s="1" t="n">
        <v>44329</v>
      </c>
      <c r="C5346" s="1" t="n">
        <v>45353</v>
      </c>
      <c r="D5346" t="inlineStr">
        <is>
          <t>VÄRMLANDS LÄN</t>
        </is>
      </c>
      <c r="E5346" t="inlineStr">
        <is>
          <t>EDA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23053-2021</t>
        </is>
      </c>
      <c r="B5347" s="1" t="n">
        <v>44329</v>
      </c>
      <c r="C5347" s="1" t="n">
        <v>45353</v>
      </c>
      <c r="D5347" t="inlineStr">
        <is>
          <t>VÄRMLANDS LÄN</t>
        </is>
      </c>
      <c r="E5347" t="inlineStr">
        <is>
          <t>EDA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23042-2021</t>
        </is>
      </c>
      <c r="B5348" s="1" t="n">
        <v>44329</v>
      </c>
      <c r="C5348" s="1" t="n">
        <v>45353</v>
      </c>
      <c r="D5348" t="inlineStr">
        <is>
          <t>VÄRMLANDS LÄN</t>
        </is>
      </c>
      <c r="E5348" t="inlineStr">
        <is>
          <t>ÅRJÄNG</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23051-2021</t>
        </is>
      </c>
      <c r="B5349" s="1" t="n">
        <v>44329</v>
      </c>
      <c r="C5349" s="1" t="n">
        <v>45353</v>
      </c>
      <c r="D5349" t="inlineStr">
        <is>
          <t>VÄRMLANDS LÄN</t>
        </is>
      </c>
      <c r="E5349" t="inlineStr">
        <is>
          <t>EDA</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23055-2021</t>
        </is>
      </c>
      <c r="B5350" s="1" t="n">
        <v>44329</v>
      </c>
      <c r="C5350" s="1" t="n">
        <v>45353</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23049-2021</t>
        </is>
      </c>
      <c r="B5351" s="1" t="n">
        <v>44329</v>
      </c>
      <c r="C5351" s="1" t="n">
        <v>45353</v>
      </c>
      <c r="D5351" t="inlineStr">
        <is>
          <t>VÄRMLANDS LÄN</t>
        </is>
      </c>
      <c r="E5351" t="inlineStr">
        <is>
          <t>FORSHAGA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23054-2021</t>
        </is>
      </c>
      <c r="B5352" s="1" t="n">
        <v>44329</v>
      </c>
      <c r="C5352" s="1" t="n">
        <v>45353</v>
      </c>
      <c r="D5352" t="inlineStr">
        <is>
          <t>VÄRMLANDS LÄN</t>
        </is>
      </c>
      <c r="E5352" t="inlineStr">
        <is>
          <t>EDA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23254-2021</t>
        </is>
      </c>
      <c r="B5353" s="1" t="n">
        <v>44333</v>
      </c>
      <c r="C5353" s="1" t="n">
        <v>45353</v>
      </c>
      <c r="D5353" t="inlineStr">
        <is>
          <t>VÄRMLANDS LÄN</t>
        </is>
      </c>
      <c r="E5353" t="inlineStr">
        <is>
          <t>KARLSTAD</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23412-2021</t>
        </is>
      </c>
      <c r="B5354" s="1" t="n">
        <v>44333</v>
      </c>
      <c r="C5354" s="1" t="n">
        <v>45353</v>
      </c>
      <c r="D5354" t="inlineStr">
        <is>
          <t>VÄRMLANDS LÄN</t>
        </is>
      </c>
      <c r="E5354" t="inlineStr">
        <is>
          <t>SÄFFLE</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23435-2021</t>
        </is>
      </c>
      <c r="B5355" s="1" t="n">
        <v>44333</v>
      </c>
      <c r="C5355" s="1" t="n">
        <v>45353</v>
      </c>
      <c r="D5355" t="inlineStr">
        <is>
          <t>VÄRMLANDS LÄN</t>
        </is>
      </c>
      <c r="E5355" t="inlineStr">
        <is>
          <t>TORSBY</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23256-2021</t>
        </is>
      </c>
      <c r="B5356" s="1" t="n">
        <v>44333</v>
      </c>
      <c r="C5356" s="1" t="n">
        <v>45353</v>
      </c>
      <c r="D5356" t="inlineStr">
        <is>
          <t>VÄRMLANDS LÄN</t>
        </is>
      </c>
      <c r="E5356" t="inlineStr">
        <is>
          <t>ARVIKA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23275-2021</t>
        </is>
      </c>
      <c r="B5357" s="1" t="n">
        <v>44333</v>
      </c>
      <c r="C5357" s="1" t="n">
        <v>45353</v>
      </c>
      <c r="D5357" t="inlineStr">
        <is>
          <t>VÄRMLANDS LÄN</t>
        </is>
      </c>
      <c r="E5357" t="inlineStr">
        <is>
          <t>STORFORS</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23293-2021</t>
        </is>
      </c>
      <c r="B5358" s="1" t="n">
        <v>44333</v>
      </c>
      <c r="C5358" s="1" t="n">
        <v>45353</v>
      </c>
      <c r="D5358" t="inlineStr">
        <is>
          <t>VÄRMLANDS LÄN</t>
        </is>
      </c>
      <c r="E5358" t="inlineStr">
        <is>
          <t>ARVIKA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23314-2021</t>
        </is>
      </c>
      <c r="B5359" s="1" t="n">
        <v>44333</v>
      </c>
      <c r="C5359" s="1" t="n">
        <v>45353</v>
      </c>
      <c r="D5359" t="inlineStr">
        <is>
          <t>VÄRMLANDS LÄN</t>
        </is>
      </c>
      <c r="E5359" t="inlineStr">
        <is>
          <t>KARLSTAD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23236-2021</t>
        </is>
      </c>
      <c r="B5360" s="1" t="n">
        <v>44333</v>
      </c>
      <c r="C5360" s="1" t="n">
        <v>45353</v>
      </c>
      <c r="D5360" t="inlineStr">
        <is>
          <t>VÄRMLANDS LÄN</t>
        </is>
      </c>
      <c r="E5360" t="inlineStr">
        <is>
          <t>FILIPSTAD</t>
        </is>
      </c>
      <c r="F5360" t="inlineStr">
        <is>
          <t>Kyrkan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23248-2021</t>
        </is>
      </c>
      <c r="B5361" s="1" t="n">
        <v>44333</v>
      </c>
      <c r="C5361" s="1" t="n">
        <v>45353</v>
      </c>
      <c r="D5361" t="inlineStr">
        <is>
          <t>VÄRMLANDS LÄN</t>
        </is>
      </c>
      <c r="E5361" t="inlineStr">
        <is>
          <t>KARLSTAD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23450-2021</t>
        </is>
      </c>
      <c r="B5362" s="1" t="n">
        <v>44333</v>
      </c>
      <c r="C5362" s="1" t="n">
        <v>45353</v>
      </c>
      <c r="D5362" t="inlineStr">
        <is>
          <t>VÄRMLANDS LÄN</t>
        </is>
      </c>
      <c r="E5362" t="inlineStr">
        <is>
          <t>ÅRJÄNG</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23451-2021</t>
        </is>
      </c>
      <c r="B5363" s="1" t="n">
        <v>44333</v>
      </c>
      <c r="C5363" s="1" t="n">
        <v>45353</v>
      </c>
      <c r="D5363" t="inlineStr">
        <is>
          <t>VÄRMLANDS LÄN</t>
        </is>
      </c>
      <c r="E5363" t="inlineStr">
        <is>
          <t>ÅRJÄNG</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23567-2021</t>
        </is>
      </c>
      <c r="B5364" s="1" t="n">
        <v>44333</v>
      </c>
      <c r="C5364" s="1" t="n">
        <v>45353</v>
      </c>
      <c r="D5364" t="inlineStr">
        <is>
          <t>VÄRMLANDS LÄN</t>
        </is>
      </c>
      <c r="E5364" t="inlineStr">
        <is>
          <t>KRISTINEHAMN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23548-2021</t>
        </is>
      </c>
      <c r="B5365" s="1" t="n">
        <v>44333</v>
      </c>
      <c r="C5365" s="1" t="n">
        <v>45353</v>
      </c>
      <c r="D5365" t="inlineStr">
        <is>
          <t>VÄRMLANDS LÄN</t>
        </is>
      </c>
      <c r="E5365" t="inlineStr">
        <is>
          <t>TORSBY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23576-2021</t>
        </is>
      </c>
      <c r="B5366" s="1" t="n">
        <v>44334</v>
      </c>
      <c r="C5366" s="1" t="n">
        <v>45353</v>
      </c>
      <c r="D5366" t="inlineStr">
        <is>
          <t>VÄRMLANDS LÄN</t>
        </is>
      </c>
      <c r="E5366" t="inlineStr">
        <is>
          <t>KRISTINEHAMN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23546-2021</t>
        </is>
      </c>
      <c r="B5367" s="1" t="n">
        <v>44334</v>
      </c>
      <c r="C5367" s="1" t="n">
        <v>45353</v>
      </c>
      <c r="D5367" t="inlineStr">
        <is>
          <t>VÄRMLANDS LÄN</t>
        </is>
      </c>
      <c r="E5367" t="inlineStr">
        <is>
          <t>SUNNE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23562-2021</t>
        </is>
      </c>
      <c r="B5368" s="1" t="n">
        <v>44334</v>
      </c>
      <c r="C5368" s="1" t="n">
        <v>45353</v>
      </c>
      <c r="D5368" t="inlineStr">
        <is>
          <t>VÄRMLANDS LÄN</t>
        </is>
      </c>
      <c r="E5368" t="inlineStr">
        <is>
          <t>KRISTINEHAMN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23656-2021</t>
        </is>
      </c>
      <c r="B5369" s="1" t="n">
        <v>44334</v>
      </c>
      <c r="C5369" s="1" t="n">
        <v>45353</v>
      </c>
      <c r="D5369" t="inlineStr">
        <is>
          <t>VÄRMLANDS LÄN</t>
        </is>
      </c>
      <c r="E5369" t="inlineStr">
        <is>
          <t>SUNNE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23587-2021</t>
        </is>
      </c>
      <c r="B5370" s="1" t="n">
        <v>44334</v>
      </c>
      <c r="C5370" s="1" t="n">
        <v>45353</v>
      </c>
      <c r="D5370" t="inlineStr">
        <is>
          <t>VÄRMLANDS LÄN</t>
        </is>
      </c>
      <c r="E5370" t="inlineStr">
        <is>
          <t>SÄFFLE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23643-2021</t>
        </is>
      </c>
      <c r="B5371" s="1" t="n">
        <v>44334</v>
      </c>
      <c r="C5371" s="1" t="n">
        <v>45353</v>
      </c>
      <c r="D5371" t="inlineStr">
        <is>
          <t>VÄRMLANDS LÄN</t>
        </is>
      </c>
      <c r="E5371" t="inlineStr">
        <is>
          <t>ARVIKA</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23802-2021</t>
        </is>
      </c>
      <c r="B5372" s="1" t="n">
        <v>44334</v>
      </c>
      <c r="C5372" s="1" t="n">
        <v>45353</v>
      </c>
      <c r="D5372" t="inlineStr">
        <is>
          <t>VÄRMLANDS LÄN</t>
        </is>
      </c>
      <c r="E5372" t="inlineStr">
        <is>
          <t>SÄFFLE</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23815-2021</t>
        </is>
      </c>
      <c r="B5373" s="1" t="n">
        <v>44335</v>
      </c>
      <c r="C5373" s="1" t="n">
        <v>45353</v>
      </c>
      <c r="D5373" t="inlineStr">
        <is>
          <t>VÄRMLANDS LÄN</t>
        </is>
      </c>
      <c r="E5373" t="inlineStr">
        <is>
          <t>ÅRJÄNG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23842-2021</t>
        </is>
      </c>
      <c r="B5374" s="1" t="n">
        <v>44335</v>
      </c>
      <c r="C5374" s="1" t="n">
        <v>45353</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23786-2021</t>
        </is>
      </c>
      <c r="B5375" s="1" t="n">
        <v>44335</v>
      </c>
      <c r="C5375" s="1" t="n">
        <v>45353</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23813-2021</t>
        </is>
      </c>
      <c r="B5376" s="1" t="n">
        <v>44335</v>
      </c>
      <c r="C5376" s="1" t="n">
        <v>45353</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23820-2021</t>
        </is>
      </c>
      <c r="B5377" s="1" t="n">
        <v>44335</v>
      </c>
      <c r="C5377" s="1" t="n">
        <v>45353</v>
      </c>
      <c r="D5377" t="inlineStr">
        <is>
          <t>VÄRMLANDS LÄN</t>
        </is>
      </c>
      <c r="E5377" t="inlineStr">
        <is>
          <t>STORFORS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23933-2021</t>
        </is>
      </c>
      <c r="B5378" s="1" t="n">
        <v>44335</v>
      </c>
      <c r="C5378" s="1" t="n">
        <v>45353</v>
      </c>
      <c r="D5378" t="inlineStr">
        <is>
          <t>VÄRMLANDS LÄN</t>
        </is>
      </c>
      <c r="E5378" t="inlineStr">
        <is>
          <t>KRISTINEHAMN</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23808-2021</t>
        </is>
      </c>
      <c r="B5379" s="1" t="n">
        <v>44335</v>
      </c>
      <c r="C5379" s="1" t="n">
        <v>45353</v>
      </c>
      <c r="D5379" t="inlineStr">
        <is>
          <t>VÄRMLANDS LÄN</t>
        </is>
      </c>
      <c r="E5379" t="inlineStr">
        <is>
          <t>STORFORS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23817-2021</t>
        </is>
      </c>
      <c r="B5380" s="1" t="n">
        <v>44335</v>
      </c>
      <c r="C5380" s="1" t="n">
        <v>45353</v>
      </c>
      <c r="D5380" t="inlineStr">
        <is>
          <t>VÄRMLANDS LÄN</t>
        </is>
      </c>
      <c r="E5380" t="inlineStr">
        <is>
          <t>STORFORS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23840-2021</t>
        </is>
      </c>
      <c r="B5381" s="1" t="n">
        <v>44335</v>
      </c>
      <c r="C5381" s="1" t="n">
        <v>45353</v>
      </c>
      <c r="D5381" t="inlineStr">
        <is>
          <t>VÄRMLANDS LÄN</t>
        </is>
      </c>
      <c r="E5381" t="inlineStr">
        <is>
          <t>MUNKFORS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23923-2021</t>
        </is>
      </c>
      <c r="B5382" s="1" t="n">
        <v>44335</v>
      </c>
      <c r="C5382" s="1" t="n">
        <v>45353</v>
      </c>
      <c r="D5382" t="inlineStr">
        <is>
          <t>VÄRMLANDS LÄN</t>
        </is>
      </c>
      <c r="E5382" t="inlineStr">
        <is>
          <t>SUNNE</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23940-2021</t>
        </is>
      </c>
      <c r="B5383" s="1" t="n">
        <v>44335</v>
      </c>
      <c r="C5383" s="1" t="n">
        <v>45353</v>
      </c>
      <c r="D5383" t="inlineStr">
        <is>
          <t>VÄRMLANDS LÄN</t>
        </is>
      </c>
      <c r="E5383" t="inlineStr">
        <is>
          <t>KRISTINEHAMN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23863-2021</t>
        </is>
      </c>
      <c r="B5384" s="1" t="n">
        <v>44335</v>
      </c>
      <c r="C5384" s="1" t="n">
        <v>45353</v>
      </c>
      <c r="D5384" t="inlineStr">
        <is>
          <t>VÄRMLANDS LÄN</t>
        </is>
      </c>
      <c r="E5384" t="inlineStr">
        <is>
          <t>EDA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23943-2021</t>
        </is>
      </c>
      <c r="B5385" s="1" t="n">
        <v>44335</v>
      </c>
      <c r="C5385" s="1" t="n">
        <v>45353</v>
      </c>
      <c r="D5385" t="inlineStr">
        <is>
          <t>VÄRMLANDS LÄN</t>
        </is>
      </c>
      <c r="E5385" t="inlineStr">
        <is>
          <t>SUNNE</t>
        </is>
      </c>
      <c r="G5385" t="n">
        <v>20</v>
      </c>
      <c r="H5385" t="n">
        <v>0</v>
      </c>
      <c r="I5385" t="n">
        <v>0</v>
      </c>
      <c r="J5385" t="n">
        <v>0</v>
      </c>
      <c r="K5385" t="n">
        <v>0</v>
      </c>
      <c r="L5385" t="n">
        <v>0</v>
      </c>
      <c r="M5385" t="n">
        <v>0</v>
      </c>
      <c r="N5385" t="n">
        <v>0</v>
      </c>
      <c r="O5385" t="n">
        <v>0</v>
      </c>
      <c r="P5385" t="n">
        <v>0</v>
      </c>
      <c r="Q5385" t="n">
        <v>0</v>
      </c>
      <c r="R5385" s="2" t="inlineStr"/>
    </row>
    <row r="5386" ht="15" customHeight="1">
      <c r="A5386" t="inlineStr">
        <is>
          <t>A 23823-2021</t>
        </is>
      </c>
      <c r="B5386" s="1" t="n">
        <v>44335</v>
      </c>
      <c r="C5386" s="1" t="n">
        <v>45353</v>
      </c>
      <c r="D5386" t="inlineStr">
        <is>
          <t>VÄRMLANDS LÄN</t>
        </is>
      </c>
      <c r="E5386" t="inlineStr">
        <is>
          <t>TORSBY</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24054-2021</t>
        </is>
      </c>
      <c r="B5387" s="1" t="n">
        <v>44336</v>
      </c>
      <c r="C5387" s="1" t="n">
        <v>45353</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24066-2021</t>
        </is>
      </c>
      <c r="B5388" s="1" t="n">
        <v>44336</v>
      </c>
      <c r="C5388" s="1" t="n">
        <v>45353</v>
      </c>
      <c r="D5388" t="inlineStr">
        <is>
          <t>VÄRMLANDS LÄN</t>
        </is>
      </c>
      <c r="E5388" t="inlineStr">
        <is>
          <t>SUNNE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24092-2021</t>
        </is>
      </c>
      <c r="B5389" s="1" t="n">
        <v>44336</v>
      </c>
      <c r="C5389" s="1" t="n">
        <v>45353</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24150-2021</t>
        </is>
      </c>
      <c r="B5390" s="1" t="n">
        <v>44336</v>
      </c>
      <c r="C5390" s="1" t="n">
        <v>45353</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24165-2021</t>
        </is>
      </c>
      <c r="B5391" s="1" t="n">
        <v>44336</v>
      </c>
      <c r="C5391" s="1" t="n">
        <v>45353</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24332-2021</t>
        </is>
      </c>
      <c r="B5392" s="1" t="n">
        <v>44337</v>
      </c>
      <c r="C5392" s="1" t="n">
        <v>45353</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24331-2021</t>
        </is>
      </c>
      <c r="B5393" s="1" t="n">
        <v>44337</v>
      </c>
      <c r="C5393" s="1" t="n">
        <v>45353</v>
      </c>
      <c r="D5393" t="inlineStr">
        <is>
          <t>VÄRMLANDS LÄN</t>
        </is>
      </c>
      <c r="E5393" t="inlineStr">
        <is>
          <t>HAGFORS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24334-2021</t>
        </is>
      </c>
      <c r="B5394" s="1" t="n">
        <v>44337</v>
      </c>
      <c r="C5394" s="1" t="n">
        <v>45353</v>
      </c>
      <c r="D5394" t="inlineStr">
        <is>
          <t>VÄRMLANDS LÄN</t>
        </is>
      </c>
      <c r="E5394" t="inlineStr">
        <is>
          <t>KRISTINEHAMN</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24429-2021</t>
        </is>
      </c>
      <c r="B5395" s="1" t="n">
        <v>44337</v>
      </c>
      <c r="C5395" s="1" t="n">
        <v>45353</v>
      </c>
      <c r="D5395" t="inlineStr">
        <is>
          <t>VÄRMLANDS LÄN</t>
        </is>
      </c>
      <c r="E5395" t="inlineStr">
        <is>
          <t>SUNNE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24461-2021</t>
        </is>
      </c>
      <c r="B5396" s="1" t="n">
        <v>44337</v>
      </c>
      <c r="C5396" s="1" t="n">
        <v>45353</v>
      </c>
      <c r="D5396" t="inlineStr">
        <is>
          <t>VÄRMLANDS LÄN</t>
        </is>
      </c>
      <c r="E5396" t="inlineStr">
        <is>
          <t>EDA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24492-2021</t>
        </is>
      </c>
      <c r="B5397" s="1" t="n">
        <v>44337</v>
      </c>
      <c r="C5397" s="1" t="n">
        <v>45353</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24765-2021</t>
        </is>
      </c>
      <c r="B5398" s="1" t="n">
        <v>44340</v>
      </c>
      <c r="C5398" s="1" t="n">
        <v>45353</v>
      </c>
      <c r="D5398" t="inlineStr">
        <is>
          <t>VÄRMLANDS LÄN</t>
        </is>
      </c>
      <c r="E5398" t="inlineStr">
        <is>
          <t>KIL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24593-2021</t>
        </is>
      </c>
      <c r="B5399" s="1" t="n">
        <v>44340</v>
      </c>
      <c r="C5399" s="1" t="n">
        <v>45353</v>
      </c>
      <c r="D5399" t="inlineStr">
        <is>
          <t>VÄRMLANDS LÄN</t>
        </is>
      </c>
      <c r="E5399" t="inlineStr">
        <is>
          <t>SÄFFLE</t>
        </is>
      </c>
      <c r="G5399" t="n">
        <v>14.1</v>
      </c>
      <c r="H5399" t="n">
        <v>0</v>
      </c>
      <c r="I5399" t="n">
        <v>0</v>
      </c>
      <c r="J5399" t="n">
        <v>0</v>
      </c>
      <c r="K5399" t="n">
        <v>0</v>
      </c>
      <c r="L5399" t="n">
        <v>0</v>
      </c>
      <c r="M5399" t="n">
        <v>0</v>
      </c>
      <c r="N5399" t="n">
        <v>0</v>
      </c>
      <c r="O5399" t="n">
        <v>0</v>
      </c>
      <c r="P5399" t="n">
        <v>0</v>
      </c>
      <c r="Q5399" t="n">
        <v>0</v>
      </c>
      <c r="R5399" s="2" t="inlineStr"/>
    </row>
    <row r="5400" ht="15" customHeight="1">
      <c r="A5400" t="inlineStr">
        <is>
          <t>A 24668-2021</t>
        </is>
      </c>
      <c r="B5400" s="1" t="n">
        <v>44340</v>
      </c>
      <c r="C5400" s="1" t="n">
        <v>45353</v>
      </c>
      <c r="D5400" t="inlineStr">
        <is>
          <t>VÄRMLANDS LÄN</t>
        </is>
      </c>
      <c r="E5400" t="inlineStr">
        <is>
          <t>ARVIKA</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25036-2021</t>
        </is>
      </c>
      <c r="B5401" s="1" t="n">
        <v>44341</v>
      </c>
      <c r="C5401" s="1" t="n">
        <v>45353</v>
      </c>
      <c r="D5401" t="inlineStr">
        <is>
          <t>VÄRMLANDS LÄN</t>
        </is>
      </c>
      <c r="E5401" t="inlineStr">
        <is>
          <t>HAGFORS</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25096-2021</t>
        </is>
      </c>
      <c r="B5402" s="1" t="n">
        <v>44341</v>
      </c>
      <c r="C5402" s="1" t="n">
        <v>45353</v>
      </c>
      <c r="D5402" t="inlineStr">
        <is>
          <t>VÄRMLANDS LÄN</t>
        </is>
      </c>
      <c r="E5402" t="inlineStr">
        <is>
          <t>TORSBY</t>
        </is>
      </c>
      <c r="F5402" t="inlineStr">
        <is>
          <t>Bergvik skog väst AB</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25209-2021</t>
        </is>
      </c>
      <c r="B5403" s="1" t="n">
        <v>44342</v>
      </c>
      <c r="C5403" s="1" t="n">
        <v>45353</v>
      </c>
      <c r="D5403" t="inlineStr">
        <is>
          <t>VÄRMLANDS LÄN</t>
        </is>
      </c>
      <c r="E5403" t="inlineStr">
        <is>
          <t>KRISTINEHAMN</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25180-2021</t>
        </is>
      </c>
      <c r="B5404" s="1" t="n">
        <v>44342</v>
      </c>
      <c r="C5404" s="1" t="n">
        <v>45353</v>
      </c>
      <c r="D5404" t="inlineStr">
        <is>
          <t>VÄRMLANDS LÄN</t>
        </is>
      </c>
      <c r="E5404" t="inlineStr">
        <is>
          <t>EDA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25206-2021</t>
        </is>
      </c>
      <c r="B5405" s="1" t="n">
        <v>44342</v>
      </c>
      <c r="C5405" s="1" t="n">
        <v>45353</v>
      </c>
      <c r="D5405" t="inlineStr">
        <is>
          <t>VÄRMLANDS LÄN</t>
        </is>
      </c>
      <c r="E5405" t="inlineStr">
        <is>
          <t>KRISTINEHAMN</t>
        </is>
      </c>
      <c r="F5405" t="inlineStr">
        <is>
          <t>Sveaskog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25208-2021</t>
        </is>
      </c>
      <c r="B5406" s="1" t="n">
        <v>44342</v>
      </c>
      <c r="C5406" s="1" t="n">
        <v>45353</v>
      </c>
      <c r="D5406" t="inlineStr">
        <is>
          <t>VÄRMLANDS LÄN</t>
        </is>
      </c>
      <c r="E5406" t="inlineStr">
        <is>
          <t>KRISTINEHAMN</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25248-2021</t>
        </is>
      </c>
      <c r="B5407" s="1" t="n">
        <v>44342</v>
      </c>
      <c r="C5407" s="1" t="n">
        <v>45353</v>
      </c>
      <c r="D5407" t="inlineStr">
        <is>
          <t>VÄRMLANDS LÄN</t>
        </is>
      </c>
      <c r="E5407" t="inlineStr">
        <is>
          <t>KARLSTAD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25207-2021</t>
        </is>
      </c>
      <c r="B5408" s="1" t="n">
        <v>44342</v>
      </c>
      <c r="C5408" s="1" t="n">
        <v>45353</v>
      </c>
      <c r="D5408" t="inlineStr">
        <is>
          <t>VÄRMLANDS LÄN</t>
        </is>
      </c>
      <c r="E5408" t="inlineStr">
        <is>
          <t>KRISTINEHAMN</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25247-2021</t>
        </is>
      </c>
      <c r="B5409" s="1" t="n">
        <v>44342</v>
      </c>
      <c r="C5409" s="1" t="n">
        <v>45353</v>
      </c>
      <c r="D5409" t="inlineStr">
        <is>
          <t>VÄRMLANDS LÄN</t>
        </is>
      </c>
      <c r="E5409" t="inlineStr">
        <is>
          <t>TORSBY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25399-2021</t>
        </is>
      </c>
      <c r="B5410" s="1" t="n">
        <v>44342</v>
      </c>
      <c r="C5410" s="1" t="n">
        <v>45353</v>
      </c>
      <c r="D5410" t="inlineStr">
        <is>
          <t>VÄRMLANDS LÄN</t>
        </is>
      </c>
      <c r="E5410" t="inlineStr">
        <is>
          <t>GRUMS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25454-2021</t>
        </is>
      </c>
      <c r="B5411" s="1" t="n">
        <v>44342</v>
      </c>
      <c r="C5411" s="1" t="n">
        <v>45353</v>
      </c>
      <c r="D5411" t="inlineStr">
        <is>
          <t>VÄRMLANDS LÄN</t>
        </is>
      </c>
      <c r="E5411" t="inlineStr">
        <is>
          <t>ARVIKA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25544-2021</t>
        </is>
      </c>
      <c r="B5412" s="1" t="n">
        <v>44342</v>
      </c>
      <c r="C5412" s="1" t="n">
        <v>45353</v>
      </c>
      <c r="D5412" t="inlineStr">
        <is>
          <t>VÄRMLANDS LÄN</t>
        </is>
      </c>
      <c r="E5412" t="inlineStr">
        <is>
          <t>ARVIKA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25580-2021</t>
        </is>
      </c>
      <c r="B5413" s="1" t="n">
        <v>44343</v>
      </c>
      <c r="C5413" s="1" t="n">
        <v>45353</v>
      </c>
      <c r="D5413" t="inlineStr">
        <is>
          <t>VÄRMLANDS LÄN</t>
        </is>
      </c>
      <c r="E5413" t="inlineStr">
        <is>
          <t>SÄFFLE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25605-2021</t>
        </is>
      </c>
      <c r="B5414" s="1" t="n">
        <v>44343</v>
      </c>
      <c r="C5414" s="1" t="n">
        <v>45353</v>
      </c>
      <c r="D5414" t="inlineStr">
        <is>
          <t>VÄRMLANDS LÄN</t>
        </is>
      </c>
      <c r="E5414" t="inlineStr">
        <is>
          <t>SUNNE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25796-2021</t>
        </is>
      </c>
      <c r="B5415" s="1" t="n">
        <v>44343</v>
      </c>
      <c r="C5415" s="1" t="n">
        <v>45353</v>
      </c>
      <c r="D5415" t="inlineStr">
        <is>
          <t>VÄRMLANDS LÄN</t>
        </is>
      </c>
      <c r="E5415" t="inlineStr">
        <is>
          <t>SUNNE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25797-2021</t>
        </is>
      </c>
      <c r="B5416" s="1" t="n">
        <v>44343</v>
      </c>
      <c r="C5416" s="1" t="n">
        <v>45353</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25770-2021</t>
        </is>
      </c>
      <c r="B5417" s="1" t="n">
        <v>44343</v>
      </c>
      <c r="C5417" s="1" t="n">
        <v>45353</v>
      </c>
      <c r="D5417" t="inlineStr">
        <is>
          <t>VÄRMLANDS LÄN</t>
        </is>
      </c>
      <c r="E5417" t="inlineStr">
        <is>
          <t>HAGFORS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25792-2021</t>
        </is>
      </c>
      <c r="B5418" s="1" t="n">
        <v>44343</v>
      </c>
      <c r="C5418" s="1" t="n">
        <v>45353</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25850-2021</t>
        </is>
      </c>
      <c r="B5419" s="1" t="n">
        <v>44344</v>
      </c>
      <c r="C5419" s="1" t="n">
        <v>45353</v>
      </c>
      <c r="D5419" t="inlineStr">
        <is>
          <t>VÄRMLANDS LÄN</t>
        </is>
      </c>
      <c r="E5419" t="inlineStr">
        <is>
          <t>SÄFFLE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25920-2021</t>
        </is>
      </c>
      <c r="B5420" s="1" t="n">
        <v>44344</v>
      </c>
      <c r="C5420" s="1" t="n">
        <v>45353</v>
      </c>
      <c r="D5420" t="inlineStr">
        <is>
          <t>VÄRMLANDS LÄN</t>
        </is>
      </c>
      <c r="E5420" t="inlineStr">
        <is>
          <t>TORSBY</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25846-2021</t>
        </is>
      </c>
      <c r="B5421" s="1" t="n">
        <v>44344</v>
      </c>
      <c r="C5421" s="1" t="n">
        <v>45353</v>
      </c>
      <c r="D5421" t="inlineStr">
        <is>
          <t>VÄRMLANDS LÄN</t>
        </is>
      </c>
      <c r="E5421" t="inlineStr">
        <is>
          <t>SÄFFLE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26082-2021</t>
        </is>
      </c>
      <c r="B5422" s="1" t="n">
        <v>44344</v>
      </c>
      <c r="C5422" s="1" t="n">
        <v>45353</v>
      </c>
      <c r="D5422" t="inlineStr">
        <is>
          <t>VÄRMLANDS LÄN</t>
        </is>
      </c>
      <c r="E5422" t="inlineStr">
        <is>
          <t>TORSBY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26211-2021</t>
        </is>
      </c>
      <c r="B5423" s="1" t="n">
        <v>44347</v>
      </c>
      <c r="C5423" s="1" t="n">
        <v>45353</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26223-2021</t>
        </is>
      </c>
      <c r="B5424" s="1" t="n">
        <v>44347</v>
      </c>
      <c r="C5424" s="1" t="n">
        <v>45353</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26358-2021</t>
        </is>
      </c>
      <c r="B5425" s="1" t="n">
        <v>44347</v>
      </c>
      <c r="C5425" s="1" t="n">
        <v>45353</v>
      </c>
      <c r="D5425" t="inlineStr">
        <is>
          <t>VÄRMLANDS LÄN</t>
        </is>
      </c>
      <c r="E5425" t="inlineStr">
        <is>
          <t>SÄFFLE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26284-2021</t>
        </is>
      </c>
      <c r="B5426" s="1" t="n">
        <v>44347</v>
      </c>
      <c r="C5426" s="1" t="n">
        <v>45353</v>
      </c>
      <c r="D5426" t="inlineStr">
        <is>
          <t>VÄRMLANDS LÄN</t>
        </is>
      </c>
      <c r="E5426" t="inlineStr">
        <is>
          <t>ÅRJÄNG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26353-2021</t>
        </is>
      </c>
      <c r="B5427" s="1" t="n">
        <v>44347</v>
      </c>
      <c r="C5427" s="1" t="n">
        <v>45353</v>
      </c>
      <c r="D5427" t="inlineStr">
        <is>
          <t>VÄRMLANDS LÄN</t>
        </is>
      </c>
      <c r="E5427" t="inlineStr">
        <is>
          <t>SÄFFLE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26300-2021</t>
        </is>
      </c>
      <c r="B5428" s="1" t="n">
        <v>44347</v>
      </c>
      <c r="C5428" s="1" t="n">
        <v>45353</v>
      </c>
      <c r="D5428" t="inlineStr">
        <is>
          <t>VÄRMLANDS LÄN</t>
        </is>
      </c>
      <c r="E5428" t="inlineStr">
        <is>
          <t>SUNNE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26317-2021</t>
        </is>
      </c>
      <c r="B5429" s="1" t="n">
        <v>44347</v>
      </c>
      <c r="C5429" s="1" t="n">
        <v>45353</v>
      </c>
      <c r="D5429" t="inlineStr">
        <is>
          <t>VÄRMLANDS LÄN</t>
        </is>
      </c>
      <c r="E5429" t="inlineStr">
        <is>
          <t>KRISTINEHAMN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26377-2021</t>
        </is>
      </c>
      <c r="B5430" s="1" t="n">
        <v>44347</v>
      </c>
      <c r="C5430" s="1" t="n">
        <v>45353</v>
      </c>
      <c r="D5430" t="inlineStr">
        <is>
          <t>VÄRMLANDS LÄN</t>
        </is>
      </c>
      <c r="E5430" t="inlineStr">
        <is>
          <t>FILIPSTAD</t>
        </is>
      </c>
      <c r="F5430" t="inlineStr">
        <is>
          <t>Bergvik skog väst AB</t>
        </is>
      </c>
      <c r="G5430" t="n">
        <v>25.9</v>
      </c>
      <c r="H5430" t="n">
        <v>0</v>
      </c>
      <c r="I5430" t="n">
        <v>0</v>
      </c>
      <c r="J5430" t="n">
        <v>0</v>
      </c>
      <c r="K5430" t="n">
        <v>0</v>
      </c>
      <c r="L5430" t="n">
        <v>0</v>
      </c>
      <c r="M5430" t="n">
        <v>0</v>
      </c>
      <c r="N5430" t="n">
        <v>0</v>
      </c>
      <c r="O5430" t="n">
        <v>0</v>
      </c>
      <c r="P5430" t="n">
        <v>0</v>
      </c>
      <c r="Q5430" t="n">
        <v>0</v>
      </c>
      <c r="R5430" s="2" t="inlineStr"/>
    </row>
    <row r="5431" ht="15" customHeight="1">
      <c r="A5431" t="inlineStr">
        <is>
          <t>A 26427-2021</t>
        </is>
      </c>
      <c r="B5431" s="1" t="n">
        <v>44347</v>
      </c>
      <c r="C5431" s="1" t="n">
        <v>45353</v>
      </c>
      <c r="D5431" t="inlineStr">
        <is>
          <t>VÄRMLANDS LÄN</t>
        </is>
      </c>
      <c r="E5431" t="inlineStr">
        <is>
          <t>KRISTINEHAMN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26558-2021</t>
        </is>
      </c>
      <c r="B5432" s="1" t="n">
        <v>44348</v>
      </c>
      <c r="C5432" s="1" t="n">
        <v>45353</v>
      </c>
      <c r="D5432" t="inlineStr">
        <is>
          <t>VÄRMLANDS LÄN</t>
        </is>
      </c>
      <c r="E5432" t="inlineStr">
        <is>
          <t>TORSBY</t>
        </is>
      </c>
      <c r="G5432" t="n">
        <v>19.7</v>
      </c>
      <c r="H5432" t="n">
        <v>0</v>
      </c>
      <c r="I5432" t="n">
        <v>0</v>
      </c>
      <c r="J5432" t="n">
        <v>0</v>
      </c>
      <c r="K5432" t="n">
        <v>0</v>
      </c>
      <c r="L5432" t="n">
        <v>0</v>
      </c>
      <c r="M5432" t="n">
        <v>0</v>
      </c>
      <c r="N5432" t="n">
        <v>0</v>
      </c>
      <c r="O5432" t="n">
        <v>0</v>
      </c>
      <c r="P5432" t="n">
        <v>0</v>
      </c>
      <c r="Q5432" t="n">
        <v>0</v>
      </c>
      <c r="R5432" s="2" t="inlineStr"/>
    </row>
    <row r="5433" ht="15" customHeight="1">
      <c r="A5433" t="inlineStr">
        <is>
          <t>A 26580-2021</t>
        </is>
      </c>
      <c r="B5433" s="1" t="n">
        <v>44348</v>
      </c>
      <c r="C5433" s="1" t="n">
        <v>45353</v>
      </c>
      <c r="D5433" t="inlineStr">
        <is>
          <t>VÄRMLANDS LÄN</t>
        </is>
      </c>
      <c r="E5433" t="inlineStr">
        <is>
          <t>SUNNE</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26645-2021</t>
        </is>
      </c>
      <c r="B5434" s="1" t="n">
        <v>44348</v>
      </c>
      <c r="C5434" s="1" t="n">
        <v>45353</v>
      </c>
      <c r="D5434" t="inlineStr">
        <is>
          <t>VÄRMLANDS LÄN</t>
        </is>
      </c>
      <c r="E5434" t="inlineStr">
        <is>
          <t>KIL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27031-2021</t>
        </is>
      </c>
      <c r="B5435" s="1" t="n">
        <v>44350</v>
      </c>
      <c r="C5435" s="1" t="n">
        <v>45353</v>
      </c>
      <c r="D5435" t="inlineStr">
        <is>
          <t>VÄRMLANDS LÄN</t>
        </is>
      </c>
      <c r="E5435" t="inlineStr">
        <is>
          <t>EDA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27162-2021</t>
        </is>
      </c>
      <c r="B5436" s="1" t="n">
        <v>44350</v>
      </c>
      <c r="C5436" s="1" t="n">
        <v>45353</v>
      </c>
      <c r="D5436" t="inlineStr">
        <is>
          <t>VÄRMLANDS LÄN</t>
        </is>
      </c>
      <c r="E5436" t="inlineStr">
        <is>
          <t>ARVIKA</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26999-2021</t>
        </is>
      </c>
      <c r="B5437" s="1" t="n">
        <v>44350</v>
      </c>
      <c r="C5437" s="1" t="n">
        <v>45353</v>
      </c>
      <c r="D5437" t="inlineStr">
        <is>
          <t>VÄRMLANDS LÄN</t>
        </is>
      </c>
      <c r="E5437" t="inlineStr">
        <is>
          <t>ARVIKA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27001-2021</t>
        </is>
      </c>
      <c r="B5438" s="1" t="n">
        <v>44350</v>
      </c>
      <c r="C5438" s="1" t="n">
        <v>45353</v>
      </c>
      <c r="D5438" t="inlineStr">
        <is>
          <t>VÄRMLANDS LÄN</t>
        </is>
      </c>
      <c r="E5438" t="inlineStr">
        <is>
          <t>ÅRJÄNG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27045-2021</t>
        </is>
      </c>
      <c r="B5439" s="1" t="n">
        <v>44350</v>
      </c>
      <c r="C5439" s="1" t="n">
        <v>45353</v>
      </c>
      <c r="D5439" t="inlineStr">
        <is>
          <t>VÄRMLANDS LÄN</t>
        </is>
      </c>
      <c r="E5439" t="inlineStr">
        <is>
          <t>ÅRJÄNG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27224-2021</t>
        </is>
      </c>
      <c r="B5440" s="1" t="n">
        <v>44350</v>
      </c>
      <c r="C5440" s="1" t="n">
        <v>45353</v>
      </c>
      <c r="D5440" t="inlineStr">
        <is>
          <t>VÄRMLANDS LÄN</t>
        </is>
      </c>
      <c r="E5440" t="inlineStr">
        <is>
          <t>SUNNE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27408-2021</t>
        </is>
      </c>
      <c r="B5441" s="1" t="n">
        <v>44351</v>
      </c>
      <c r="C5441" s="1" t="n">
        <v>45353</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27446-2021</t>
        </is>
      </c>
      <c r="B5442" s="1" t="n">
        <v>44351</v>
      </c>
      <c r="C5442" s="1" t="n">
        <v>45353</v>
      </c>
      <c r="D5442" t="inlineStr">
        <is>
          <t>VÄRMLANDS LÄN</t>
        </is>
      </c>
      <c r="E5442" t="inlineStr">
        <is>
          <t>TORSBY</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27455-2021</t>
        </is>
      </c>
      <c r="B5443" s="1" t="n">
        <v>44351</v>
      </c>
      <c r="C5443" s="1" t="n">
        <v>45353</v>
      </c>
      <c r="D5443" t="inlineStr">
        <is>
          <t>VÄRMLANDS LÄN</t>
        </is>
      </c>
      <c r="E5443" t="inlineStr">
        <is>
          <t>HAGFORS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27329-2021</t>
        </is>
      </c>
      <c r="B5444" s="1" t="n">
        <v>44351</v>
      </c>
      <c r="C5444" s="1" t="n">
        <v>45353</v>
      </c>
      <c r="D5444" t="inlineStr">
        <is>
          <t>VÄRMLANDS LÄN</t>
        </is>
      </c>
      <c r="E5444" t="inlineStr">
        <is>
          <t>ARVIKA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27420-2021</t>
        </is>
      </c>
      <c r="B5445" s="1" t="n">
        <v>44351</v>
      </c>
      <c r="C5445" s="1" t="n">
        <v>45353</v>
      </c>
      <c r="D5445" t="inlineStr">
        <is>
          <t>VÄRMLANDS LÄN</t>
        </is>
      </c>
      <c r="E5445" t="inlineStr">
        <is>
          <t>KRISTINEHAMN</t>
        </is>
      </c>
      <c r="G5445" t="n">
        <v>12.5</v>
      </c>
      <c r="H5445" t="n">
        <v>0</v>
      </c>
      <c r="I5445" t="n">
        <v>0</v>
      </c>
      <c r="J5445" t="n">
        <v>0</v>
      </c>
      <c r="K5445" t="n">
        <v>0</v>
      </c>
      <c r="L5445" t="n">
        <v>0</v>
      </c>
      <c r="M5445" t="n">
        <v>0</v>
      </c>
      <c r="N5445" t="n">
        <v>0</v>
      </c>
      <c r="O5445" t="n">
        <v>0</v>
      </c>
      <c r="P5445" t="n">
        <v>0</v>
      </c>
      <c r="Q5445" t="n">
        <v>0</v>
      </c>
      <c r="R5445" s="2" t="inlineStr"/>
    </row>
    <row r="5446" ht="15" customHeight="1">
      <c r="A5446" t="inlineStr">
        <is>
          <t>A 27340-2021</t>
        </is>
      </c>
      <c r="B5446" s="1" t="n">
        <v>44351</v>
      </c>
      <c r="C5446" s="1" t="n">
        <v>45353</v>
      </c>
      <c r="D5446" t="inlineStr">
        <is>
          <t>VÄRMLANDS LÄN</t>
        </is>
      </c>
      <c r="E5446" t="inlineStr">
        <is>
          <t>SÄFFLE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27411-2021</t>
        </is>
      </c>
      <c r="B5447" s="1" t="n">
        <v>44351</v>
      </c>
      <c r="C5447" s="1" t="n">
        <v>45353</v>
      </c>
      <c r="D5447" t="inlineStr">
        <is>
          <t>VÄRMLANDS LÄN</t>
        </is>
      </c>
      <c r="E5447" t="inlineStr">
        <is>
          <t>TORSBY</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27362-2021</t>
        </is>
      </c>
      <c r="B5448" s="1" t="n">
        <v>44351</v>
      </c>
      <c r="C5448" s="1" t="n">
        <v>45353</v>
      </c>
      <c r="D5448" t="inlineStr">
        <is>
          <t>VÄRMLANDS LÄN</t>
        </is>
      </c>
      <c r="E5448" t="inlineStr">
        <is>
          <t>TORSBY</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27300-2021</t>
        </is>
      </c>
      <c r="B5449" s="1" t="n">
        <v>44351</v>
      </c>
      <c r="C5449" s="1" t="n">
        <v>45353</v>
      </c>
      <c r="D5449" t="inlineStr">
        <is>
          <t>VÄRMLANDS LÄN</t>
        </is>
      </c>
      <c r="E5449" t="inlineStr">
        <is>
          <t>EDA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27641-2021</t>
        </is>
      </c>
      <c r="B5450" s="1" t="n">
        <v>44354</v>
      </c>
      <c r="C5450" s="1" t="n">
        <v>45353</v>
      </c>
      <c r="D5450" t="inlineStr">
        <is>
          <t>VÄRMLANDS LÄN</t>
        </is>
      </c>
      <c r="E5450" t="inlineStr">
        <is>
          <t>SÄFFLE</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27670-2021</t>
        </is>
      </c>
      <c r="B5451" s="1" t="n">
        <v>44354</v>
      </c>
      <c r="C5451" s="1" t="n">
        <v>45353</v>
      </c>
      <c r="D5451" t="inlineStr">
        <is>
          <t>VÄRMLANDS LÄN</t>
        </is>
      </c>
      <c r="E5451" t="inlineStr">
        <is>
          <t>KARLSTAD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27688-2021</t>
        </is>
      </c>
      <c r="B5452" s="1" t="n">
        <v>44354</v>
      </c>
      <c r="C5452" s="1" t="n">
        <v>45353</v>
      </c>
      <c r="D5452" t="inlineStr">
        <is>
          <t>VÄRMLANDS LÄN</t>
        </is>
      </c>
      <c r="E5452" t="inlineStr">
        <is>
          <t>KARLSTAD</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27745-2021</t>
        </is>
      </c>
      <c r="B5453" s="1" t="n">
        <v>44354</v>
      </c>
      <c r="C5453" s="1" t="n">
        <v>45353</v>
      </c>
      <c r="D5453" t="inlineStr">
        <is>
          <t>VÄRMLANDS LÄN</t>
        </is>
      </c>
      <c r="E5453" t="inlineStr">
        <is>
          <t>ÅRJÄNG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27815-2021</t>
        </is>
      </c>
      <c r="B5454" s="1" t="n">
        <v>44354</v>
      </c>
      <c r="C5454" s="1" t="n">
        <v>45353</v>
      </c>
      <c r="D5454" t="inlineStr">
        <is>
          <t>VÄRMLANDS LÄN</t>
        </is>
      </c>
      <c r="E5454" t="inlineStr">
        <is>
          <t>KRISTINEHAMN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27836-2021</t>
        </is>
      </c>
      <c r="B5455" s="1" t="n">
        <v>44354</v>
      </c>
      <c r="C5455" s="1" t="n">
        <v>45353</v>
      </c>
      <c r="D5455" t="inlineStr">
        <is>
          <t>VÄRMLANDS LÄN</t>
        </is>
      </c>
      <c r="E5455" t="inlineStr">
        <is>
          <t>KRISTINEHAMN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27871-2021</t>
        </is>
      </c>
      <c r="B5456" s="1" t="n">
        <v>44354</v>
      </c>
      <c r="C5456" s="1" t="n">
        <v>45353</v>
      </c>
      <c r="D5456" t="inlineStr">
        <is>
          <t>VÄRMLANDS LÄN</t>
        </is>
      </c>
      <c r="E5456" t="inlineStr">
        <is>
          <t>ÅRJÄNG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27862-2021</t>
        </is>
      </c>
      <c r="B5457" s="1" t="n">
        <v>44354</v>
      </c>
      <c r="C5457" s="1" t="n">
        <v>45353</v>
      </c>
      <c r="D5457" t="inlineStr">
        <is>
          <t>VÄRMLANDS LÄN</t>
        </is>
      </c>
      <c r="E5457" t="inlineStr">
        <is>
          <t>ÅRJÄNG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27932-2021</t>
        </is>
      </c>
      <c r="B5458" s="1" t="n">
        <v>44354</v>
      </c>
      <c r="C5458" s="1" t="n">
        <v>45353</v>
      </c>
      <c r="D5458" t="inlineStr">
        <is>
          <t>VÄRMLANDS LÄN</t>
        </is>
      </c>
      <c r="E5458" t="inlineStr">
        <is>
          <t>TORSBY</t>
        </is>
      </c>
      <c r="F5458" t="inlineStr">
        <is>
          <t>Bergvik skog väst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28084-2021</t>
        </is>
      </c>
      <c r="B5459" s="1" t="n">
        <v>44355</v>
      </c>
      <c r="C5459" s="1" t="n">
        <v>45353</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28144-2021</t>
        </is>
      </c>
      <c r="B5460" s="1" t="n">
        <v>44355</v>
      </c>
      <c r="C5460" s="1" t="n">
        <v>45353</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28351-2021</t>
        </is>
      </c>
      <c r="B5461" s="1" t="n">
        <v>44356</v>
      </c>
      <c r="C5461" s="1" t="n">
        <v>45353</v>
      </c>
      <c r="D5461" t="inlineStr">
        <is>
          <t>VÄRMLANDS LÄN</t>
        </is>
      </c>
      <c r="E5461" t="inlineStr">
        <is>
          <t>FILIPSTAD</t>
        </is>
      </c>
      <c r="F5461" t="inlineStr">
        <is>
          <t>Bergvik skog väst AB</t>
        </is>
      </c>
      <c r="G5461" t="n">
        <v>13.4</v>
      </c>
      <c r="H5461" t="n">
        <v>0</v>
      </c>
      <c r="I5461" t="n">
        <v>0</v>
      </c>
      <c r="J5461" t="n">
        <v>0</v>
      </c>
      <c r="K5461" t="n">
        <v>0</v>
      </c>
      <c r="L5461" t="n">
        <v>0</v>
      </c>
      <c r="M5461" t="n">
        <v>0</v>
      </c>
      <c r="N5461" t="n">
        <v>0</v>
      </c>
      <c r="O5461" t="n">
        <v>0</v>
      </c>
      <c r="P5461" t="n">
        <v>0</v>
      </c>
      <c r="Q5461" t="n">
        <v>0</v>
      </c>
      <c r="R5461" s="2" t="inlineStr"/>
    </row>
    <row r="5462" ht="15" customHeight="1">
      <c r="A5462" t="inlineStr">
        <is>
          <t>A 28352-2021</t>
        </is>
      </c>
      <c r="B5462" s="1" t="n">
        <v>44356</v>
      </c>
      <c r="C5462" s="1" t="n">
        <v>45353</v>
      </c>
      <c r="D5462" t="inlineStr">
        <is>
          <t>VÄRMLANDS LÄN</t>
        </is>
      </c>
      <c r="E5462" t="inlineStr">
        <is>
          <t>EDA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28492-2021</t>
        </is>
      </c>
      <c r="B5463" s="1" t="n">
        <v>44356</v>
      </c>
      <c r="C5463" s="1" t="n">
        <v>45353</v>
      </c>
      <c r="D5463" t="inlineStr">
        <is>
          <t>VÄRMLANDS LÄN</t>
        </is>
      </c>
      <c r="E5463" t="inlineStr">
        <is>
          <t>SUNNE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28529-2021</t>
        </is>
      </c>
      <c r="B5464" s="1" t="n">
        <v>44356</v>
      </c>
      <c r="C5464" s="1" t="n">
        <v>45353</v>
      </c>
      <c r="D5464" t="inlineStr">
        <is>
          <t>VÄRMLANDS LÄN</t>
        </is>
      </c>
      <c r="E5464" t="inlineStr">
        <is>
          <t>KRISTINEHAMN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28559-2021</t>
        </is>
      </c>
      <c r="B5465" s="1" t="n">
        <v>44356</v>
      </c>
      <c r="C5465" s="1" t="n">
        <v>45353</v>
      </c>
      <c r="D5465" t="inlineStr">
        <is>
          <t>VÄRMLANDS LÄN</t>
        </is>
      </c>
      <c r="E5465" t="inlineStr">
        <is>
          <t>TORSBY</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28437-2021</t>
        </is>
      </c>
      <c r="B5466" s="1" t="n">
        <v>44356</v>
      </c>
      <c r="C5466" s="1" t="n">
        <v>45353</v>
      </c>
      <c r="D5466" t="inlineStr">
        <is>
          <t>VÄRMLANDS LÄN</t>
        </is>
      </c>
      <c r="E5466" t="inlineStr">
        <is>
          <t>ÅRJÄNG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28471-2021</t>
        </is>
      </c>
      <c r="B5467" s="1" t="n">
        <v>44356</v>
      </c>
      <c r="C5467" s="1" t="n">
        <v>45353</v>
      </c>
      <c r="D5467" t="inlineStr">
        <is>
          <t>VÄRMLANDS LÄN</t>
        </is>
      </c>
      <c r="E5467" t="inlineStr">
        <is>
          <t>EDA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28488-2021</t>
        </is>
      </c>
      <c r="B5468" s="1" t="n">
        <v>44356</v>
      </c>
      <c r="C5468" s="1" t="n">
        <v>45353</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28402-2021</t>
        </is>
      </c>
      <c r="B5469" s="1" t="n">
        <v>44356</v>
      </c>
      <c r="C5469" s="1" t="n">
        <v>45353</v>
      </c>
      <c r="D5469" t="inlineStr">
        <is>
          <t>VÄRMLANDS LÄN</t>
        </is>
      </c>
      <c r="E5469" t="inlineStr">
        <is>
          <t>KARLSTAD</t>
        </is>
      </c>
      <c r="F5469" t="inlineStr">
        <is>
          <t>Kommuner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28562-2021</t>
        </is>
      </c>
      <c r="B5470" s="1" t="n">
        <v>44356</v>
      </c>
      <c r="C5470" s="1" t="n">
        <v>45353</v>
      </c>
      <c r="D5470" t="inlineStr">
        <is>
          <t>VÄRMLANDS LÄN</t>
        </is>
      </c>
      <c r="E5470" t="inlineStr">
        <is>
          <t>TORSBY</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28703-2021</t>
        </is>
      </c>
      <c r="B5471" s="1" t="n">
        <v>44357</v>
      </c>
      <c r="C5471" s="1" t="n">
        <v>45353</v>
      </c>
      <c r="D5471" t="inlineStr">
        <is>
          <t>VÄRMLANDS LÄN</t>
        </is>
      </c>
      <c r="E5471" t="inlineStr">
        <is>
          <t>HAGFORS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28655-2021</t>
        </is>
      </c>
      <c r="B5472" s="1" t="n">
        <v>44357</v>
      </c>
      <c r="C5472" s="1" t="n">
        <v>45353</v>
      </c>
      <c r="D5472" t="inlineStr">
        <is>
          <t>VÄRMLANDS LÄN</t>
        </is>
      </c>
      <c r="E5472" t="inlineStr">
        <is>
          <t>ARVIKA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28730-2021</t>
        </is>
      </c>
      <c r="B5473" s="1" t="n">
        <v>44357</v>
      </c>
      <c r="C5473" s="1" t="n">
        <v>45353</v>
      </c>
      <c r="D5473" t="inlineStr">
        <is>
          <t>VÄRMLANDS LÄN</t>
        </is>
      </c>
      <c r="E5473" t="inlineStr">
        <is>
          <t>EDA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28744-2021</t>
        </is>
      </c>
      <c r="B5474" s="1" t="n">
        <v>44357</v>
      </c>
      <c r="C5474" s="1" t="n">
        <v>45353</v>
      </c>
      <c r="D5474" t="inlineStr">
        <is>
          <t>VÄRMLANDS LÄN</t>
        </is>
      </c>
      <c r="E5474" t="inlineStr">
        <is>
          <t>EDA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28819-2021</t>
        </is>
      </c>
      <c r="B5475" s="1" t="n">
        <v>44357</v>
      </c>
      <c r="C5475" s="1" t="n">
        <v>45353</v>
      </c>
      <c r="D5475" t="inlineStr">
        <is>
          <t>VÄRMLANDS LÄN</t>
        </is>
      </c>
      <c r="E5475" t="inlineStr">
        <is>
          <t>HAGFORS</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28725-2021</t>
        </is>
      </c>
      <c r="B5476" s="1" t="n">
        <v>44357</v>
      </c>
      <c r="C5476" s="1" t="n">
        <v>45353</v>
      </c>
      <c r="D5476" t="inlineStr">
        <is>
          <t>VÄRMLANDS LÄN</t>
        </is>
      </c>
      <c r="E5476" t="inlineStr">
        <is>
          <t>EDA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28940-2021</t>
        </is>
      </c>
      <c r="B5477" s="1" t="n">
        <v>44358</v>
      </c>
      <c r="C5477" s="1" t="n">
        <v>45353</v>
      </c>
      <c r="D5477" t="inlineStr">
        <is>
          <t>VÄRMLANDS LÄN</t>
        </is>
      </c>
      <c r="E5477" t="inlineStr">
        <is>
          <t>TORSBY</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28968-2021</t>
        </is>
      </c>
      <c r="B5478" s="1" t="n">
        <v>44358</v>
      </c>
      <c r="C5478" s="1" t="n">
        <v>45353</v>
      </c>
      <c r="D5478" t="inlineStr">
        <is>
          <t>VÄRMLANDS LÄN</t>
        </is>
      </c>
      <c r="E5478" t="inlineStr">
        <is>
          <t>SUNNE</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28983-2021</t>
        </is>
      </c>
      <c r="B5479" s="1" t="n">
        <v>44358</v>
      </c>
      <c r="C5479" s="1" t="n">
        <v>45353</v>
      </c>
      <c r="D5479" t="inlineStr">
        <is>
          <t>VÄRMLANDS LÄN</t>
        </is>
      </c>
      <c r="E5479" t="inlineStr">
        <is>
          <t>KARLSTAD</t>
        </is>
      </c>
      <c r="G5479" t="n">
        <v>10.5</v>
      </c>
      <c r="H5479" t="n">
        <v>0</v>
      </c>
      <c r="I5479" t="n">
        <v>0</v>
      </c>
      <c r="J5479" t="n">
        <v>0</v>
      </c>
      <c r="K5479" t="n">
        <v>0</v>
      </c>
      <c r="L5479" t="n">
        <v>0</v>
      </c>
      <c r="M5479" t="n">
        <v>0</v>
      </c>
      <c r="N5479" t="n">
        <v>0</v>
      </c>
      <c r="O5479" t="n">
        <v>0</v>
      </c>
      <c r="P5479" t="n">
        <v>0</v>
      </c>
      <c r="Q5479" t="n">
        <v>0</v>
      </c>
      <c r="R5479" s="2" t="inlineStr"/>
    </row>
    <row r="5480" ht="15" customHeight="1">
      <c r="A5480" t="inlineStr">
        <is>
          <t>A 28991-2021</t>
        </is>
      </c>
      <c r="B5480" s="1" t="n">
        <v>44358</v>
      </c>
      <c r="C5480" s="1" t="n">
        <v>45353</v>
      </c>
      <c r="D5480" t="inlineStr">
        <is>
          <t>VÄRMLANDS LÄN</t>
        </is>
      </c>
      <c r="E5480" t="inlineStr">
        <is>
          <t>KARLSTAD</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29119-2021</t>
        </is>
      </c>
      <c r="B5481" s="1" t="n">
        <v>44358</v>
      </c>
      <c r="C5481" s="1" t="n">
        <v>45353</v>
      </c>
      <c r="D5481" t="inlineStr">
        <is>
          <t>VÄRMLANDS LÄN</t>
        </is>
      </c>
      <c r="E5481" t="inlineStr">
        <is>
          <t>SUNNE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28987-2021</t>
        </is>
      </c>
      <c r="B5482" s="1" t="n">
        <v>44358</v>
      </c>
      <c r="C5482" s="1" t="n">
        <v>45353</v>
      </c>
      <c r="D5482" t="inlineStr">
        <is>
          <t>VÄRMLANDS LÄN</t>
        </is>
      </c>
      <c r="E5482" t="inlineStr">
        <is>
          <t>KARLSTAD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28997-2021</t>
        </is>
      </c>
      <c r="B5483" s="1" t="n">
        <v>44358</v>
      </c>
      <c r="C5483" s="1" t="n">
        <v>45353</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29253-2021</t>
        </is>
      </c>
      <c r="B5484" s="1" t="n">
        <v>44358</v>
      </c>
      <c r="C5484" s="1" t="n">
        <v>45353</v>
      </c>
      <c r="D5484" t="inlineStr">
        <is>
          <t>VÄRMLANDS LÄN</t>
        </is>
      </c>
      <c r="E5484" t="inlineStr">
        <is>
          <t>KARLSTAD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29280-2021</t>
        </is>
      </c>
      <c r="B5485" s="1" t="n">
        <v>44361</v>
      </c>
      <c r="C5485" s="1" t="n">
        <v>45353</v>
      </c>
      <c r="D5485" t="inlineStr">
        <is>
          <t>VÄRMLANDS LÄN</t>
        </is>
      </c>
      <c r="E5485" t="inlineStr">
        <is>
          <t>KARLSTAD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29340-2021</t>
        </is>
      </c>
      <c r="B5486" s="1" t="n">
        <v>44361</v>
      </c>
      <c r="C5486" s="1" t="n">
        <v>45353</v>
      </c>
      <c r="D5486" t="inlineStr">
        <is>
          <t>VÄRMLANDS LÄN</t>
        </is>
      </c>
      <c r="E5486" t="inlineStr">
        <is>
          <t>KRISTINEHAMN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29495-2021</t>
        </is>
      </c>
      <c r="B5487" s="1" t="n">
        <v>44361</v>
      </c>
      <c r="C5487" s="1" t="n">
        <v>45353</v>
      </c>
      <c r="D5487" t="inlineStr">
        <is>
          <t>VÄRMLANDS LÄN</t>
        </is>
      </c>
      <c r="E5487" t="inlineStr">
        <is>
          <t>TORSBY</t>
        </is>
      </c>
      <c r="F5487" t="inlineStr">
        <is>
          <t>Övriga Aktiebolag</t>
        </is>
      </c>
      <c r="G5487" t="n">
        <v>38.2</v>
      </c>
      <c r="H5487" t="n">
        <v>0</v>
      </c>
      <c r="I5487" t="n">
        <v>0</v>
      </c>
      <c r="J5487" t="n">
        <v>0</v>
      </c>
      <c r="K5487" t="n">
        <v>0</v>
      </c>
      <c r="L5487" t="n">
        <v>0</v>
      </c>
      <c r="M5487" t="n">
        <v>0</v>
      </c>
      <c r="N5487" t="n">
        <v>0</v>
      </c>
      <c r="O5487" t="n">
        <v>0</v>
      </c>
      <c r="P5487" t="n">
        <v>0</v>
      </c>
      <c r="Q5487" t="n">
        <v>0</v>
      </c>
      <c r="R5487" s="2" t="inlineStr"/>
    </row>
    <row r="5488" ht="15" customHeight="1">
      <c r="A5488" t="inlineStr">
        <is>
          <t>A 29457-2021</t>
        </is>
      </c>
      <c r="B5488" s="1" t="n">
        <v>44361</v>
      </c>
      <c r="C5488" s="1" t="n">
        <v>45353</v>
      </c>
      <c r="D5488" t="inlineStr">
        <is>
          <t>VÄRMLANDS LÄN</t>
        </is>
      </c>
      <c r="E5488" t="inlineStr">
        <is>
          <t>TORSBY</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29518-2021</t>
        </is>
      </c>
      <c r="B5489" s="1" t="n">
        <v>44361</v>
      </c>
      <c r="C5489" s="1" t="n">
        <v>45353</v>
      </c>
      <c r="D5489" t="inlineStr">
        <is>
          <t>VÄRMLANDS LÄN</t>
        </is>
      </c>
      <c r="E5489" t="inlineStr">
        <is>
          <t>TORSBY</t>
        </is>
      </c>
      <c r="F5489" t="inlineStr">
        <is>
          <t>Bergvik skog väst AB</t>
        </is>
      </c>
      <c r="G5489" t="n">
        <v>16.7</v>
      </c>
      <c r="H5489" t="n">
        <v>0</v>
      </c>
      <c r="I5489" t="n">
        <v>0</v>
      </c>
      <c r="J5489" t="n">
        <v>0</v>
      </c>
      <c r="K5489" t="n">
        <v>0</v>
      </c>
      <c r="L5489" t="n">
        <v>0</v>
      </c>
      <c r="M5489" t="n">
        <v>0</v>
      </c>
      <c r="N5489" t="n">
        <v>0</v>
      </c>
      <c r="O5489" t="n">
        <v>0</v>
      </c>
      <c r="P5489" t="n">
        <v>0</v>
      </c>
      <c r="Q5489" t="n">
        <v>0</v>
      </c>
      <c r="R5489" s="2" t="inlineStr"/>
    </row>
    <row r="5490" ht="15" customHeight="1">
      <c r="A5490" t="inlineStr">
        <is>
          <t>A 29699-2021</t>
        </is>
      </c>
      <c r="B5490" s="1" t="n">
        <v>44362</v>
      </c>
      <c r="C5490" s="1" t="n">
        <v>45353</v>
      </c>
      <c r="D5490" t="inlineStr">
        <is>
          <t>VÄRMLANDS LÄN</t>
        </is>
      </c>
      <c r="E5490" t="inlineStr">
        <is>
          <t>SUNNE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29701-2021</t>
        </is>
      </c>
      <c r="B5491" s="1" t="n">
        <v>44362</v>
      </c>
      <c r="C5491" s="1" t="n">
        <v>45353</v>
      </c>
      <c r="D5491" t="inlineStr">
        <is>
          <t>VÄRMLANDS LÄN</t>
        </is>
      </c>
      <c r="E5491" t="inlineStr">
        <is>
          <t>ÅRJÄNG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29726-2021</t>
        </is>
      </c>
      <c r="B5492" s="1" t="n">
        <v>44362</v>
      </c>
      <c r="C5492" s="1" t="n">
        <v>45353</v>
      </c>
      <c r="D5492" t="inlineStr">
        <is>
          <t>VÄRMLANDS LÄN</t>
        </is>
      </c>
      <c r="E5492" t="inlineStr">
        <is>
          <t>HAGFORS</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29700-2021</t>
        </is>
      </c>
      <c r="B5493" s="1" t="n">
        <v>44362</v>
      </c>
      <c r="C5493" s="1" t="n">
        <v>45353</v>
      </c>
      <c r="D5493" t="inlineStr">
        <is>
          <t>VÄRMLANDS LÄN</t>
        </is>
      </c>
      <c r="E5493" t="inlineStr">
        <is>
          <t>ÅRJÄNG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29746-2021</t>
        </is>
      </c>
      <c r="B5494" s="1" t="n">
        <v>44362</v>
      </c>
      <c r="C5494" s="1" t="n">
        <v>45353</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30050-2021</t>
        </is>
      </c>
      <c r="B5495" s="1" t="n">
        <v>44362</v>
      </c>
      <c r="C5495" s="1" t="n">
        <v>45353</v>
      </c>
      <c r="D5495" t="inlineStr">
        <is>
          <t>VÄRMLANDS LÄN</t>
        </is>
      </c>
      <c r="E5495" t="inlineStr">
        <is>
          <t>SÄFFLE</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29738-2021</t>
        </is>
      </c>
      <c r="B5496" s="1" t="n">
        <v>44362</v>
      </c>
      <c r="C5496" s="1" t="n">
        <v>45353</v>
      </c>
      <c r="D5496" t="inlineStr">
        <is>
          <t>VÄRMLANDS LÄN</t>
        </is>
      </c>
      <c r="E5496" t="inlineStr">
        <is>
          <t>SÄFFLE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30111-2021</t>
        </is>
      </c>
      <c r="B5497" s="1" t="n">
        <v>44363</v>
      </c>
      <c r="C5497" s="1" t="n">
        <v>45353</v>
      </c>
      <c r="D5497" t="inlineStr">
        <is>
          <t>VÄRMLANDS LÄN</t>
        </is>
      </c>
      <c r="E5497" t="inlineStr">
        <is>
          <t>KARLSTAD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29980-2021</t>
        </is>
      </c>
      <c r="B5498" s="1" t="n">
        <v>44363</v>
      </c>
      <c r="C5498" s="1" t="n">
        <v>45353</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30162-2021</t>
        </is>
      </c>
      <c r="B5499" s="1" t="n">
        <v>44363</v>
      </c>
      <c r="C5499" s="1" t="n">
        <v>45353</v>
      </c>
      <c r="D5499" t="inlineStr">
        <is>
          <t>VÄRMLANDS LÄN</t>
        </is>
      </c>
      <c r="E5499" t="inlineStr">
        <is>
          <t>TORSBY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30384-2021</t>
        </is>
      </c>
      <c r="B5500" s="1" t="n">
        <v>44364</v>
      </c>
      <c r="C5500" s="1" t="n">
        <v>45353</v>
      </c>
      <c r="D5500" t="inlineStr">
        <is>
          <t>VÄRMLANDS LÄN</t>
        </is>
      </c>
      <c r="E5500" t="inlineStr">
        <is>
          <t>TORSBY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30478-2021</t>
        </is>
      </c>
      <c r="B5501" s="1" t="n">
        <v>44364</v>
      </c>
      <c r="C5501" s="1" t="n">
        <v>45353</v>
      </c>
      <c r="D5501" t="inlineStr">
        <is>
          <t>VÄRMLANDS LÄN</t>
        </is>
      </c>
      <c r="E5501" t="inlineStr">
        <is>
          <t>GRUMS</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30494-2021</t>
        </is>
      </c>
      <c r="B5502" s="1" t="n">
        <v>44364</v>
      </c>
      <c r="C5502" s="1" t="n">
        <v>45353</v>
      </c>
      <c r="D5502" t="inlineStr">
        <is>
          <t>VÄRMLANDS LÄN</t>
        </is>
      </c>
      <c r="E5502" t="inlineStr">
        <is>
          <t>HAGFORS</t>
        </is>
      </c>
      <c r="F5502" t="inlineStr">
        <is>
          <t>Kyrkan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30343-2021</t>
        </is>
      </c>
      <c r="B5503" s="1" t="n">
        <v>44364</v>
      </c>
      <c r="C5503" s="1" t="n">
        <v>45353</v>
      </c>
      <c r="D5503" t="inlineStr">
        <is>
          <t>VÄRMLANDS LÄN</t>
        </is>
      </c>
      <c r="E5503" t="inlineStr">
        <is>
          <t>SUNNE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30479-2021</t>
        </is>
      </c>
      <c r="B5504" s="1" t="n">
        <v>44364</v>
      </c>
      <c r="C5504" s="1" t="n">
        <v>45353</v>
      </c>
      <c r="D5504" t="inlineStr">
        <is>
          <t>VÄRMLANDS LÄN</t>
        </is>
      </c>
      <c r="E5504" t="inlineStr">
        <is>
          <t>ARVIKA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30376-2021</t>
        </is>
      </c>
      <c r="B5505" s="1" t="n">
        <v>44364</v>
      </c>
      <c r="C5505" s="1" t="n">
        <v>45353</v>
      </c>
      <c r="D5505" t="inlineStr">
        <is>
          <t>VÄRMLANDS LÄN</t>
        </is>
      </c>
      <c r="E5505" t="inlineStr">
        <is>
          <t>FORSHAGA</t>
        </is>
      </c>
      <c r="F5505" t="inlineStr">
        <is>
          <t>Bergvik skog väst AB</t>
        </is>
      </c>
      <c r="G5505" t="n">
        <v>17.9</v>
      </c>
      <c r="H5505" t="n">
        <v>0</v>
      </c>
      <c r="I5505" t="n">
        <v>0</v>
      </c>
      <c r="J5505" t="n">
        <v>0</v>
      </c>
      <c r="K5505" t="n">
        <v>0</v>
      </c>
      <c r="L5505" t="n">
        <v>0</v>
      </c>
      <c r="M5505" t="n">
        <v>0</v>
      </c>
      <c r="N5505" t="n">
        <v>0</v>
      </c>
      <c r="O5505" t="n">
        <v>0</v>
      </c>
      <c r="P5505" t="n">
        <v>0</v>
      </c>
      <c r="Q5505" t="n">
        <v>0</v>
      </c>
      <c r="R5505" s="2" t="inlineStr"/>
    </row>
    <row r="5506" ht="15" customHeight="1">
      <c r="A5506" t="inlineStr">
        <is>
          <t>A 30390-2021</t>
        </is>
      </c>
      <c r="B5506" s="1" t="n">
        <v>44364</v>
      </c>
      <c r="C5506" s="1" t="n">
        <v>45353</v>
      </c>
      <c r="D5506" t="inlineStr">
        <is>
          <t>VÄRMLANDS LÄN</t>
        </is>
      </c>
      <c r="E5506" t="inlineStr">
        <is>
          <t>HAGFORS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30524-2021</t>
        </is>
      </c>
      <c r="B5507" s="1" t="n">
        <v>44364</v>
      </c>
      <c r="C5507" s="1" t="n">
        <v>45353</v>
      </c>
      <c r="D5507" t="inlineStr">
        <is>
          <t>VÄRMLANDS LÄN</t>
        </is>
      </c>
      <c r="E5507" t="inlineStr">
        <is>
          <t>FILIPSTAD</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30669-2021</t>
        </is>
      </c>
      <c r="B5508" s="1" t="n">
        <v>44365</v>
      </c>
      <c r="C5508" s="1" t="n">
        <v>45353</v>
      </c>
      <c r="D5508" t="inlineStr">
        <is>
          <t>VÄRMLANDS LÄN</t>
        </is>
      </c>
      <c r="E5508" t="inlineStr">
        <is>
          <t>SUNNE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30699-2021</t>
        </is>
      </c>
      <c r="B5509" s="1" t="n">
        <v>44365</v>
      </c>
      <c r="C5509" s="1" t="n">
        <v>45353</v>
      </c>
      <c r="D5509" t="inlineStr">
        <is>
          <t>VÄRMLANDS LÄN</t>
        </is>
      </c>
      <c r="E5509" t="inlineStr">
        <is>
          <t>ÅRJÄNG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30693-2021</t>
        </is>
      </c>
      <c r="B5510" s="1" t="n">
        <v>44365</v>
      </c>
      <c r="C5510" s="1" t="n">
        <v>45353</v>
      </c>
      <c r="D5510" t="inlineStr">
        <is>
          <t>VÄRMLANDS LÄN</t>
        </is>
      </c>
      <c r="E5510" t="inlineStr">
        <is>
          <t>ÅRJÄNG</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30678-2021</t>
        </is>
      </c>
      <c r="B5511" s="1" t="n">
        <v>44365</v>
      </c>
      <c r="C5511" s="1" t="n">
        <v>45353</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30685-2021</t>
        </is>
      </c>
      <c r="B5512" s="1" t="n">
        <v>44365</v>
      </c>
      <c r="C5512" s="1" t="n">
        <v>45353</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30701-2021</t>
        </is>
      </c>
      <c r="B5513" s="1" t="n">
        <v>44365</v>
      </c>
      <c r="C5513" s="1" t="n">
        <v>45353</v>
      </c>
      <c r="D5513" t="inlineStr">
        <is>
          <t>VÄRMLANDS LÄN</t>
        </is>
      </c>
      <c r="E5513" t="inlineStr">
        <is>
          <t>KRISTINEHAMN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30733-2021</t>
        </is>
      </c>
      <c r="B5514" s="1" t="n">
        <v>44365</v>
      </c>
      <c r="C5514" s="1" t="n">
        <v>45353</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30785-2021</t>
        </is>
      </c>
      <c r="B5515" s="1" t="n">
        <v>44365</v>
      </c>
      <c r="C5515" s="1" t="n">
        <v>45353</v>
      </c>
      <c r="D5515" t="inlineStr">
        <is>
          <t>VÄRMLANDS LÄN</t>
        </is>
      </c>
      <c r="E5515" t="inlineStr">
        <is>
          <t>SUNNE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30802-2021</t>
        </is>
      </c>
      <c r="B5516" s="1" t="n">
        <v>44365</v>
      </c>
      <c r="C5516" s="1" t="n">
        <v>45353</v>
      </c>
      <c r="D5516" t="inlineStr">
        <is>
          <t>VÄRMLANDS LÄN</t>
        </is>
      </c>
      <c r="E5516" t="inlineStr">
        <is>
          <t>TORSBY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30746-2021</t>
        </is>
      </c>
      <c r="B5517" s="1" t="n">
        <v>44365</v>
      </c>
      <c r="C5517" s="1" t="n">
        <v>45353</v>
      </c>
      <c r="D5517" t="inlineStr">
        <is>
          <t>VÄRMLANDS LÄN</t>
        </is>
      </c>
      <c r="E5517" t="inlineStr">
        <is>
          <t>ARVIKA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30766-2021</t>
        </is>
      </c>
      <c r="B5518" s="1" t="n">
        <v>44365</v>
      </c>
      <c r="C5518" s="1" t="n">
        <v>45353</v>
      </c>
      <c r="D5518" t="inlineStr">
        <is>
          <t>VÄRMLANDS LÄN</t>
        </is>
      </c>
      <c r="E5518" t="inlineStr">
        <is>
          <t>SUNNE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30787-2021</t>
        </is>
      </c>
      <c r="B5519" s="1" t="n">
        <v>44365</v>
      </c>
      <c r="C5519" s="1" t="n">
        <v>45353</v>
      </c>
      <c r="D5519" t="inlineStr">
        <is>
          <t>VÄRMLANDS LÄN</t>
        </is>
      </c>
      <c r="E5519" t="inlineStr">
        <is>
          <t>KIL</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30817-2021</t>
        </is>
      </c>
      <c r="B5520" s="1" t="n">
        <v>44365</v>
      </c>
      <c r="C5520" s="1" t="n">
        <v>45353</v>
      </c>
      <c r="D5520" t="inlineStr">
        <is>
          <t>VÄRMLANDS LÄN</t>
        </is>
      </c>
      <c r="E5520" t="inlineStr">
        <is>
          <t>ÅRJÄNG</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31111-2021</t>
        </is>
      </c>
      <c r="B5521" s="1" t="n">
        <v>44365</v>
      </c>
      <c r="C5521" s="1" t="n">
        <v>45353</v>
      </c>
      <c r="D5521" t="inlineStr">
        <is>
          <t>VÄRMLANDS LÄN</t>
        </is>
      </c>
      <c r="E5521" t="inlineStr">
        <is>
          <t>ARVIKA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31189-2021</t>
        </is>
      </c>
      <c r="B5522" s="1" t="n">
        <v>44368</v>
      </c>
      <c r="C5522" s="1" t="n">
        <v>45353</v>
      </c>
      <c r="D5522" t="inlineStr">
        <is>
          <t>VÄRMLANDS LÄN</t>
        </is>
      </c>
      <c r="E5522" t="inlineStr">
        <is>
          <t>FILIPSTAD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31889-2021</t>
        </is>
      </c>
      <c r="B5523" s="1" t="n">
        <v>44368</v>
      </c>
      <c r="C5523" s="1" t="n">
        <v>45353</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31049-2021</t>
        </is>
      </c>
      <c r="B5524" s="1" t="n">
        <v>44368</v>
      </c>
      <c r="C5524" s="1" t="n">
        <v>45353</v>
      </c>
      <c r="D5524" t="inlineStr">
        <is>
          <t>VÄRMLANDS LÄN</t>
        </is>
      </c>
      <c r="E5524" t="inlineStr">
        <is>
          <t>FORSHAGA</t>
        </is>
      </c>
      <c r="F5524" t="inlineStr">
        <is>
          <t>Bergvik skog väst AB</t>
        </is>
      </c>
      <c r="G5524" t="n">
        <v>21.6</v>
      </c>
      <c r="H5524" t="n">
        <v>0</v>
      </c>
      <c r="I5524" t="n">
        <v>0</v>
      </c>
      <c r="J5524" t="n">
        <v>0</v>
      </c>
      <c r="K5524" t="n">
        <v>0</v>
      </c>
      <c r="L5524" t="n">
        <v>0</v>
      </c>
      <c r="M5524" t="n">
        <v>0</v>
      </c>
      <c r="N5524" t="n">
        <v>0</v>
      </c>
      <c r="O5524" t="n">
        <v>0</v>
      </c>
      <c r="P5524" t="n">
        <v>0</v>
      </c>
      <c r="Q5524" t="n">
        <v>0</v>
      </c>
      <c r="R5524" s="2" t="inlineStr"/>
    </row>
    <row r="5525" ht="15" customHeight="1">
      <c r="A5525" t="inlineStr">
        <is>
          <t>A 31885-2021</t>
        </is>
      </c>
      <c r="B5525" s="1" t="n">
        <v>44368</v>
      </c>
      <c r="C5525" s="1" t="n">
        <v>45353</v>
      </c>
      <c r="D5525" t="inlineStr">
        <is>
          <t>VÄRMLANDS LÄN</t>
        </is>
      </c>
      <c r="E5525" t="inlineStr">
        <is>
          <t>SÄFFLE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31576-2021</t>
        </is>
      </c>
      <c r="B5526" s="1" t="n">
        <v>44369</v>
      </c>
      <c r="C5526" s="1" t="n">
        <v>45353</v>
      </c>
      <c r="D5526" t="inlineStr">
        <is>
          <t>VÄRMLANDS LÄN</t>
        </is>
      </c>
      <c r="E5526" t="inlineStr">
        <is>
          <t>SUNNE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31494-2021</t>
        </is>
      </c>
      <c r="B5527" s="1" t="n">
        <v>44369</v>
      </c>
      <c r="C5527" s="1" t="n">
        <v>45353</v>
      </c>
      <c r="D5527" t="inlineStr">
        <is>
          <t>VÄRMLANDS LÄN</t>
        </is>
      </c>
      <c r="E5527" t="inlineStr">
        <is>
          <t>TORSBY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31594-2021</t>
        </is>
      </c>
      <c r="B5528" s="1" t="n">
        <v>44369</v>
      </c>
      <c r="C5528" s="1" t="n">
        <v>45353</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31589-2021</t>
        </is>
      </c>
      <c r="B5529" s="1" t="n">
        <v>44369</v>
      </c>
      <c r="C5529" s="1" t="n">
        <v>45353</v>
      </c>
      <c r="D5529" t="inlineStr">
        <is>
          <t>VÄRMLANDS LÄN</t>
        </is>
      </c>
      <c r="E5529" t="inlineStr">
        <is>
          <t>SUNNE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31488-2021</t>
        </is>
      </c>
      <c r="B5530" s="1" t="n">
        <v>44369</v>
      </c>
      <c r="C5530" s="1" t="n">
        <v>45353</v>
      </c>
      <c r="D5530" t="inlineStr">
        <is>
          <t>VÄRMLANDS LÄN</t>
        </is>
      </c>
      <c r="E5530" t="inlineStr">
        <is>
          <t>GRUMS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31493-2021</t>
        </is>
      </c>
      <c r="B5531" s="1" t="n">
        <v>44369</v>
      </c>
      <c r="C5531" s="1" t="n">
        <v>45353</v>
      </c>
      <c r="D5531" t="inlineStr">
        <is>
          <t>VÄRMLANDS LÄN</t>
        </is>
      </c>
      <c r="E5531" t="inlineStr">
        <is>
          <t>TORSBY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31511-2021</t>
        </is>
      </c>
      <c r="B5532" s="1" t="n">
        <v>44369</v>
      </c>
      <c r="C5532" s="1" t="n">
        <v>45353</v>
      </c>
      <c r="D5532" t="inlineStr">
        <is>
          <t>VÄRMLANDS LÄN</t>
        </is>
      </c>
      <c r="E5532" t="inlineStr">
        <is>
          <t>TORSBY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31525-2021</t>
        </is>
      </c>
      <c r="B5533" s="1" t="n">
        <v>44369</v>
      </c>
      <c r="C5533" s="1" t="n">
        <v>45353</v>
      </c>
      <c r="D5533" t="inlineStr">
        <is>
          <t>VÄRMLANDS LÄN</t>
        </is>
      </c>
      <c r="E5533" t="inlineStr">
        <is>
          <t>SUNNE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31608-2021</t>
        </is>
      </c>
      <c r="B5534" s="1" t="n">
        <v>44369</v>
      </c>
      <c r="C5534" s="1" t="n">
        <v>45353</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31599-2021</t>
        </is>
      </c>
      <c r="B5535" s="1" t="n">
        <v>44369</v>
      </c>
      <c r="C5535" s="1" t="n">
        <v>45353</v>
      </c>
      <c r="D5535" t="inlineStr">
        <is>
          <t>VÄRMLANDS LÄN</t>
        </is>
      </c>
      <c r="E5535" t="inlineStr">
        <is>
          <t>EDA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31606-2021</t>
        </is>
      </c>
      <c r="B5536" s="1" t="n">
        <v>44369</v>
      </c>
      <c r="C5536" s="1" t="n">
        <v>45353</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31615-2021</t>
        </is>
      </c>
      <c r="B5537" s="1" t="n">
        <v>44369</v>
      </c>
      <c r="C5537" s="1" t="n">
        <v>45353</v>
      </c>
      <c r="D5537" t="inlineStr">
        <is>
          <t>VÄRMLANDS LÄN</t>
        </is>
      </c>
      <c r="E5537" t="inlineStr">
        <is>
          <t>SUNNE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31644-2021</t>
        </is>
      </c>
      <c r="B5538" s="1" t="n">
        <v>44369</v>
      </c>
      <c r="C5538" s="1" t="n">
        <v>45353</v>
      </c>
      <c r="D5538" t="inlineStr">
        <is>
          <t>VÄRMLANDS LÄN</t>
        </is>
      </c>
      <c r="E5538" t="inlineStr">
        <is>
          <t>EDA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31657-2021</t>
        </is>
      </c>
      <c r="B5539" s="1" t="n">
        <v>44369</v>
      </c>
      <c r="C5539" s="1" t="n">
        <v>45353</v>
      </c>
      <c r="D5539" t="inlineStr">
        <is>
          <t>VÄRMLANDS LÄN</t>
        </is>
      </c>
      <c r="E5539" t="inlineStr">
        <is>
          <t>EDA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31601-2021</t>
        </is>
      </c>
      <c r="B5540" s="1" t="n">
        <v>44369</v>
      </c>
      <c r="C5540" s="1" t="n">
        <v>45353</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31609-2021</t>
        </is>
      </c>
      <c r="B5541" s="1" t="n">
        <v>44369</v>
      </c>
      <c r="C5541" s="1" t="n">
        <v>45353</v>
      </c>
      <c r="D5541" t="inlineStr">
        <is>
          <t>VÄRMLANDS LÄN</t>
        </is>
      </c>
      <c r="E5541" t="inlineStr">
        <is>
          <t>SUNNE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31603-2021</t>
        </is>
      </c>
      <c r="B5542" s="1" t="n">
        <v>44369</v>
      </c>
      <c r="C5542" s="1" t="n">
        <v>45353</v>
      </c>
      <c r="D5542" t="inlineStr">
        <is>
          <t>VÄRMLANDS LÄN</t>
        </is>
      </c>
      <c r="E5542" t="inlineStr">
        <is>
          <t>SUNNE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31621-2021</t>
        </is>
      </c>
      <c r="B5543" s="1" t="n">
        <v>44369</v>
      </c>
      <c r="C5543" s="1" t="n">
        <v>45353</v>
      </c>
      <c r="D5543" t="inlineStr">
        <is>
          <t>VÄRMLANDS LÄN</t>
        </is>
      </c>
      <c r="E5543" t="inlineStr">
        <is>
          <t>SUNNE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32951-2021</t>
        </is>
      </c>
      <c r="B5544" s="1" t="n">
        <v>44369</v>
      </c>
      <c r="C5544" s="1" t="n">
        <v>45353</v>
      </c>
      <c r="D5544" t="inlineStr">
        <is>
          <t>VÄRMLANDS LÄN</t>
        </is>
      </c>
      <c r="E5544" t="inlineStr">
        <is>
          <t>SUNNE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31870-2021</t>
        </is>
      </c>
      <c r="B5545" s="1" t="n">
        <v>44370</v>
      </c>
      <c r="C5545" s="1" t="n">
        <v>45353</v>
      </c>
      <c r="D5545" t="inlineStr">
        <is>
          <t>VÄRMLANDS LÄN</t>
        </is>
      </c>
      <c r="E5545" t="inlineStr">
        <is>
          <t>ARVIKA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31929-2021</t>
        </is>
      </c>
      <c r="B5546" s="1" t="n">
        <v>44370</v>
      </c>
      <c r="C5546" s="1" t="n">
        <v>45353</v>
      </c>
      <c r="D5546" t="inlineStr">
        <is>
          <t>VÄRMLANDS LÄN</t>
        </is>
      </c>
      <c r="E5546" t="inlineStr">
        <is>
          <t>ARVIKA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31894-2021</t>
        </is>
      </c>
      <c r="B5547" s="1" t="n">
        <v>44370</v>
      </c>
      <c r="C5547" s="1" t="n">
        <v>45353</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31937-2021</t>
        </is>
      </c>
      <c r="B5548" s="1" t="n">
        <v>44370</v>
      </c>
      <c r="C5548" s="1" t="n">
        <v>45353</v>
      </c>
      <c r="D5548" t="inlineStr">
        <is>
          <t>VÄRMLANDS LÄN</t>
        </is>
      </c>
      <c r="E5548" t="inlineStr">
        <is>
          <t>HAGFORS</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31911-2021</t>
        </is>
      </c>
      <c r="B5549" s="1" t="n">
        <v>44370</v>
      </c>
      <c r="C5549" s="1" t="n">
        <v>45353</v>
      </c>
      <c r="D5549" t="inlineStr">
        <is>
          <t>VÄRMLANDS LÄN</t>
        </is>
      </c>
      <c r="E5549" t="inlineStr">
        <is>
          <t>TORSBY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31996-2021</t>
        </is>
      </c>
      <c r="B5550" s="1" t="n">
        <v>44370</v>
      </c>
      <c r="C5550" s="1" t="n">
        <v>45353</v>
      </c>
      <c r="D5550" t="inlineStr">
        <is>
          <t>VÄRMLANDS LÄN</t>
        </is>
      </c>
      <c r="E5550" t="inlineStr">
        <is>
          <t>ARVIKA</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32256-2021</t>
        </is>
      </c>
      <c r="B5551" s="1" t="n">
        <v>44370</v>
      </c>
      <c r="C5551" s="1" t="n">
        <v>45353</v>
      </c>
      <c r="D5551" t="inlineStr">
        <is>
          <t>VÄRMLANDS LÄN</t>
        </is>
      </c>
      <c r="E5551" t="inlineStr">
        <is>
          <t>SÄFFLE</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32350-2021</t>
        </is>
      </c>
      <c r="B5552" s="1" t="n">
        <v>44371</v>
      </c>
      <c r="C5552" s="1" t="n">
        <v>45353</v>
      </c>
      <c r="D5552" t="inlineStr">
        <is>
          <t>VÄRMLANDS LÄN</t>
        </is>
      </c>
      <c r="E5552" t="inlineStr">
        <is>
          <t>KARLSTAD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32336-2021</t>
        </is>
      </c>
      <c r="B5553" s="1" t="n">
        <v>44371</v>
      </c>
      <c r="C5553" s="1" t="n">
        <v>45353</v>
      </c>
      <c r="D5553" t="inlineStr">
        <is>
          <t>VÄRMLANDS LÄN</t>
        </is>
      </c>
      <c r="E5553" t="inlineStr">
        <is>
          <t>ARVIKA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32348-2021</t>
        </is>
      </c>
      <c r="B5554" s="1" t="n">
        <v>44371</v>
      </c>
      <c r="C5554" s="1" t="n">
        <v>45353</v>
      </c>
      <c r="D5554" t="inlineStr">
        <is>
          <t>VÄRMLANDS LÄN</t>
        </is>
      </c>
      <c r="E5554" t="inlineStr">
        <is>
          <t>SUNNE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32368-2021</t>
        </is>
      </c>
      <c r="B5555" s="1" t="n">
        <v>44371</v>
      </c>
      <c r="C5555" s="1" t="n">
        <v>45353</v>
      </c>
      <c r="D5555" t="inlineStr">
        <is>
          <t>VÄRMLANDS LÄN</t>
        </is>
      </c>
      <c r="E5555" t="inlineStr">
        <is>
          <t>KIL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32696-2021</t>
        </is>
      </c>
      <c r="B5556" s="1" t="n">
        <v>44375</v>
      </c>
      <c r="C5556" s="1" t="n">
        <v>45353</v>
      </c>
      <c r="D5556" t="inlineStr">
        <is>
          <t>VÄRMLANDS LÄN</t>
        </is>
      </c>
      <c r="E5556" t="inlineStr">
        <is>
          <t>TORSBY</t>
        </is>
      </c>
      <c r="F5556" t="inlineStr">
        <is>
          <t>Bergvik skog väst AB</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32761-2021</t>
        </is>
      </c>
      <c r="B5557" s="1" t="n">
        <v>44375</v>
      </c>
      <c r="C5557" s="1" t="n">
        <v>45353</v>
      </c>
      <c r="D5557" t="inlineStr">
        <is>
          <t>VÄRMLANDS LÄN</t>
        </is>
      </c>
      <c r="E5557" t="inlineStr">
        <is>
          <t>ÅRJÄNG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36418-2021</t>
        </is>
      </c>
      <c r="B5558" s="1" t="n">
        <v>44375</v>
      </c>
      <c r="C5558" s="1" t="n">
        <v>45353</v>
      </c>
      <c r="D5558" t="inlineStr">
        <is>
          <t>VÄRMLANDS LÄN</t>
        </is>
      </c>
      <c r="E5558" t="inlineStr">
        <is>
          <t>EDA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32821-2021</t>
        </is>
      </c>
      <c r="B5559" s="1" t="n">
        <v>44375</v>
      </c>
      <c r="C5559" s="1" t="n">
        <v>45353</v>
      </c>
      <c r="D5559" t="inlineStr">
        <is>
          <t>VÄRMLANDS LÄN</t>
        </is>
      </c>
      <c r="E5559" t="inlineStr">
        <is>
          <t>TORSBY</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32747-2021</t>
        </is>
      </c>
      <c r="B5560" s="1" t="n">
        <v>44375</v>
      </c>
      <c r="C5560" s="1" t="n">
        <v>45353</v>
      </c>
      <c r="D5560" t="inlineStr">
        <is>
          <t>VÄRMLANDS LÄN</t>
        </is>
      </c>
      <c r="E5560" t="inlineStr">
        <is>
          <t>TORSBY</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32851-2021</t>
        </is>
      </c>
      <c r="B5561" s="1" t="n">
        <v>44375</v>
      </c>
      <c r="C5561" s="1" t="n">
        <v>45353</v>
      </c>
      <c r="D5561" t="inlineStr">
        <is>
          <t>VÄRMLANDS LÄN</t>
        </is>
      </c>
      <c r="E5561" t="inlineStr">
        <is>
          <t>EDA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33003-2021</t>
        </is>
      </c>
      <c r="B5562" s="1" t="n">
        <v>44375</v>
      </c>
      <c r="C5562" s="1" t="n">
        <v>45353</v>
      </c>
      <c r="D5562" t="inlineStr">
        <is>
          <t>VÄRMLANDS LÄN</t>
        </is>
      </c>
      <c r="E5562" t="inlineStr">
        <is>
          <t>FORSHAGA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32973-2021</t>
        </is>
      </c>
      <c r="B5563" s="1" t="n">
        <v>44376</v>
      </c>
      <c r="C5563" s="1" t="n">
        <v>45353</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33107-2021</t>
        </is>
      </c>
      <c r="B5564" s="1" t="n">
        <v>44376</v>
      </c>
      <c r="C5564" s="1" t="n">
        <v>45353</v>
      </c>
      <c r="D5564" t="inlineStr">
        <is>
          <t>VÄRMLANDS LÄN</t>
        </is>
      </c>
      <c r="E5564" t="inlineStr">
        <is>
          <t>HAGFORS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32943-2021</t>
        </is>
      </c>
      <c r="B5565" s="1" t="n">
        <v>44376</v>
      </c>
      <c r="C5565" s="1" t="n">
        <v>45353</v>
      </c>
      <c r="D5565" t="inlineStr">
        <is>
          <t>VÄRMLANDS LÄN</t>
        </is>
      </c>
      <c r="E5565" t="inlineStr">
        <is>
          <t>KARLSTAD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33005-2021</t>
        </is>
      </c>
      <c r="B5566" s="1" t="n">
        <v>44376</v>
      </c>
      <c r="C5566" s="1" t="n">
        <v>45353</v>
      </c>
      <c r="D5566" t="inlineStr">
        <is>
          <t>VÄRMLANDS LÄN</t>
        </is>
      </c>
      <c r="E5566" t="inlineStr">
        <is>
          <t>SUNNE</t>
        </is>
      </c>
      <c r="G5566" t="n">
        <v>13.5</v>
      </c>
      <c r="H5566" t="n">
        <v>0</v>
      </c>
      <c r="I5566" t="n">
        <v>0</v>
      </c>
      <c r="J5566" t="n">
        <v>0</v>
      </c>
      <c r="K5566" t="n">
        <v>0</v>
      </c>
      <c r="L5566" t="n">
        <v>0</v>
      </c>
      <c r="M5566" t="n">
        <v>0</v>
      </c>
      <c r="N5566" t="n">
        <v>0</v>
      </c>
      <c r="O5566" t="n">
        <v>0</v>
      </c>
      <c r="P5566" t="n">
        <v>0</v>
      </c>
      <c r="Q5566" t="n">
        <v>0</v>
      </c>
      <c r="R5566" s="2" t="inlineStr"/>
    </row>
    <row r="5567" ht="15" customHeight="1">
      <c r="A5567" t="inlineStr">
        <is>
          <t>A 32940-2021</t>
        </is>
      </c>
      <c r="B5567" s="1" t="n">
        <v>44376</v>
      </c>
      <c r="C5567" s="1" t="n">
        <v>45353</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33025-2021</t>
        </is>
      </c>
      <c r="B5568" s="1" t="n">
        <v>44376</v>
      </c>
      <c r="C5568" s="1" t="n">
        <v>45353</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33146-2021</t>
        </is>
      </c>
      <c r="B5569" s="1" t="n">
        <v>44376</v>
      </c>
      <c r="C5569" s="1" t="n">
        <v>45353</v>
      </c>
      <c r="D5569" t="inlineStr">
        <is>
          <t>VÄRMLANDS LÄN</t>
        </is>
      </c>
      <c r="E5569" t="inlineStr">
        <is>
          <t>TORSBY</t>
        </is>
      </c>
      <c r="F5569" t="inlineStr">
        <is>
          <t>Bergvik skog väst AB</t>
        </is>
      </c>
      <c r="G5569" t="n">
        <v>44.5</v>
      </c>
      <c r="H5569" t="n">
        <v>0</v>
      </c>
      <c r="I5569" t="n">
        <v>0</v>
      </c>
      <c r="J5569" t="n">
        <v>0</v>
      </c>
      <c r="K5569" t="n">
        <v>0</v>
      </c>
      <c r="L5569" t="n">
        <v>0</v>
      </c>
      <c r="M5569" t="n">
        <v>0</v>
      </c>
      <c r="N5569" t="n">
        <v>0</v>
      </c>
      <c r="O5569" t="n">
        <v>0</v>
      </c>
      <c r="P5569" t="n">
        <v>0</v>
      </c>
      <c r="Q5569" t="n">
        <v>0</v>
      </c>
      <c r="R5569" s="2" t="inlineStr"/>
    </row>
    <row r="5570" ht="15" customHeight="1">
      <c r="A5570" t="inlineStr">
        <is>
          <t>A 33182-2021</t>
        </is>
      </c>
      <c r="B5570" s="1" t="n">
        <v>44376</v>
      </c>
      <c r="C5570" s="1" t="n">
        <v>45353</v>
      </c>
      <c r="D5570" t="inlineStr">
        <is>
          <t>VÄRMLANDS LÄN</t>
        </is>
      </c>
      <c r="E5570" t="inlineStr">
        <is>
          <t>TORSBY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33145-2021</t>
        </is>
      </c>
      <c r="B5571" s="1" t="n">
        <v>44376</v>
      </c>
      <c r="C5571" s="1" t="n">
        <v>45353</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33149-2021</t>
        </is>
      </c>
      <c r="B5572" s="1" t="n">
        <v>44376</v>
      </c>
      <c r="C5572" s="1" t="n">
        <v>45353</v>
      </c>
      <c r="D5572" t="inlineStr">
        <is>
          <t>VÄRMLANDS LÄN</t>
        </is>
      </c>
      <c r="E5572" t="inlineStr">
        <is>
          <t>TORSBY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33153-2021</t>
        </is>
      </c>
      <c r="B5573" s="1" t="n">
        <v>44376</v>
      </c>
      <c r="C5573" s="1" t="n">
        <v>45353</v>
      </c>
      <c r="D5573" t="inlineStr">
        <is>
          <t>VÄRMLANDS LÄN</t>
        </is>
      </c>
      <c r="E5573" t="inlineStr">
        <is>
          <t>EDA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33183-2021</t>
        </is>
      </c>
      <c r="B5574" s="1" t="n">
        <v>44376</v>
      </c>
      <c r="C5574" s="1" t="n">
        <v>45353</v>
      </c>
      <c r="D5574" t="inlineStr">
        <is>
          <t>VÄRMLANDS LÄN</t>
        </is>
      </c>
      <c r="E5574" t="inlineStr">
        <is>
          <t>TORSBY</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33254-2021</t>
        </is>
      </c>
      <c r="B5575" s="1" t="n">
        <v>44377</v>
      </c>
      <c r="C5575" s="1" t="n">
        <v>45353</v>
      </c>
      <c r="D5575" t="inlineStr">
        <is>
          <t>VÄRMLANDS LÄN</t>
        </is>
      </c>
      <c r="E5575" t="inlineStr">
        <is>
          <t>EDA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33304-2021</t>
        </is>
      </c>
      <c r="B5576" s="1" t="n">
        <v>44377</v>
      </c>
      <c r="C5576" s="1" t="n">
        <v>45353</v>
      </c>
      <c r="D5576" t="inlineStr">
        <is>
          <t>VÄRMLANDS LÄN</t>
        </is>
      </c>
      <c r="E5576" t="inlineStr">
        <is>
          <t>ÅRJÄNG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33247-2021</t>
        </is>
      </c>
      <c r="B5577" s="1" t="n">
        <v>44377</v>
      </c>
      <c r="C5577" s="1" t="n">
        <v>45353</v>
      </c>
      <c r="D5577" t="inlineStr">
        <is>
          <t>VÄRMLANDS LÄN</t>
        </is>
      </c>
      <c r="E5577" t="inlineStr">
        <is>
          <t>EDA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33291-2021</t>
        </is>
      </c>
      <c r="B5578" s="1" t="n">
        <v>44377</v>
      </c>
      <c r="C5578" s="1" t="n">
        <v>45353</v>
      </c>
      <c r="D5578" t="inlineStr">
        <is>
          <t>VÄRMLANDS LÄN</t>
        </is>
      </c>
      <c r="E5578" t="inlineStr">
        <is>
          <t>KRISTINEHAMN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33239-2021</t>
        </is>
      </c>
      <c r="B5579" s="1" t="n">
        <v>44377</v>
      </c>
      <c r="C5579" s="1" t="n">
        <v>45353</v>
      </c>
      <c r="D5579" t="inlineStr">
        <is>
          <t>VÄRMLANDS LÄN</t>
        </is>
      </c>
      <c r="E5579" t="inlineStr">
        <is>
          <t>EDA</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33461-2021</t>
        </is>
      </c>
      <c r="B5580" s="1" t="n">
        <v>44377</v>
      </c>
      <c r="C5580" s="1" t="n">
        <v>45353</v>
      </c>
      <c r="D5580" t="inlineStr">
        <is>
          <t>VÄRMLANDS LÄN</t>
        </is>
      </c>
      <c r="E5580" t="inlineStr">
        <is>
          <t>STORFORS</t>
        </is>
      </c>
      <c r="F5580" t="inlineStr">
        <is>
          <t>Kyrkan</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33517-2021</t>
        </is>
      </c>
      <c r="B5581" s="1" t="n">
        <v>44377</v>
      </c>
      <c r="C5581" s="1" t="n">
        <v>45353</v>
      </c>
      <c r="D5581" t="inlineStr">
        <is>
          <t>VÄRMLANDS LÄN</t>
        </is>
      </c>
      <c r="E5581" t="inlineStr">
        <is>
          <t>TORSBY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33515-2021</t>
        </is>
      </c>
      <c r="B5582" s="1" t="n">
        <v>44377</v>
      </c>
      <c r="C5582" s="1" t="n">
        <v>45353</v>
      </c>
      <c r="D5582" t="inlineStr">
        <is>
          <t>VÄRMLANDS LÄN</t>
        </is>
      </c>
      <c r="E5582" t="inlineStr">
        <is>
          <t>TORSBY</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33438-2021</t>
        </is>
      </c>
      <c r="B5583" s="1" t="n">
        <v>44377</v>
      </c>
      <c r="C5583" s="1" t="n">
        <v>45353</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33705-2021</t>
        </is>
      </c>
      <c r="B5584" s="1" t="n">
        <v>44378</v>
      </c>
      <c r="C5584" s="1" t="n">
        <v>45353</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33717-2021</t>
        </is>
      </c>
      <c r="B5585" s="1" t="n">
        <v>44378</v>
      </c>
      <c r="C5585" s="1" t="n">
        <v>45353</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33725-2021</t>
        </is>
      </c>
      <c r="B5586" s="1" t="n">
        <v>44378</v>
      </c>
      <c r="C5586" s="1" t="n">
        <v>45353</v>
      </c>
      <c r="D5586" t="inlineStr">
        <is>
          <t>VÄRMLANDS LÄN</t>
        </is>
      </c>
      <c r="E5586" t="inlineStr">
        <is>
          <t>SÄFFLE</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33738-2021</t>
        </is>
      </c>
      <c r="B5587" s="1" t="n">
        <v>44378</v>
      </c>
      <c r="C5587" s="1" t="n">
        <v>45353</v>
      </c>
      <c r="D5587" t="inlineStr">
        <is>
          <t>VÄRMLANDS LÄN</t>
        </is>
      </c>
      <c r="E5587" t="inlineStr">
        <is>
          <t>ÅRJÄNG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33758-2021</t>
        </is>
      </c>
      <c r="B5588" s="1" t="n">
        <v>44378</v>
      </c>
      <c r="C5588" s="1" t="n">
        <v>45353</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33593-2021</t>
        </is>
      </c>
      <c r="B5589" s="1" t="n">
        <v>44378</v>
      </c>
      <c r="C5589" s="1" t="n">
        <v>45353</v>
      </c>
      <c r="D5589" t="inlineStr">
        <is>
          <t>VÄRMLANDS LÄN</t>
        </is>
      </c>
      <c r="E5589" t="inlineStr">
        <is>
          <t>KARLSTAD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33671-2021</t>
        </is>
      </c>
      <c r="B5590" s="1" t="n">
        <v>44378</v>
      </c>
      <c r="C5590" s="1" t="n">
        <v>45353</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33728-2021</t>
        </is>
      </c>
      <c r="B5591" s="1" t="n">
        <v>44378</v>
      </c>
      <c r="C5591" s="1" t="n">
        <v>45353</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33839-2021</t>
        </is>
      </c>
      <c r="B5592" s="1" t="n">
        <v>44378</v>
      </c>
      <c r="C5592" s="1" t="n">
        <v>45353</v>
      </c>
      <c r="D5592" t="inlineStr">
        <is>
          <t>VÄRMLANDS LÄN</t>
        </is>
      </c>
      <c r="E5592" t="inlineStr">
        <is>
          <t>TORSBY</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33853-2021</t>
        </is>
      </c>
      <c r="B5593" s="1" t="n">
        <v>44378</v>
      </c>
      <c r="C5593" s="1" t="n">
        <v>45353</v>
      </c>
      <c r="D5593" t="inlineStr">
        <is>
          <t>VÄRMLANDS LÄN</t>
        </is>
      </c>
      <c r="E5593" t="inlineStr">
        <is>
          <t>TORSBY</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33937-2021</t>
        </is>
      </c>
      <c r="B5594" s="1" t="n">
        <v>44378</v>
      </c>
      <c r="C5594" s="1" t="n">
        <v>45353</v>
      </c>
      <c r="D5594" t="inlineStr">
        <is>
          <t>VÄRMLANDS LÄN</t>
        </is>
      </c>
      <c r="E5594" t="inlineStr">
        <is>
          <t>TORSBY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34006-2021</t>
        </is>
      </c>
      <c r="B5595" s="1" t="n">
        <v>44378</v>
      </c>
      <c r="C5595" s="1" t="n">
        <v>45353</v>
      </c>
      <c r="D5595" t="inlineStr">
        <is>
          <t>VÄRMLANDS LÄN</t>
        </is>
      </c>
      <c r="E5595" t="inlineStr">
        <is>
          <t>SÄFFLE</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34032-2021</t>
        </is>
      </c>
      <c r="B5596" s="1" t="n">
        <v>44378</v>
      </c>
      <c r="C5596" s="1" t="n">
        <v>45353</v>
      </c>
      <c r="D5596" t="inlineStr">
        <is>
          <t>VÄRMLANDS LÄN</t>
        </is>
      </c>
      <c r="E5596" t="inlineStr">
        <is>
          <t>ÅRJÄNG</t>
        </is>
      </c>
      <c r="F5596" t="inlineStr">
        <is>
          <t>Övriga Aktiebolag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34063-2021</t>
        </is>
      </c>
      <c r="B5597" s="1" t="n">
        <v>44379</v>
      </c>
      <c r="C5597" s="1" t="n">
        <v>45353</v>
      </c>
      <c r="D5597" t="inlineStr">
        <is>
          <t>VÄRMLANDS LÄN</t>
        </is>
      </c>
      <c r="E5597" t="inlineStr">
        <is>
          <t>HAGFORS</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34261-2021</t>
        </is>
      </c>
      <c r="B5598" s="1" t="n">
        <v>44379</v>
      </c>
      <c r="C5598" s="1" t="n">
        <v>45353</v>
      </c>
      <c r="D5598" t="inlineStr">
        <is>
          <t>VÄRMLANDS LÄN</t>
        </is>
      </c>
      <c r="E5598" t="inlineStr">
        <is>
          <t>KARLSTAD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34359-2021</t>
        </is>
      </c>
      <c r="B5599" s="1" t="n">
        <v>44379</v>
      </c>
      <c r="C5599" s="1" t="n">
        <v>45353</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34290-2021</t>
        </is>
      </c>
      <c r="B5600" s="1" t="n">
        <v>44379</v>
      </c>
      <c r="C5600" s="1" t="n">
        <v>45353</v>
      </c>
      <c r="D5600" t="inlineStr">
        <is>
          <t>VÄRMLANDS LÄN</t>
        </is>
      </c>
      <c r="E5600" t="inlineStr">
        <is>
          <t>KARLSTAD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34275-2021</t>
        </is>
      </c>
      <c r="B5601" s="1" t="n">
        <v>44379</v>
      </c>
      <c r="C5601" s="1" t="n">
        <v>45353</v>
      </c>
      <c r="D5601" t="inlineStr">
        <is>
          <t>VÄRMLANDS LÄN</t>
        </is>
      </c>
      <c r="E5601" t="inlineStr">
        <is>
          <t>KARLSTAD</t>
        </is>
      </c>
      <c r="F5601" t="inlineStr">
        <is>
          <t>Kyrkan</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34299-2021</t>
        </is>
      </c>
      <c r="B5602" s="1" t="n">
        <v>44379</v>
      </c>
      <c r="C5602" s="1" t="n">
        <v>45353</v>
      </c>
      <c r="D5602" t="inlineStr">
        <is>
          <t>VÄRMLANDS LÄN</t>
        </is>
      </c>
      <c r="E5602" t="inlineStr">
        <is>
          <t>KRISTINEHAMN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34430-2021</t>
        </is>
      </c>
      <c r="B5603" s="1" t="n">
        <v>44380</v>
      </c>
      <c r="C5603" s="1" t="n">
        <v>45353</v>
      </c>
      <c r="D5603" t="inlineStr">
        <is>
          <t>VÄRMLANDS LÄN</t>
        </is>
      </c>
      <c r="E5603" t="inlineStr">
        <is>
          <t>KRISTINEHAMN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34425-2021</t>
        </is>
      </c>
      <c r="B5604" s="1" t="n">
        <v>44380</v>
      </c>
      <c r="C5604" s="1" t="n">
        <v>45353</v>
      </c>
      <c r="D5604" t="inlineStr">
        <is>
          <t>VÄRMLANDS LÄN</t>
        </is>
      </c>
      <c r="E5604" t="inlineStr">
        <is>
          <t>ÅRJÄNG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34466-2021</t>
        </is>
      </c>
      <c r="B5605" s="1" t="n">
        <v>44381</v>
      </c>
      <c r="C5605" s="1" t="n">
        <v>45353</v>
      </c>
      <c r="D5605" t="inlineStr">
        <is>
          <t>VÄRMLANDS LÄN</t>
        </is>
      </c>
      <c r="E5605" t="inlineStr">
        <is>
          <t>ÅRJÄNG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34607-2021</t>
        </is>
      </c>
      <c r="B5606" s="1" t="n">
        <v>44382</v>
      </c>
      <c r="C5606" s="1" t="n">
        <v>45353</v>
      </c>
      <c r="D5606" t="inlineStr">
        <is>
          <t>VÄRMLANDS LÄN</t>
        </is>
      </c>
      <c r="E5606" t="inlineStr">
        <is>
          <t>KIL</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34618-2021</t>
        </is>
      </c>
      <c r="B5607" s="1" t="n">
        <v>44382</v>
      </c>
      <c r="C5607" s="1" t="n">
        <v>45353</v>
      </c>
      <c r="D5607" t="inlineStr">
        <is>
          <t>VÄRMLANDS LÄN</t>
        </is>
      </c>
      <c r="E5607" t="inlineStr">
        <is>
          <t>KARLSTAD</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34634-2021</t>
        </is>
      </c>
      <c r="B5608" s="1" t="n">
        <v>44382</v>
      </c>
      <c r="C5608" s="1" t="n">
        <v>45353</v>
      </c>
      <c r="D5608" t="inlineStr">
        <is>
          <t>VÄRMLANDS LÄN</t>
        </is>
      </c>
      <c r="E5608" t="inlineStr">
        <is>
          <t>STORFORS</t>
        </is>
      </c>
      <c r="F5608" t="inlineStr">
        <is>
          <t>Kyrkan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34616-2021</t>
        </is>
      </c>
      <c r="B5609" s="1" t="n">
        <v>44382</v>
      </c>
      <c r="C5609" s="1" t="n">
        <v>45353</v>
      </c>
      <c r="D5609" t="inlineStr">
        <is>
          <t>VÄRMLANDS LÄN</t>
        </is>
      </c>
      <c r="E5609" t="inlineStr">
        <is>
          <t>EDA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34538-2021</t>
        </is>
      </c>
      <c r="B5610" s="1" t="n">
        <v>44382</v>
      </c>
      <c r="C5610" s="1" t="n">
        <v>45353</v>
      </c>
      <c r="D5610" t="inlineStr">
        <is>
          <t>VÄRMLANDS LÄN</t>
        </is>
      </c>
      <c r="E5610" t="inlineStr">
        <is>
          <t>MUNKFORS</t>
        </is>
      </c>
      <c r="F5610" t="inlineStr">
        <is>
          <t>Kommuner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34626-2021</t>
        </is>
      </c>
      <c r="B5611" s="1" t="n">
        <v>44382</v>
      </c>
      <c r="C5611" s="1" t="n">
        <v>45353</v>
      </c>
      <c r="D5611" t="inlineStr">
        <is>
          <t>VÄRMLANDS LÄN</t>
        </is>
      </c>
      <c r="E5611" t="inlineStr">
        <is>
          <t>TORSBY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34635-2021</t>
        </is>
      </c>
      <c r="B5612" s="1" t="n">
        <v>44382</v>
      </c>
      <c r="C5612" s="1" t="n">
        <v>45353</v>
      </c>
      <c r="D5612" t="inlineStr">
        <is>
          <t>VÄRMLANDS LÄN</t>
        </is>
      </c>
      <c r="E5612" t="inlineStr">
        <is>
          <t>STORFORS</t>
        </is>
      </c>
      <c r="F5612" t="inlineStr">
        <is>
          <t>Kyrkan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34694-2021</t>
        </is>
      </c>
      <c r="B5613" s="1" t="n">
        <v>44382</v>
      </c>
      <c r="C5613" s="1" t="n">
        <v>45353</v>
      </c>
      <c r="D5613" t="inlineStr">
        <is>
          <t>VÄRMLANDS LÄN</t>
        </is>
      </c>
      <c r="E5613" t="inlineStr">
        <is>
          <t>TORSBY</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34737-2021</t>
        </is>
      </c>
      <c r="B5614" s="1" t="n">
        <v>44382</v>
      </c>
      <c r="C5614" s="1" t="n">
        <v>45353</v>
      </c>
      <c r="D5614" t="inlineStr">
        <is>
          <t>VÄRMLANDS LÄN</t>
        </is>
      </c>
      <c r="E5614" t="inlineStr">
        <is>
          <t>FORSHAGA</t>
        </is>
      </c>
      <c r="F5614" t="inlineStr">
        <is>
          <t>Bergvik skog väst AB</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34913-2021</t>
        </is>
      </c>
      <c r="B5615" s="1" t="n">
        <v>44383</v>
      </c>
      <c r="C5615" s="1" t="n">
        <v>45353</v>
      </c>
      <c r="D5615" t="inlineStr">
        <is>
          <t>VÄRMLANDS LÄN</t>
        </is>
      </c>
      <c r="E5615" t="inlineStr">
        <is>
          <t>STORFORS</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34885-2021</t>
        </is>
      </c>
      <c r="B5616" s="1" t="n">
        <v>44383</v>
      </c>
      <c r="C5616" s="1" t="n">
        <v>45353</v>
      </c>
      <c r="D5616" t="inlineStr">
        <is>
          <t>VÄRMLANDS LÄN</t>
        </is>
      </c>
      <c r="E5616" t="inlineStr">
        <is>
          <t>TORSBY</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34803-2021</t>
        </is>
      </c>
      <c r="B5617" s="1" t="n">
        <v>44383</v>
      </c>
      <c r="C5617" s="1" t="n">
        <v>45353</v>
      </c>
      <c r="D5617" t="inlineStr">
        <is>
          <t>VÄRMLANDS LÄN</t>
        </is>
      </c>
      <c r="E5617" t="inlineStr">
        <is>
          <t>ÅRJÄNG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34937-2021</t>
        </is>
      </c>
      <c r="B5618" s="1" t="n">
        <v>44383</v>
      </c>
      <c r="C5618" s="1" t="n">
        <v>45353</v>
      </c>
      <c r="D5618" t="inlineStr">
        <is>
          <t>VÄRMLANDS LÄN</t>
        </is>
      </c>
      <c r="E5618" t="inlineStr">
        <is>
          <t>GRUMS</t>
        </is>
      </c>
      <c r="F5618" t="inlineStr">
        <is>
          <t>Bergvik skog väst AB</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34994-2021</t>
        </is>
      </c>
      <c r="B5619" s="1" t="n">
        <v>44383</v>
      </c>
      <c r="C5619" s="1" t="n">
        <v>45353</v>
      </c>
      <c r="D5619" t="inlineStr">
        <is>
          <t>VÄRMLANDS LÄN</t>
        </is>
      </c>
      <c r="E5619" t="inlineStr">
        <is>
          <t>EDA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35288-2021</t>
        </is>
      </c>
      <c r="B5620" s="1" t="n">
        <v>44383</v>
      </c>
      <c r="C5620" s="1" t="n">
        <v>45353</v>
      </c>
      <c r="D5620" t="inlineStr">
        <is>
          <t>VÄRMLANDS LÄN</t>
        </is>
      </c>
      <c r="E5620" t="inlineStr">
        <is>
          <t>ARVIKA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35015-2021</t>
        </is>
      </c>
      <c r="B5621" s="1" t="n">
        <v>44383</v>
      </c>
      <c r="C5621" s="1" t="n">
        <v>45353</v>
      </c>
      <c r="D5621" t="inlineStr">
        <is>
          <t>VÄRMLANDS LÄN</t>
        </is>
      </c>
      <c r="E5621" t="inlineStr">
        <is>
          <t>ÅRJÄNG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35157-2021</t>
        </is>
      </c>
      <c r="B5622" s="1" t="n">
        <v>44383</v>
      </c>
      <c r="C5622" s="1" t="n">
        <v>45353</v>
      </c>
      <c r="D5622" t="inlineStr">
        <is>
          <t>VÄRMLANDS LÄN</t>
        </is>
      </c>
      <c r="E5622" t="inlineStr">
        <is>
          <t>ÅRJÄNG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35294-2021</t>
        </is>
      </c>
      <c r="B5623" s="1" t="n">
        <v>44383</v>
      </c>
      <c r="C5623" s="1" t="n">
        <v>45353</v>
      </c>
      <c r="D5623" t="inlineStr">
        <is>
          <t>VÄRMLANDS LÄN</t>
        </is>
      </c>
      <c r="E5623" t="inlineStr">
        <is>
          <t>ARVIKA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35292-2021</t>
        </is>
      </c>
      <c r="B5624" s="1" t="n">
        <v>44383</v>
      </c>
      <c r="C5624" s="1" t="n">
        <v>45353</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35221-2021</t>
        </is>
      </c>
      <c r="B5625" s="1" t="n">
        <v>44384</v>
      </c>
      <c r="C5625" s="1" t="n">
        <v>45353</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35248-2021</t>
        </is>
      </c>
      <c r="B5626" s="1" t="n">
        <v>44384</v>
      </c>
      <c r="C5626" s="1" t="n">
        <v>45353</v>
      </c>
      <c r="D5626" t="inlineStr">
        <is>
          <t>VÄRMLANDS LÄN</t>
        </is>
      </c>
      <c r="E5626" t="inlineStr">
        <is>
          <t>KARLSTAD</t>
        </is>
      </c>
      <c r="F5626" t="inlineStr">
        <is>
          <t>Bergvik skog väst AB</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35104-2021</t>
        </is>
      </c>
      <c r="B5627" s="1" t="n">
        <v>44384</v>
      </c>
      <c r="C5627" s="1" t="n">
        <v>45353</v>
      </c>
      <c r="D5627" t="inlineStr">
        <is>
          <t>VÄRMLANDS LÄN</t>
        </is>
      </c>
      <c r="E5627" t="inlineStr">
        <is>
          <t>ÅRJÄNG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35265-2021</t>
        </is>
      </c>
      <c r="B5628" s="1" t="n">
        <v>44384</v>
      </c>
      <c r="C5628" s="1" t="n">
        <v>45353</v>
      </c>
      <c r="D5628" t="inlineStr">
        <is>
          <t>VÄRMLANDS LÄN</t>
        </is>
      </c>
      <c r="E5628" t="inlineStr">
        <is>
          <t>ÅRJÄNG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35406-2021</t>
        </is>
      </c>
      <c r="B5629" s="1" t="n">
        <v>44385</v>
      </c>
      <c r="C5629" s="1" t="n">
        <v>45353</v>
      </c>
      <c r="D5629" t="inlineStr">
        <is>
          <t>VÄRMLANDS LÄN</t>
        </is>
      </c>
      <c r="E5629" t="inlineStr">
        <is>
          <t>GRUMS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35410-2021</t>
        </is>
      </c>
      <c r="B5630" s="1" t="n">
        <v>44385</v>
      </c>
      <c r="C5630" s="1" t="n">
        <v>45353</v>
      </c>
      <c r="D5630" t="inlineStr">
        <is>
          <t>VÄRMLANDS LÄN</t>
        </is>
      </c>
      <c r="E5630" t="inlineStr">
        <is>
          <t>SÄFFLE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35488-2021</t>
        </is>
      </c>
      <c r="B5631" s="1" t="n">
        <v>44385</v>
      </c>
      <c r="C5631" s="1" t="n">
        <v>45353</v>
      </c>
      <c r="D5631" t="inlineStr">
        <is>
          <t>VÄRMLANDS LÄN</t>
        </is>
      </c>
      <c r="E5631" t="inlineStr">
        <is>
          <t>EDA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35543-2021</t>
        </is>
      </c>
      <c r="B5632" s="1" t="n">
        <v>44385</v>
      </c>
      <c r="C5632" s="1" t="n">
        <v>45353</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35422-2021</t>
        </is>
      </c>
      <c r="B5633" s="1" t="n">
        <v>44385</v>
      </c>
      <c r="C5633" s="1" t="n">
        <v>45353</v>
      </c>
      <c r="D5633" t="inlineStr">
        <is>
          <t>VÄRMLANDS LÄN</t>
        </is>
      </c>
      <c r="E5633" t="inlineStr">
        <is>
          <t>SÄFFLE</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35412-2021</t>
        </is>
      </c>
      <c r="B5634" s="1" t="n">
        <v>44385</v>
      </c>
      <c r="C5634" s="1" t="n">
        <v>45353</v>
      </c>
      <c r="D5634" t="inlineStr">
        <is>
          <t>VÄRMLANDS LÄN</t>
        </is>
      </c>
      <c r="E5634" t="inlineStr">
        <is>
          <t>KARLSTAD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35823-2021</t>
        </is>
      </c>
      <c r="B5635" s="1" t="n">
        <v>44385</v>
      </c>
      <c r="C5635" s="1" t="n">
        <v>45353</v>
      </c>
      <c r="D5635" t="inlineStr">
        <is>
          <t>VÄRMLANDS LÄN</t>
        </is>
      </c>
      <c r="E5635" t="inlineStr">
        <is>
          <t>SÄFFLE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35517-2021</t>
        </is>
      </c>
      <c r="B5636" s="1" t="n">
        <v>44385</v>
      </c>
      <c r="C5636" s="1" t="n">
        <v>45353</v>
      </c>
      <c r="D5636" t="inlineStr">
        <is>
          <t>VÄRMLANDS LÄN</t>
        </is>
      </c>
      <c r="E5636" t="inlineStr">
        <is>
          <t>ARVIKA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35972-2021</t>
        </is>
      </c>
      <c r="B5637" s="1" t="n">
        <v>44385</v>
      </c>
      <c r="C5637" s="1" t="n">
        <v>45353</v>
      </c>
      <c r="D5637" t="inlineStr">
        <is>
          <t>VÄRMLANDS LÄN</t>
        </is>
      </c>
      <c r="E5637" t="inlineStr">
        <is>
          <t>SÄFFLE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35407-2021</t>
        </is>
      </c>
      <c r="B5638" s="1" t="n">
        <v>44385</v>
      </c>
      <c r="C5638" s="1" t="n">
        <v>45353</v>
      </c>
      <c r="D5638" t="inlineStr">
        <is>
          <t>VÄRMLANDS LÄN</t>
        </is>
      </c>
      <c r="E5638" t="inlineStr">
        <is>
          <t>SÄFFLE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35737-2021</t>
        </is>
      </c>
      <c r="B5639" s="1" t="n">
        <v>44386</v>
      </c>
      <c r="C5639" s="1" t="n">
        <v>45353</v>
      </c>
      <c r="D5639" t="inlineStr">
        <is>
          <t>VÄRMLANDS LÄN</t>
        </is>
      </c>
      <c r="E5639" t="inlineStr">
        <is>
          <t>FILIPSTAD</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35586-2021</t>
        </is>
      </c>
      <c r="B5640" s="1" t="n">
        <v>44386</v>
      </c>
      <c r="C5640" s="1" t="n">
        <v>45353</v>
      </c>
      <c r="D5640" t="inlineStr">
        <is>
          <t>VÄRMLANDS LÄN</t>
        </is>
      </c>
      <c r="E5640" t="inlineStr">
        <is>
          <t>TORSBY</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35613-2021</t>
        </is>
      </c>
      <c r="B5641" s="1" t="n">
        <v>44386</v>
      </c>
      <c r="C5641" s="1" t="n">
        <v>45353</v>
      </c>
      <c r="D5641" t="inlineStr">
        <is>
          <t>VÄRMLANDS LÄN</t>
        </is>
      </c>
      <c r="E5641" t="inlineStr">
        <is>
          <t>EDA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35697-2021</t>
        </is>
      </c>
      <c r="B5642" s="1" t="n">
        <v>44386</v>
      </c>
      <c r="C5642" s="1" t="n">
        <v>45353</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35817-2021</t>
        </is>
      </c>
      <c r="B5643" s="1" t="n">
        <v>44386</v>
      </c>
      <c r="C5643" s="1" t="n">
        <v>45353</v>
      </c>
      <c r="D5643" t="inlineStr">
        <is>
          <t>VÄRMLANDS LÄN</t>
        </is>
      </c>
      <c r="E5643" t="inlineStr">
        <is>
          <t>KIL</t>
        </is>
      </c>
      <c r="F5643" t="inlineStr">
        <is>
          <t>Kyrkan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36042-2021</t>
        </is>
      </c>
      <c r="B5644" s="1" t="n">
        <v>44386</v>
      </c>
      <c r="C5644" s="1" t="n">
        <v>45353</v>
      </c>
      <c r="D5644" t="inlineStr">
        <is>
          <t>VÄRMLANDS LÄN</t>
        </is>
      </c>
      <c r="E5644" t="inlineStr">
        <is>
          <t>FILIPSTAD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35901-2021</t>
        </is>
      </c>
      <c r="B5645" s="1" t="n">
        <v>44387</v>
      </c>
      <c r="C5645" s="1" t="n">
        <v>45353</v>
      </c>
      <c r="D5645" t="inlineStr">
        <is>
          <t>VÄRMLANDS LÄN</t>
        </is>
      </c>
      <c r="E5645" t="inlineStr">
        <is>
          <t>SUNNE</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35907-2021</t>
        </is>
      </c>
      <c r="B5646" s="1" t="n">
        <v>44387</v>
      </c>
      <c r="C5646" s="1" t="n">
        <v>45353</v>
      </c>
      <c r="D5646" t="inlineStr">
        <is>
          <t>VÄRMLANDS LÄN</t>
        </is>
      </c>
      <c r="E5646" t="inlineStr">
        <is>
          <t>TORSBY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35899-2021</t>
        </is>
      </c>
      <c r="B5647" s="1" t="n">
        <v>44387</v>
      </c>
      <c r="C5647" s="1" t="n">
        <v>45353</v>
      </c>
      <c r="D5647" t="inlineStr">
        <is>
          <t>VÄRMLANDS LÄN</t>
        </is>
      </c>
      <c r="E5647" t="inlineStr">
        <is>
          <t>SUNNE</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35909-2021</t>
        </is>
      </c>
      <c r="B5648" s="1" t="n">
        <v>44387</v>
      </c>
      <c r="C5648" s="1" t="n">
        <v>45353</v>
      </c>
      <c r="D5648" t="inlineStr">
        <is>
          <t>VÄRMLANDS LÄN</t>
        </is>
      </c>
      <c r="E5648" t="inlineStr">
        <is>
          <t>TORSBY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35902-2021</t>
        </is>
      </c>
      <c r="B5649" s="1" t="n">
        <v>44387</v>
      </c>
      <c r="C5649" s="1" t="n">
        <v>45353</v>
      </c>
      <c r="D5649" t="inlineStr">
        <is>
          <t>VÄRMLANDS LÄN</t>
        </is>
      </c>
      <c r="E5649" t="inlineStr">
        <is>
          <t>SUNNE</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35947-2021</t>
        </is>
      </c>
      <c r="B5650" s="1" t="n">
        <v>44388</v>
      </c>
      <c r="C5650" s="1" t="n">
        <v>45353</v>
      </c>
      <c r="D5650" t="inlineStr">
        <is>
          <t>VÄRMLANDS LÄN</t>
        </is>
      </c>
      <c r="E5650" t="inlineStr">
        <is>
          <t>KRISTINEHAMN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35978-2021</t>
        </is>
      </c>
      <c r="B5651" s="1" t="n">
        <v>44389</v>
      </c>
      <c r="C5651" s="1" t="n">
        <v>45353</v>
      </c>
      <c r="D5651" t="inlineStr">
        <is>
          <t>VÄRMLANDS LÄN</t>
        </is>
      </c>
      <c r="E5651" t="inlineStr">
        <is>
          <t>KRISTINEHAMN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35973-2021</t>
        </is>
      </c>
      <c r="B5652" s="1" t="n">
        <v>44389</v>
      </c>
      <c r="C5652" s="1" t="n">
        <v>45353</v>
      </c>
      <c r="D5652" t="inlineStr">
        <is>
          <t>VÄRMLANDS LÄN</t>
        </is>
      </c>
      <c r="E5652" t="inlineStr">
        <is>
          <t>KRISTINEHAMN</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36093-2021</t>
        </is>
      </c>
      <c r="B5653" s="1" t="n">
        <v>44389</v>
      </c>
      <c r="C5653" s="1" t="n">
        <v>45353</v>
      </c>
      <c r="D5653" t="inlineStr">
        <is>
          <t>VÄRMLANDS LÄN</t>
        </is>
      </c>
      <c r="E5653" t="inlineStr">
        <is>
          <t>SUNNE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36119-2021</t>
        </is>
      </c>
      <c r="B5654" s="1" t="n">
        <v>44389</v>
      </c>
      <c r="C5654" s="1" t="n">
        <v>45353</v>
      </c>
      <c r="D5654" t="inlineStr">
        <is>
          <t>VÄRMLANDS LÄN</t>
        </is>
      </c>
      <c r="E5654" t="inlineStr">
        <is>
          <t>SÄFFLE</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36189-2021</t>
        </is>
      </c>
      <c r="B5655" s="1" t="n">
        <v>44389</v>
      </c>
      <c r="C5655" s="1" t="n">
        <v>45353</v>
      </c>
      <c r="D5655" t="inlineStr">
        <is>
          <t>VÄRMLANDS LÄN</t>
        </is>
      </c>
      <c r="E5655" t="inlineStr">
        <is>
          <t>TORSBY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36088-2021</t>
        </is>
      </c>
      <c r="B5656" s="1" t="n">
        <v>44389</v>
      </c>
      <c r="C5656" s="1" t="n">
        <v>45353</v>
      </c>
      <c r="D5656" t="inlineStr">
        <is>
          <t>VÄRMLANDS LÄN</t>
        </is>
      </c>
      <c r="E5656" t="inlineStr">
        <is>
          <t>SÄFFLE</t>
        </is>
      </c>
      <c r="G5656" t="n">
        <v>15.6</v>
      </c>
      <c r="H5656" t="n">
        <v>0</v>
      </c>
      <c r="I5656" t="n">
        <v>0</v>
      </c>
      <c r="J5656" t="n">
        <v>0</v>
      </c>
      <c r="K5656" t="n">
        <v>0</v>
      </c>
      <c r="L5656" t="n">
        <v>0</v>
      </c>
      <c r="M5656" t="n">
        <v>0</v>
      </c>
      <c r="N5656" t="n">
        <v>0</v>
      </c>
      <c r="O5656" t="n">
        <v>0</v>
      </c>
      <c r="P5656" t="n">
        <v>0</v>
      </c>
      <c r="Q5656" t="n">
        <v>0</v>
      </c>
      <c r="R5656" s="2" t="inlineStr"/>
    </row>
    <row r="5657" ht="15" customHeight="1">
      <c r="A5657" t="inlineStr">
        <is>
          <t>A 36095-2021</t>
        </is>
      </c>
      <c r="B5657" s="1" t="n">
        <v>44389</v>
      </c>
      <c r="C5657" s="1" t="n">
        <v>45353</v>
      </c>
      <c r="D5657" t="inlineStr">
        <is>
          <t>VÄRMLANDS LÄN</t>
        </is>
      </c>
      <c r="E5657" t="inlineStr">
        <is>
          <t>SÄFFLE</t>
        </is>
      </c>
      <c r="G5657" t="n">
        <v>13.5</v>
      </c>
      <c r="H5657" t="n">
        <v>0</v>
      </c>
      <c r="I5657" t="n">
        <v>0</v>
      </c>
      <c r="J5657" t="n">
        <v>0</v>
      </c>
      <c r="K5657" t="n">
        <v>0</v>
      </c>
      <c r="L5657" t="n">
        <v>0</v>
      </c>
      <c r="M5657" t="n">
        <v>0</v>
      </c>
      <c r="N5657" t="n">
        <v>0</v>
      </c>
      <c r="O5657" t="n">
        <v>0</v>
      </c>
      <c r="P5657" t="n">
        <v>0</v>
      </c>
      <c r="Q5657" t="n">
        <v>0</v>
      </c>
      <c r="R5657" s="2" t="inlineStr"/>
    </row>
    <row r="5658" ht="15" customHeight="1">
      <c r="A5658" t="inlineStr">
        <is>
          <t>A 36116-2021</t>
        </is>
      </c>
      <c r="B5658" s="1" t="n">
        <v>44389</v>
      </c>
      <c r="C5658" s="1" t="n">
        <v>45353</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35975-2021</t>
        </is>
      </c>
      <c r="B5659" s="1" t="n">
        <v>44389</v>
      </c>
      <c r="C5659" s="1" t="n">
        <v>45353</v>
      </c>
      <c r="D5659" t="inlineStr">
        <is>
          <t>VÄRMLANDS LÄN</t>
        </is>
      </c>
      <c r="E5659" t="inlineStr">
        <is>
          <t>KRISTINEHAMN</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36087-2021</t>
        </is>
      </c>
      <c r="B5660" s="1" t="n">
        <v>44389</v>
      </c>
      <c r="C5660" s="1" t="n">
        <v>45353</v>
      </c>
      <c r="D5660" t="inlineStr">
        <is>
          <t>VÄRMLANDS LÄN</t>
        </is>
      </c>
      <c r="E5660" t="inlineStr">
        <is>
          <t>ÅRJÄNG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36094-2021</t>
        </is>
      </c>
      <c r="B5661" s="1" t="n">
        <v>44389</v>
      </c>
      <c r="C5661" s="1" t="n">
        <v>45353</v>
      </c>
      <c r="D5661" t="inlineStr">
        <is>
          <t>VÄRMLANDS LÄN</t>
        </is>
      </c>
      <c r="E5661" t="inlineStr">
        <is>
          <t>SÄFFLE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36099-2021</t>
        </is>
      </c>
      <c r="B5662" s="1" t="n">
        <v>44389</v>
      </c>
      <c r="C5662" s="1" t="n">
        <v>45353</v>
      </c>
      <c r="D5662" t="inlineStr">
        <is>
          <t>VÄRMLANDS LÄN</t>
        </is>
      </c>
      <c r="E5662" t="inlineStr">
        <is>
          <t>SUNNE</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36186-2021</t>
        </is>
      </c>
      <c r="B5663" s="1" t="n">
        <v>44389</v>
      </c>
      <c r="C5663" s="1" t="n">
        <v>45353</v>
      </c>
      <c r="D5663" t="inlineStr">
        <is>
          <t>VÄRMLANDS LÄN</t>
        </is>
      </c>
      <c r="E5663" t="inlineStr">
        <is>
          <t>TORSBY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36187-2021</t>
        </is>
      </c>
      <c r="B5664" s="1" t="n">
        <v>44389</v>
      </c>
      <c r="C5664" s="1" t="n">
        <v>45353</v>
      </c>
      <c r="D5664" t="inlineStr">
        <is>
          <t>VÄRMLANDS LÄN</t>
        </is>
      </c>
      <c r="E5664" t="inlineStr">
        <is>
          <t>SÄFFLE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36191-2021</t>
        </is>
      </c>
      <c r="B5665" s="1" t="n">
        <v>44389</v>
      </c>
      <c r="C5665" s="1" t="n">
        <v>45353</v>
      </c>
      <c r="D5665" t="inlineStr">
        <is>
          <t>VÄRMLANDS LÄN</t>
        </is>
      </c>
      <c r="E5665" t="inlineStr">
        <is>
          <t>SÄFFLE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36327-2021</t>
        </is>
      </c>
      <c r="B5666" s="1" t="n">
        <v>44390</v>
      </c>
      <c r="C5666" s="1" t="n">
        <v>45353</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36379-2021</t>
        </is>
      </c>
      <c r="B5667" s="1" t="n">
        <v>44390</v>
      </c>
      <c r="C5667" s="1" t="n">
        <v>45353</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36499-2021</t>
        </is>
      </c>
      <c r="B5668" s="1" t="n">
        <v>44391</v>
      </c>
      <c r="C5668" s="1" t="n">
        <v>45353</v>
      </c>
      <c r="D5668" t="inlineStr">
        <is>
          <t>VÄRMLANDS LÄN</t>
        </is>
      </c>
      <c r="E5668" t="inlineStr">
        <is>
          <t>ÅRJÄNG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36520-2021</t>
        </is>
      </c>
      <c r="B5669" s="1" t="n">
        <v>44391</v>
      </c>
      <c r="C5669" s="1" t="n">
        <v>45353</v>
      </c>
      <c r="D5669" t="inlineStr">
        <is>
          <t>VÄRMLANDS LÄN</t>
        </is>
      </c>
      <c r="E5669" t="inlineStr">
        <is>
          <t>ARVIKA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36506-2021</t>
        </is>
      </c>
      <c r="B5670" s="1" t="n">
        <v>44391</v>
      </c>
      <c r="C5670" s="1" t="n">
        <v>45353</v>
      </c>
      <c r="D5670" t="inlineStr">
        <is>
          <t>VÄRMLANDS LÄN</t>
        </is>
      </c>
      <c r="E5670" t="inlineStr">
        <is>
          <t>GRUMS</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36589-2021</t>
        </is>
      </c>
      <c r="B5671" s="1" t="n">
        <v>44391</v>
      </c>
      <c r="C5671" s="1" t="n">
        <v>45353</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36642-2021</t>
        </is>
      </c>
      <c r="B5672" s="1" t="n">
        <v>44392</v>
      </c>
      <c r="C5672" s="1" t="n">
        <v>45353</v>
      </c>
      <c r="D5672" t="inlineStr">
        <is>
          <t>VÄRMLANDS LÄN</t>
        </is>
      </c>
      <c r="E5672" t="inlineStr">
        <is>
          <t>ÅRJÄNG</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36738-2021</t>
        </is>
      </c>
      <c r="B5673" s="1" t="n">
        <v>44392</v>
      </c>
      <c r="C5673" s="1" t="n">
        <v>45353</v>
      </c>
      <c r="D5673" t="inlineStr">
        <is>
          <t>VÄRMLANDS LÄN</t>
        </is>
      </c>
      <c r="E5673" t="inlineStr">
        <is>
          <t>SUNNE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36641-2021</t>
        </is>
      </c>
      <c r="B5674" s="1" t="n">
        <v>44392</v>
      </c>
      <c r="C5674" s="1" t="n">
        <v>45353</v>
      </c>
      <c r="D5674" t="inlineStr">
        <is>
          <t>VÄRMLANDS LÄN</t>
        </is>
      </c>
      <c r="E5674" t="inlineStr">
        <is>
          <t>ÅRJÄNG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36700-2021</t>
        </is>
      </c>
      <c r="B5675" s="1" t="n">
        <v>44392</v>
      </c>
      <c r="C5675" s="1" t="n">
        <v>45353</v>
      </c>
      <c r="D5675" t="inlineStr">
        <is>
          <t>VÄRMLANDS LÄN</t>
        </is>
      </c>
      <c r="E5675" t="inlineStr">
        <is>
          <t>TORSBY</t>
        </is>
      </c>
      <c r="F5675" t="inlineStr">
        <is>
          <t>Bergvik skog väst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36766-2021</t>
        </is>
      </c>
      <c r="B5676" s="1" t="n">
        <v>44392</v>
      </c>
      <c r="C5676" s="1" t="n">
        <v>45353</v>
      </c>
      <c r="D5676" t="inlineStr">
        <is>
          <t>VÄRMLANDS LÄN</t>
        </is>
      </c>
      <c r="E5676" t="inlineStr">
        <is>
          <t>SÄFFLE</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36774-2021</t>
        </is>
      </c>
      <c r="B5677" s="1" t="n">
        <v>44392</v>
      </c>
      <c r="C5677" s="1" t="n">
        <v>45353</v>
      </c>
      <c r="D5677" t="inlineStr">
        <is>
          <t>VÄRMLANDS LÄN</t>
        </is>
      </c>
      <c r="E5677" t="inlineStr">
        <is>
          <t>SÄFFLE</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36788-2021</t>
        </is>
      </c>
      <c r="B5678" s="1" t="n">
        <v>44392</v>
      </c>
      <c r="C5678" s="1" t="n">
        <v>45353</v>
      </c>
      <c r="D5678" t="inlineStr">
        <is>
          <t>VÄRMLANDS LÄN</t>
        </is>
      </c>
      <c r="E5678" t="inlineStr">
        <is>
          <t>SÄFFLE</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36794-2021</t>
        </is>
      </c>
      <c r="B5679" s="1" t="n">
        <v>44392</v>
      </c>
      <c r="C5679" s="1" t="n">
        <v>45353</v>
      </c>
      <c r="D5679" t="inlineStr">
        <is>
          <t>VÄRMLANDS LÄN</t>
        </is>
      </c>
      <c r="E5679" t="inlineStr">
        <is>
          <t>SÄFFLE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36643-2021</t>
        </is>
      </c>
      <c r="B5680" s="1" t="n">
        <v>44392</v>
      </c>
      <c r="C5680" s="1" t="n">
        <v>45353</v>
      </c>
      <c r="D5680" t="inlineStr">
        <is>
          <t>VÄRMLANDS LÄN</t>
        </is>
      </c>
      <c r="E5680" t="inlineStr">
        <is>
          <t>ARVIKA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36686-2021</t>
        </is>
      </c>
      <c r="B5681" s="1" t="n">
        <v>44392</v>
      </c>
      <c r="C5681" s="1" t="n">
        <v>45353</v>
      </c>
      <c r="D5681" t="inlineStr">
        <is>
          <t>VÄRMLANDS LÄN</t>
        </is>
      </c>
      <c r="E5681" t="inlineStr">
        <is>
          <t>SUNNE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36763-2021</t>
        </is>
      </c>
      <c r="B5682" s="1" t="n">
        <v>44392</v>
      </c>
      <c r="C5682" s="1" t="n">
        <v>45353</v>
      </c>
      <c r="D5682" t="inlineStr">
        <is>
          <t>VÄRMLANDS LÄN</t>
        </is>
      </c>
      <c r="E5682" t="inlineStr">
        <is>
          <t>SÄFFLE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36781-2021</t>
        </is>
      </c>
      <c r="B5683" s="1" t="n">
        <v>44392</v>
      </c>
      <c r="C5683" s="1" t="n">
        <v>45353</v>
      </c>
      <c r="D5683" t="inlineStr">
        <is>
          <t>VÄRMLANDS LÄN</t>
        </is>
      </c>
      <c r="E5683" t="inlineStr">
        <is>
          <t>SÄFFLE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36792-2021</t>
        </is>
      </c>
      <c r="B5684" s="1" t="n">
        <v>44392</v>
      </c>
      <c r="C5684" s="1" t="n">
        <v>45353</v>
      </c>
      <c r="D5684" t="inlineStr">
        <is>
          <t>VÄRMLANDS LÄN</t>
        </is>
      </c>
      <c r="E5684" t="inlineStr">
        <is>
          <t>SÄFFLE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36759-2021</t>
        </is>
      </c>
      <c r="B5685" s="1" t="n">
        <v>44392</v>
      </c>
      <c r="C5685" s="1" t="n">
        <v>45353</v>
      </c>
      <c r="D5685" t="inlineStr">
        <is>
          <t>VÄRMLANDS LÄN</t>
        </is>
      </c>
      <c r="E5685" t="inlineStr">
        <is>
          <t>SÄFFLE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36767-2021</t>
        </is>
      </c>
      <c r="B5686" s="1" t="n">
        <v>44392</v>
      </c>
      <c r="C5686" s="1" t="n">
        <v>45353</v>
      </c>
      <c r="D5686" t="inlineStr">
        <is>
          <t>VÄRMLANDS LÄN</t>
        </is>
      </c>
      <c r="E5686" t="inlineStr">
        <is>
          <t>SÄFFLE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36784-2021</t>
        </is>
      </c>
      <c r="B5687" s="1" t="n">
        <v>44392</v>
      </c>
      <c r="C5687" s="1" t="n">
        <v>45353</v>
      </c>
      <c r="D5687" t="inlineStr">
        <is>
          <t>VÄRMLANDS LÄN</t>
        </is>
      </c>
      <c r="E5687" t="inlineStr">
        <is>
          <t>SÄFFLE</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36800-2021</t>
        </is>
      </c>
      <c r="B5688" s="1" t="n">
        <v>44392</v>
      </c>
      <c r="C5688" s="1" t="n">
        <v>45353</v>
      </c>
      <c r="D5688" t="inlineStr">
        <is>
          <t>VÄRMLANDS LÄN</t>
        </is>
      </c>
      <c r="E5688" t="inlineStr">
        <is>
          <t>SUNNE</t>
        </is>
      </c>
      <c r="F5688" t="inlineStr">
        <is>
          <t>Övriga Aktiebolag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36876-2021</t>
        </is>
      </c>
      <c r="B5689" s="1" t="n">
        <v>44393</v>
      </c>
      <c r="C5689" s="1" t="n">
        <v>45353</v>
      </c>
      <c r="D5689" t="inlineStr">
        <is>
          <t>VÄRMLANDS LÄN</t>
        </is>
      </c>
      <c r="E5689" t="inlineStr">
        <is>
          <t>FORSHAGA</t>
        </is>
      </c>
      <c r="F5689" t="inlineStr">
        <is>
          <t>Bergvik skog väst AB</t>
        </is>
      </c>
      <c r="G5689" t="n">
        <v>19.4</v>
      </c>
      <c r="H5689" t="n">
        <v>0</v>
      </c>
      <c r="I5689" t="n">
        <v>0</v>
      </c>
      <c r="J5689" t="n">
        <v>0</v>
      </c>
      <c r="K5689" t="n">
        <v>0</v>
      </c>
      <c r="L5689" t="n">
        <v>0</v>
      </c>
      <c r="M5689" t="n">
        <v>0</v>
      </c>
      <c r="N5689" t="n">
        <v>0</v>
      </c>
      <c r="O5689" t="n">
        <v>0</v>
      </c>
      <c r="P5689" t="n">
        <v>0</v>
      </c>
      <c r="Q5689" t="n">
        <v>0</v>
      </c>
      <c r="R5689" s="2" t="inlineStr"/>
    </row>
    <row r="5690" ht="15" customHeight="1">
      <c r="A5690" t="inlineStr">
        <is>
          <t>A 36874-2021</t>
        </is>
      </c>
      <c r="B5690" s="1" t="n">
        <v>44393</v>
      </c>
      <c r="C5690" s="1" t="n">
        <v>45353</v>
      </c>
      <c r="D5690" t="inlineStr">
        <is>
          <t>VÄRMLANDS LÄN</t>
        </is>
      </c>
      <c r="E5690" t="inlineStr">
        <is>
          <t>SUNNE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36961-2021</t>
        </is>
      </c>
      <c r="B5691" s="1" t="n">
        <v>44393</v>
      </c>
      <c r="C5691" s="1" t="n">
        <v>45353</v>
      </c>
      <c r="D5691" t="inlineStr">
        <is>
          <t>VÄRMLANDS LÄN</t>
        </is>
      </c>
      <c r="E5691" t="inlineStr">
        <is>
          <t>KRISTINEHAMN</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36886-2021</t>
        </is>
      </c>
      <c r="B5692" s="1" t="n">
        <v>44393</v>
      </c>
      <c r="C5692" s="1" t="n">
        <v>45353</v>
      </c>
      <c r="D5692" t="inlineStr">
        <is>
          <t>VÄRMLANDS LÄN</t>
        </is>
      </c>
      <c r="E5692" t="inlineStr">
        <is>
          <t>HAGFORS</t>
        </is>
      </c>
      <c r="F5692" t="inlineStr">
        <is>
          <t>Bergvik skog väst AB</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36948-2021</t>
        </is>
      </c>
      <c r="B5693" s="1" t="n">
        <v>44393</v>
      </c>
      <c r="C5693" s="1" t="n">
        <v>45353</v>
      </c>
      <c r="D5693" t="inlineStr">
        <is>
          <t>VÄRMLANDS LÄN</t>
        </is>
      </c>
      <c r="E5693" t="inlineStr">
        <is>
          <t>ÅRJÄNG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36960-2021</t>
        </is>
      </c>
      <c r="B5694" s="1" t="n">
        <v>44393</v>
      </c>
      <c r="C5694" s="1" t="n">
        <v>45353</v>
      </c>
      <c r="D5694" t="inlineStr">
        <is>
          <t>VÄRMLANDS LÄN</t>
        </is>
      </c>
      <c r="E5694" t="inlineStr">
        <is>
          <t>KRISTINEHAMN</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36955-2021</t>
        </is>
      </c>
      <c r="B5695" s="1" t="n">
        <v>44393</v>
      </c>
      <c r="C5695" s="1" t="n">
        <v>45353</v>
      </c>
      <c r="D5695" t="inlineStr">
        <is>
          <t>VÄRMLANDS LÄN</t>
        </is>
      </c>
      <c r="E5695" t="inlineStr">
        <is>
          <t>KRISTINEHAMN</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37008-2021</t>
        </is>
      </c>
      <c r="B5696" s="1" t="n">
        <v>44393</v>
      </c>
      <c r="C5696" s="1" t="n">
        <v>45353</v>
      </c>
      <c r="D5696" t="inlineStr">
        <is>
          <t>VÄRMLANDS LÄN</t>
        </is>
      </c>
      <c r="E5696" t="inlineStr">
        <is>
          <t>FILIPSTAD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37074-2021</t>
        </is>
      </c>
      <c r="B5697" s="1" t="n">
        <v>44394</v>
      </c>
      <c r="C5697" s="1" t="n">
        <v>45353</v>
      </c>
      <c r="D5697" t="inlineStr">
        <is>
          <t>VÄRMLANDS LÄN</t>
        </is>
      </c>
      <c r="E5697" t="inlineStr">
        <is>
          <t>TORSBY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37075-2021</t>
        </is>
      </c>
      <c r="B5698" s="1" t="n">
        <v>44394</v>
      </c>
      <c r="C5698" s="1" t="n">
        <v>45353</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37084-2021</t>
        </is>
      </c>
      <c r="B5699" s="1" t="n">
        <v>44395</v>
      </c>
      <c r="C5699" s="1" t="n">
        <v>45353</v>
      </c>
      <c r="D5699" t="inlineStr">
        <is>
          <t>VÄRMLANDS LÄN</t>
        </is>
      </c>
      <c r="E5699" t="inlineStr">
        <is>
          <t>SUNNE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37083-2021</t>
        </is>
      </c>
      <c r="B5700" s="1" t="n">
        <v>44395</v>
      </c>
      <c r="C5700" s="1" t="n">
        <v>45353</v>
      </c>
      <c r="D5700" t="inlineStr">
        <is>
          <t>VÄRMLANDS LÄN</t>
        </is>
      </c>
      <c r="E5700" t="inlineStr">
        <is>
          <t>SUNNE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37169-2021</t>
        </is>
      </c>
      <c r="B5701" s="1" t="n">
        <v>44395</v>
      </c>
      <c r="C5701" s="1" t="n">
        <v>45353</v>
      </c>
      <c r="D5701" t="inlineStr">
        <is>
          <t>VÄRMLANDS LÄN</t>
        </is>
      </c>
      <c r="E5701" t="inlineStr">
        <is>
          <t>KIL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37125-2021</t>
        </is>
      </c>
      <c r="B5702" s="1" t="n">
        <v>44396</v>
      </c>
      <c r="C5702" s="1" t="n">
        <v>45353</v>
      </c>
      <c r="D5702" t="inlineStr">
        <is>
          <t>VÄRMLANDS LÄN</t>
        </is>
      </c>
      <c r="E5702" t="inlineStr">
        <is>
          <t>KARLSTAD</t>
        </is>
      </c>
      <c r="F5702" t="inlineStr">
        <is>
          <t>Naturvårdsverket</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37136-2021</t>
        </is>
      </c>
      <c r="B5703" s="1" t="n">
        <v>44396</v>
      </c>
      <c r="C5703" s="1" t="n">
        <v>45353</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37127-2021</t>
        </is>
      </c>
      <c r="B5704" s="1" t="n">
        <v>44396</v>
      </c>
      <c r="C5704" s="1" t="n">
        <v>45353</v>
      </c>
      <c r="D5704" t="inlineStr">
        <is>
          <t>VÄRMLANDS LÄN</t>
        </is>
      </c>
      <c r="E5704" t="inlineStr">
        <is>
          <t>SUNNE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37182-2021</t>
        </is>
      </c>
      <c r="B5705" s="1" t="n">
        <v>44396</v>
      </c>
      <c r="C5705" s="1" t="n">
        <v>45353</v>
      </c>
      <c r="D5705" t="inlineStr">
        <is>
          <t>VÄRMLANDS LÄN</t>
        </is>
      </c>
      <c r="E5705" t="inlineStr">
        <is>
          <t>SUNNE</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37212-2021</t>
        </is>
      </c>
      <c r="B5706" s="1" t="n">
        <v>44396</v>
      </c>
      <c r="C5706" s="1" t="n">
        <v>45353</v>
      </c>
      <c r="D5706" t="inlineStr">
        <is>
          <t>VÄRMLANDS LÄN</t>
        </is>
      </c>
      <c r="E5706" t="inlineStr">
        <is>
          <t>SUNNE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37181-2021</t>
        </is>
      </c>
      <c r="B5707" s="1" t="n">
        <v>44396</v>
      </c>
      <c r="C5707" s="1" t="n">
        <v>45353</v>
      </c>
      <c r="D5707" t="inlineStr">
        <is>
          <t>VÄRMLANDS LÄN</t>
        </is>
      </c>
      <c r="E5707" t="inlineStr">
        <is>
          <t>SUNNE</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37191-2021</t>
        </is>
      </c>
      <c r="B5708" s="1" t="n">
        <v>44396</v>
      </c>
      <c r="C5708" s="1" t="n">
        <v>45353</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37213-2021</t>
        </is>
      </c>
      <c r="B5709" s="1" t="n">
        <v>44396</v>
      </c>
      <c r="C5709" s="1" t="n">
        <v>45353</v>
      </c>
      <c r="D5709" t="inlineStr">
        <is>
          <t>VÄRMLANDS LÄN</t>
        </is>
      </c>
      <c r="E5709" t="inlineStr">
        <is>
          <t>SUNNE</t>
        </is>
      </c>
      <c r="F5709" t="inlineStr">
        <is>
          <t>Övriga Aktiebolag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37218-2021</t>
        </is>
      </c>
      <c r="B5710" s="1" t="n">
        <v>44396</v>
      </c>
      <c r="C5710" s="1" t="n">
        <v>45353</v>
      </c>
      <c r="D5710" t="inlineStr">
        <is>
          <t>VÄRMLANDS LÄN</t>
        </is>
      </c>
      <c r="E5710" t="inlineStr">
        <is>
          <t>SUNNE</t>
        </is>
      </c>
      <c r="F5710" t="inlineStr">
        <is>
          <t>Övriga Aktiebolag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37225-2021</t>
        </is>
      </c>
      <c r="B5711" s="1" t="n">
        <v>44396</v>
      </c>
      <c r="C5711" s="1" t="n">
        <v>45353</v>
      </c>
      <c r="D5711" t="inlineStr">
        <is>
          <t>VÄRMLANDS LÄN</t>
        </is>
      </c>
      <c r="E5711" t="inlineStr">
        <is>
          <t>TORSBY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37276-2021</t>
        </is>
      </c>
      <c r="B5712" s="1" t="n">
        <v>44397</v>
      </c>
      <c r="C5712" s="1" t="n">
        <v>45353</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37381-2021</t>
        </is>
      </c>
      <c r="B5713" s="1" t="n">
        <v>44398</v>
      </c>
      <c r="C5713" s="1" t="n">
        <v>45353</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37379-2021</t>
        </is>
      </c>
      <c r="B5714" s="1" t="n">
        <v>44398</v>
      </c>
      <c r="C5714" s="1" t="n">
        <v>45353</v>
      </c>
      <c r="D5714" t="inlineStr">
        <is>
          <t>VÄRMLANDS LÄN</t>
        </is>
      </c>
      <c r="E5714" t="inlineStr">
        <is>
          <t>SUNNE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37509-2021</t>
        </is>
      </c>
      <c r="B5715" s="1" t="n">
        <v>44399</v>
      </c>
      <c r="C5715" s="1" t="n">
        <v>45353</v>
      </c>
      <c r="D5715" t="inlineStr">
        <is>
          <t>VÄRMLANDS LÄN</t>
        </is>
      </c>
      <c r="E5715" t="inlineStr">
        <is>
          <t>SUNNE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37585-2021</t>
        </is>
      </c>
      <c r="B5716" s="1" t="n">
        <v>44399</v>
      </c>
      <c r="C5716" s="1" t="n">
        <v>45353</v>
      </c>
      <c r="D5716" t="inlineStr">
        <is>
          <t>VÄRMLANDS LÄN</t>
        </is>
      </c>
      <c r="E5716" t="inlineStr">
        <is>
          <t>SUNNE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37540-2021</t>
        </is>
      </c>
      <c r="B5717" s="1" t="n">
        <v>44399</v>
      </c>
      <c r="C5717" s="1" t="n">
        <v>45353</v>
      </c>
      <c r="D5717" t="inlineStr">
        <is>
          <t>VÄRMLANDS LÄN</t>
        </is>
      </c>
      <c r="E5717" t="inlineStr">
        <is>
          <t>ARVIKA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37543-2021</t>
        </is>
      </c>
      <c r="B5718" s="1" t="n">
        <v>44399</v>
      </c>
      <c r="C5718" s="1" t="n">
        <v>45353</v>
      </c>
      <c r="D5718" t="inlineStr">
        <is>
          <t>VÄRMLANDS LÄN</t>
        </is>
      </c>
      <c r="E5718" t="inlineStr">
        <is>
          <t>KARLSTAD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37597-2021</t>
        </is>
      </c>
      <c r="B5719" s="1" t="n">
        <v>44399</v>
      </c>
      <c r="C5719" s="1" t="n">
        <v>45353</v>
      </c>
      <c r="D5719" t="inlineStr">
        <is>
          <t>VÄRMLANDS LÄN</t>
        </is>
      </c>
      <c r="E5719" t="inlineStr">
        <is>
          <t>SUNNE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37603-2021</t>
        </is>
      </c>
      <c r="B5720" s="1" t="n">
        <v>44399</v>
      </c>
      <c r="C5720" s="1" t="n">
        <v>45353</v>
      </c>
      <c r="D5720" t="inlineStr">
        <is>
          <t>VÄRMLANDS LÄN</t>
        </is>
      </c>
      <c r="E5720" t="inlineStr">
        <is>
          <t>SUNNE</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37609-2021</t>
        </is>
      </c>
      <c r="B5721" s="1" t="n">
        <v>44399</v>
      </c>
      <c r="C5721" s="1" t="n">
        <v>45353</v>
      </c>
      <c r="D5721" t="inlineStr">
        <is>
          <t>VÄRMLANDS LÄN</t>
        </is>
      </c>
      <c r="E5721" t="inlineStr">
        <is>
          <t>TORSBY</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37608-2021</t>
        </is>
      </c>
      <c r="B5722" s="1" t="n">
        <v>44399</v>
      </c>
      <c r="C5722" s="1" t="n">
        <v>45353</v>
      </c>
      <c r="D5722" t="inlineStr">
        <is>
          <t>VÄRMLANDS LÄN</t>
        </is>
      </c>
      <c r="E5722" t="inlineStr">
        <is>
          <t>TORSBY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37637-2021</t>
        </is>
      </c>
      <c r="B5723" s="1" t="n">
        <v>44400</v>
      </c>
      <c r="C5723" s="1" t="n">
        <v>45353</v>
      </c>
      <c r="D5723" t="inlineStr">
        <is>
          <t>VÄRMLANDS LÄN</t>
        </is>
      </c>
      <c r="E5723" t="inlineStr">
        <is>
          <t>SÄFFLE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37697-2021</t>
        </is>
      </c>
      <c r="B5724" s="1" t="n">
        <v>44400</v>
      </c>
      <c r="C5724" s="1" t="n">
        <v>45353</v>
      </c>
      <c r="D5724" t="inlineStr">
        <is>
          <t>VÄRMLANDS LÄN</t>
        </is>
      </c>
      <c r="E5724" t="inlineStr">
        <is>
          <t>ÅRJÄNG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37699-2021</t>
        </is>
      </c>
      <c r="B5725" s="1" t="n">
        <v>44400</v>
      </c>
      <c r="C5725" s="1" t="n">
        <v>45353</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37710-2021</t>
        </is>
      </c>
      <c r="B5726" s="1" t="n">
        <v>44400</v>
      </c>
      <c r="C5726" s="1" t="n">
        <v>45353</v>
      </c>
      <c r="D5726" t="inlineStr">
        <is>
          <t>VÄRMLANDS LÄN</t>
        </is>
      </c>
      <c r="E5726" t="inlineStr">
        <is>
          <t>SUNNE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37715-2021</t>
        </is>
      </c>
      <c r="B5727" s="1" t="n">
        <v>44400</v>
      </c>
      <c r="C5727" s="1" t="n">
        <v>45353</v>
      </c>
      <c r="D5727" t="inlineStr">
        <is>
          <t>VÄRMLANDS LÄN</t>
        </is>
      </c>
      <c r="E5727" t="inlineStr">
        <is>
          <t>HAGFORS</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37784-2021</t>
        </is>
      </c>
      <c r="B5728" s="1" t="n">
        <v>44401</v>
      </c>
      <c r="C5728" s="1" t="n">
        <v>45353</v>
      </c>
      <c r="D5728" t="inlineStr">
        <is>
          <t>VÄRMLANDS LÄN</t>
        </is>
      </c>
      <c r="E5728" t="inlineStr">
        <is>
          <t>FILIPSTAD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37783-2021</t>
        </is>
      </c>
      <c r="B5729" s="1" t="n">
        <v>44401</v>
      </c>
      <c r="C5729" s="1" t="n">
        <v>45353</v>
      </c>
      <c r="D5729" t="inlineStr">
        <is>
          <t>VÄRMLANDS LÄN</t>
        </is>
      </c>
      <c r="E5729" t="inlineStr">
        <is>
          <t>FILIPSTAD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37878-2021</t>
        </is>
      </c>
      <c r="B5730" s="1" t="n">
        <v>44403</v>
      </c>
      <c r="C5730" s="1" t="n">
        <v>45353</v>
      </c>
      <c r="D5730" t="inlineStr">
        <is>
          <t>VÄRMLANDS LÄN</t>
        </is>
      </c>
      <c r="E5730" t="inlineStr">
        <is>
          <t>KARLSTAD</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37853-2021</t>
        </is>
      </c>
      <c r="B5731" s="1" t="n">
        <v>44403</v>
      </c>
      <c r="C5731" s="1" t="n">
        <v>45353</v>
      </c>
      <c r="D5731" t="inlineStr">
        <is>
          <t>VÄRMLANDS LÄN</t>
        </is>
      </c>
      <c r="E5731" t="inlineStr">
        <is>
          <t>SÄFFLE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37860-2021</t>
        </is>
      </c>
      <c r="B5732" s="1" t="n">
        <v>44403</v>
      </c>
      <c r="C5732" s="1" t="n">
        <v>45353</v>
      </c>
      <c r="D5732" t="inlineStr">
        <is>
          <t>VÄRMLANDS LÄN</t>
        </is>
      </c>
      <c r="E5732" t="inlineStr">
        <is>
          <t>EDA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37888-2021</t>
        </is>
      </c>
      <c r="B5733" s="1" t="n">
        <v>44403</v>
      </c>
      <c r="C5733" s="1" t="n">
        <v>45353</v>
      </c>
      <c r="D5733" t="inlineStr">
        <is>
          <t>VÄRMLANDS LÄN</t>
        </is>
      </c>
      <c r="E5733" t="inlineStr">
        <is>
          <t>KARLSTAD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37927-2021</t>
        </is>
      </c>
      <c r="B5734" s="1" t="n">
        <v>44403</v>
      </c>
      <c r="C5734" s="1" t="n">
        <v>45353</v>
      </c>
      <c r="D5734" t="inlineStr">
        <is>
          <t>VÄRMLANDS LÄN</t>
        </is>
      </c>
      <c r="E5734" t="inlineStr">
        <is>
          <t>SUNNE</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37873-2021</t>
        </is>
      </c>
      <c r="B5735" s="1" t="n">
        <v>44403</v>
      </c>
      <c r="C5735" s="1" t="n">
        <v>45353</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38014-2021</t>
        </is>
      </c>
      <c r="B5736" s="1" t="n">
        <v>44404</v>
      </c>
      <c r="C5736" s="1" t="n">
        <v>45353</v>
      </c>
      <c r="D5736" t="inlineStr">
        <is>
          <t>VÄRMLANDS LÄN</t>
        </is>
      </c>
      <c r="E5736" t="inlineStr">
        <is>
          <t>SÄFFLE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38044-2021</t>
        </is>
      </c>
      <c r="B5737" s="1" t="n">
        <v>44404</v>
      </c>
      <c r="C5737" s="1" t="n">
        <v>45353</v>
      </c>
      <c r="D5737" t="inlineStr">
        <is>
          <t>VÄRMLANDS LÄN</t>
        </is>
      </c>
      <c r="E5737" t="inlineStr">
        <is>
          <t>EDA</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38038-2021</t>
        </is>
      </c>
      <c r="B5738" s="1" t="n">
        <v>44404</v>
      </c>
      <c r="C5738" s="1" t="n">
        <v>45353</v>
      </c>
      <c r="D5738" t="inlineStr">
        <is>
          <t>VÄRMLANDS LÄN</t>
        </is>
      </c>
      <c r="E5738" t="inlineStr">
        <is>
          <t>SUNNE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37993-2021</t>
        </is>
      </c>
      <c r="B5739" s="1" t="n">
        <v>44404</v>
      </c>
      <c r="C5739" s="1" t="n">
        <v>45353</v>
      </c>
      <c r="D5739" t="inlineStr">
        <is>
          <t>VÄRMLANDS LÄN</t>
        </is>
      </c>
      <c r="E5739" t="inlineStr">
        <is>
          <t>SUNNE</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38025-2021</t>
        </is>
      </c>
      <c r="B5740" s="1" t="n">
        <v>44404</v>
      </c>
      <c r="C5740" s="1" t="n">
        <v>45353</v>
      </c>
      <c r="D5740" t="inlineStr">
        <is>
          <t>VÄRMLANDS LÄN</t>
        </is>
      </c>
      <c r="E5740" t="inlineStr">
        <is>
          <t>SUNNE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38061-2021</t>
        </is>
      </c>
      <c r="B5741" s="1" t="n">
        <v>44404</v>
      </c>
      <c r="C5741" s="1" t="n">
        <v>45353</v>
      </c>
      <c r="D5741" t="inlineStr">
        <is>
          <t>VÄRMLANDS LÄN</t>
        </is>
      </c>
      <c r="E5741" t="inlineStr">
        <is>
          <t>KARLSTAD</t>
        </is>
      </c>
      <c r="F5741" t="inlineStr">
        <is>
          <t>Naturvårdsverket</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38209-2021</t>
        </is>
      </c>
      <c r="B5742" s="1" t="n">
        <v>44405</v>
      </c>
      <c r="C5742" s="1" t="n">
        <v>45353</v>
      </c>
      <c r="D5742" t="inlineStr">
        <is>
          <t>VÄRMLANDS LÄN</t>
        </is>
      </c>
      <c r="E5742" t="inlineStr">
        <is>
          <t>GRUMS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38121-2021</t>
        </is>
      </c>
      <c r="B5743" s="1" t="n">
        <v>44405</v>
      </c>
      <c r="C5743" s="1" t="n">
        <v>45353</v>
      </c>
      <c r="D5743" t="inlineStr">
        <is>
          <t>VÄRMLANDS LÄN</t>
        </is>
      </c>
      <c r="E5743" t="inlineStr">
        <is>
          <t>KARLSTAD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38124-2021</t>
        </is>
      </c>
      <c r="B5744" s="1" t="n">
        <v>44405</v>
      </c>
      <c r="C5744" s="1" t="n">
        <v>45353</v>
      </c>
      <c r="D5744" t="inlineStr">
        <is>
          <t>VÄRMLANDS LÄN</t>
        </is>
      </c>
      <c r="E5744" t="inlineStr">
        <is>
          <t>KARLSTAD</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38227-2021</t>
        </is>
      </c>
      <c r="B5745" s="1" t="n">
        <v>44405</v>
      </c>
      <c r="C5745" s="1" t="n">
        <v>45353</v>
      </c>
      <c r="D5745" t="inlineStr">
        <is>
          <t>VÄRMLANDS LÄN</t>
        </is>
      </c>
      <c r="E5745" t="inlineStr">
        <is>
          <t>STORFORS</t>
        </is>
      </c>
      <c r="F5745" t="inlineStr">
        <is>
          <t>Bergvik skog väst AB</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38246-2021</t>
        </is>
      </c>
      <c r="B5746" s="1" t="n">
        <v>44405</v>
      </c>
      <c r="C5746" s="1" t="n">
        <v>45353</v>
      </c>
      <c r="D5746" t="inlineStr">
        <is>
          <t>VÄRMLANDS LÄN</t>
        </is>
      </c>
      <c r="E5746" t="inlineStr">
        <is>
          <t>HAGFORS</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38467-2021</t>
        </is>
      </c>
      <c r="B5747" s="1" t="n">
        <v>44405</v>
      </c>
      <c r="C5747" s="1" t="n">
        <v>45353</v>
      </c>
      <c r="D5747" t="inlineStr">
        <is>
          <t>VÄRMLANDS LÄN</t>
        </is>
      </c>
      <c r="E5747" t="inlineStr">
        <is>
          <t>TORSBY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38229-2021</t>
        </is>
      </c>
      <c r="B5748" s="1" t="n">
        <v>44405</v>
      </c>
      <c r="C5748" s="1" t="n">
        <v>45353</v>
      </c>
      <c r="D5748" t="inlineStr">
        <is>
          <t>VÄRMLANDS LÄN</t>
        </is>
      </c>
      <c r="E5748" t="inlineStr">
        <is>
          <t>TORSBY</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38298-2021</t>
        </is>
      </c>
      <c r="B5749" s="1" t="n">
        <v>44406</v>
      </c>
      <c r="C5749" s="1" t="n">
        <v>45353</v>
      </c>
      <c r="D5749" t="inlineStr">
        <is>
          <t>VÄRMLANDS LÄN</t>
        </is>
      </c>
      <c r="E5749" t="inlineStr">
        <is>
          <t>TORSBY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38374-2021</t>
        </is>
      </c>
      <c r="B5750" s="1" t="n">
        <v>44406</v>
      </c>
      <c r="C5750" s="1" t="n">
        <v>45353</v>
      </c>
      <c r="D5750" t="inlineStr">
        <is>
          <t>VÄRMLANDS LÄN</t>
        </is>
      </c>
      <c r="E5750" t="inlineStr">
        <is>
          <t>MUNKFORS</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38423-2021</t>
        </is>
      </c>
      <c r="B5751" s="1" t="n">
        <v>44406</v>
      </c>
      <c r="C5751" s="1" t="n">
        <v>45353</v>
      </c>
      <c r="D5751" t="inlineStr">
        <is>
          <t>VÄRMLANDS LÄN</t>
        </is>
      </c>
      <c r="E5751" t="inlineStr">
        <is>
          <t>SUNNE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38510-2021</t>
        </is>
      </c>
      <c r="B5752" s="1" t="n">
        <v>44407</v>
      </c>
      <c r="C5752" s="1" t="n">
        <v>45353</v>
      </c>
      <c r="D5752" t="inlineStr">
        <is>
          <t>VÄRMLANDS LÄN</t>
        </is>
      </c>
      <c r="E5752" t="inlineStr">
        <is>
          <t>SUNNE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38564-2021</t>
        </is>
      </c>
      <c r="B5753" s="1" t="n">
        <v>44407</v>
      </c>
      <c r="C5753" s="1" t="n">
        <v>45353</v>
      </c>
      <c r="D5753" t="inlineStr">
        <is>
          <t>VÄRMLANDS LÄN</t>
        </is>
      </c>
      <c r="E5753" t="inlineStr">
        <is>
          <t>TORSBY</t>
        </is>
      </c>
      <c r="F5753" t="inlineStr">
        <is>
          <t>Bergvik skog väst AB</t>
        </is>
      </c>
      <c r="G5753" t="n">
        <v>15.7</v>
      </c>
      <c r="H5753" t="n">
        <v>0</v>
      </c>
      <c r="I5753" t="n">
        <v>0</v>
      </c>
      <c r="J5753" t="n">
        <v>0</v>
      </c>
      <c r="K5753" t="n">
        <v>0</v>
      </c>
      <c r="L5753" t="n">
        <v>0</v>
      </c>
      <c r="M5753" t="n">
        <v>0</v>
      </c>
      <c r="N5753" t="n">
        <v>0</v>
      </c>
      <c r="O5753" t="n">
        <v>0</v>
      </c>
      <c r="P5753" t="n">
        <v>0</v>
      </c>
      <c r="Q5753" t="n">
        <v>0</v>
      </c>
      <c r="R5753" s="2" t="inlineStr"/>
    </row>
    <row r="5754" ht="15" customHeight="1">
      <c r="A5754" t="inlineStr">
        <is>
          <t>A 38490-2021</t>
        </is>
      </c>
      <c r="B5754" s="1" t="n">
        <v>44407</v>
      </c>
      <c r="C5754" s="1" t="n">
        <v>45353</v>
      </c>
      <c r="D5754" t="inlineStr">
        <is>
          <t>VÄRMLANDS LÄN</t>
        </is>
      </c>
      <c r="E5754" t="inlineStr">
        <is>
          <t>KRISTINEHAMN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38528-2021</t>
        </is>
      </c>
      <c r="B5755" s="1" t="n">
        <v>44407</v>
      </c>
      <c r="C5755" s="1" t="n">
        <v>45353</v>
      </c>
      <c r="D5755" t="inlineStr">
        <is>
          <t>VÄRMLANDS LÄN</t>
        </is>
      </c>
      <c r="E5755" t="inlineStr">
        <is>
          <t>TORSBY</t>
        </is>
      </c>
      <c r="F5755" t="inlineStr">
        <is>
          <t>Bergvik skog väst AB</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38635-2021</t>
        </is>
      </c>
      <c r="B5756" s="1" t="n">
        <v>44410</v>
      </c>
      <c r="C5756" s="1" t="n">
        <v>45353</v>
      </c>
      <c r="D5756" t="inlineStr">
        <is>
          <t>VÄRMLANDS LÄN</t>
        </is>
      </c>
      <c r="E5756" t="inlineStr">
        <is>
          <t>KIL</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38703-2021</t>
        </is>
      </c>
      <c r="B5757" s="1" t="n">
        <v>44410</v>
      </c>
      <c r="C5757" s="1" t="n">
        <v>45353</v>
      </c>
      <c r="D5757" t="inlineStr">
        <is>
          <t>VÄRMLANDS LÄN</t>
        </is>
      </c>
      <c r="E5757" t="inlineStr">
        <is>
          <t>SUNNE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38767-2021</t>
        </is>
      </c>
      <c r="B5758" s="1" t="n">
        <v>44410</v>
      </c>
      <c r="C5758" s="1" t="n">
        <v>45353</v>
      </c>
      <c r="D5758" t="inlineStr">
        <is>
          <t>VÄRMLANDS LÄN</t>
        </is>
      </c>
      <c r="E5758" t="inlineStr">
        <is>
          <t>TORSBY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38705-2021</t>
        </is>
      </c>
      <c r="B5759" s="1" t="n">
        <v>44410</v>
      </c>
      <c r="C5759" s="1" t="n">
        <v>45353</v>
      </c>
      <c r="D5759" t="inlineStr">
        <is>
          <t>VÄRMLANDS LÄN</t>
        </is>
      </c>
      <c r="E5759" t="inlineStr">
        <is>
          <t>SUNNE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38745-2021</t>
        </is>
      </c>
      <c r="B5760" s="1" t="n">
        <v>44410</v>
      </c>
      <c r="C5760" s="1" t="n">
        <v>45353</v>
      </c>
      <c r="D5760" t="inlineStr">
        <is>
          <t>VÄRMLANDS LÄN</t>
        </is>
      </c>
      <c r="E5760" t="inlineStr">
        <is>
          <t>EDA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38765-2021</t>
        </is>
      </c>
      <c r="B5761" s="1" t="n">
        <v>44410</v>
      </c>
      <c r="C5761" s="1" t="n">
        <v>45353</v>
      </c>
      <c r="D5761" t="inlineStr">
        <is>
          <t>VÄRMLANDS LÄN</t>
        </is>
      </c>
      <c r="E5761" t="inlineStr">
        <is>
          <t>EDA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38905-2021</t>
        </is>
      </c>
      <c r="B5762" s="1" t="n">
        <v>44411</v>
      </c>
      <c r="C5762" s="1" t="n">
        <v>45353</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38901-2021</t>
        </is>
      </c>
      <c r="B5763" s="1" t="n">
        <v>44411</v>
      </c>
      <c r="C5763" s="1" t="n">
        <v>45353</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38841-2021</t>
        </is>
      </c>
      <c r="B5764" s="1" t="n">
        <v>44411</v>
      </c>
      <c r="C5764" s="1" t="n">
        <v>45353</v>
      </c>
      <c r="D5764" t="inlineStr">
        <is>
          <t>VÄRMLANDS LÄN</t>
        </is>
      </c>
      <c r="E5764" t="inlineStr">
        <is>
          <t>TORSBY</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38945-2021</t>
        </is>
      </c>
      <c r="B5765" s="1" t="n">
        <v>44411</v>
      </c>
      <c r="C5765" s="1" t="n">
        <v>45353</v>
      </c>
      <c r="D5765" t="inlineStr">
        <is>
          <t>VÄRMLANDS LÄN</t>
        </is>
      </c>
      <c r="E5765" t="inlineStr">
        <is>
          <t>MUNKFORS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38894-2021</t>
        </is>
      </c>
      <c r="B5766" s="1" t="n">
        <v>44411</v>
      </c>
      <c r="C5766" s="1" t="n">
        <v>45353</v>
      </c>
      <c r="D5766" t="inlineStr">
        <is>
          <t>VÄRMLANDS LÄN</t>
        </is>
      </c>
      <c r="E5766" t="inlineStr">
        <is>
          <t>ARVIKA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38947-2021</t>
        </is>
      </c>
      <c r="B5767" s="1" t="n">
        <v>44411</v>
      </c>
      <c r="C5767" s="1" t="n">
        <v>45353</v>
      </c>
      <c r="D5767" t="inlineStr">
        <is>
          <t>VÄRMLANDS LÄN</t>
        </is>
      </c>
      <c r="E5767" t="inlineStr">
        <is>
          <t>MUNKFORS</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38969-2021</t>
        </is>
      </c>
      <c r="B5768" s="1" t="n">
        <v>44411</v>
      </c>
      <c r="C5768" s="1" t="n">
        <v>45353</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39067-2021</t>
        </is>
      </c>
      <c r="B5769" s="1" t="n">
        <v>44412</v>
      </c>
      <c r="C5769" s="1" t="n">
        <v>45353</v>
      </c>
      <c r="D5769" t="inlineStr">
        <is>
          <t>VÄRMLANDS LÄN</t>
        </is>
      </c>
      <c r="E5769" t="inlineStr">
        <is>
          <t>ÅRJÄNG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39000-2021</t>
        </is>
      </c>
      <c r="B5770" s="1" t="n">
        <v>44412</v>
      </c>
      <c r="C5770" s="1" t="n">
        <v>45353</v>
      </c>
      <c r="D5770" t="inlineStr">
        <is>
          <t>VÄRMLANDS LÄN</t>
        </is>
      </c>
      <c r="E5770" t="inlineStr">
        <is>
          <t>SUNNE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39098-2021</t>
        </is>
      </c>
      <c r="B5771" s="1" t="n">
        <v>44412</v>
      </c>
      <c r="C5771" s="1" t="n">
        <v>45353</v>
      </c>
      <c r="D5771" t="inlineStr">
        <is>
          <t>VÄRMLANDS LÄN</t>
        </is>
      </c>
      <c r="E5771" t="inlineStr">
        <is>
          <t>SUNNE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39131-2021</t>
        </is>
      </c>
      <c r="B5772" s="1" t="n">
        <v>44412</v>
      </c>
      <c r="C5772" s="1" t="n">
        <v>45353</v>
      </c>
      <c r="D5772" t="inlineStr">
        <is>
          <t>VÄRMLANDS LÄN</t>
        </is>
      </c>
      <c r="E5772" t="inlineStr">
        <is>
          <t>GRUMS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39145-2021</t>
        </is>
      </c>
      <c r="B5773" s="1" t="n">
        <v>44412</v>
      </c>
      <c r="C5773" s="1" t="n">
        <v>45353</v>
      </c>
      <c r="D5773" t="inlineStr">
        <is>
          <t>VÄRMLANDS LÄN</t>
        </is>
      </c>
      <c r="E5773" t="inlineStr">
        <is>
          <t>GRUMS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39002-2021</t>
        </is>
      </c>
      <c r="B5774" s="1" t="n">
        <v>44412</v>
      </c>
      <c r="C5774" s="1" t="n">
        <v>45353</v>
      </c>
      <c r="D5774" t="inlineStr">
        <is>
          <t>VÄRMLANDS LÄN</t>
        </is>
      </c>
      <c r="E5774" t="inlineStr">
        <is>
          <t>EDA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39015-2021</t>
        </is>
      </c>
      <c r="B5775" s="1" t="n">
        <v>44412</v>
      </c>
      <c r="C5775" s="1" t="n">
        <v>45353</v>
      </c>
      <c r="D5775" t="inlineStr">
        <is>
          <t>VÄRMLANDS LÄN</t>
        </is>
      </c>
      <c r="E5775" t="inlineStr">
        <is>
          <t>ÅRJÄNG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39068-2021</t>
        </is>
      </c>
      <c r="B5776" s="1" t="n">
        <v>44412</v>
      </c>
      <c r="C5776" s="1" t="n">
        <v>45353</v>
      </c>
      <c r="D5776" t="inlineStr">
        <is>
          <t>VÄRMLANDS LÄN</t>
        </is>
      </c>
      <c r="E5776" t="inlineStr">
        <is>
          <t>SUNNE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39095-2021</t>
        </is>
      </c>
      <c r="B5777" s="1" t="n">
        <v>44412</v>
      </c>
      <c r="C5777" s="1" t="n">
        <v>45353</v>
      </c>
      <c r="D5777" t="inlineStr">
        <is>
          <t>VÄRMLANDS LÄN</t>
        </is>
      </c>
      <c r="E5777" t="inlineStr">
        <is>
          <t>KIL</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39113-2021</t>
        </is>
      </c>
      <c r="B5778" s="1" t="n">
        <v>44412</v>
      </c>
      <c r="C5778" s="1" t="n">
        <v>45353</v>
      </c>
      <c r="D5778" t="inlineStr">
        <is>
          <t>VÄRMLANDS LÄN</t>
        </is>
      </c>
      <c r="E5778" t="inlineStr">
        <is>
          <t>SUNNE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39122-2021</t>
        </is>
      </c>
      <c r="B5779" s="1" t="n">
        <v>44412</v>
      </c>
      <c r="C5779" s="1" t="n">
        <v>45353</v>
      </c>
      <c r="D5779" t="inlineStr">
        <is>
          <t>VÄRMLANDS LÄN</t>
        </is>
      </c>
      <c r="E5779" t="inlineStr">
        <is>
          <t>EDA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38985-2021</t>
        </is>
      </c>
      <c r="B5780" s="1" t="n">
        <v>44412</v>
      </c>
      <c r="C5780" s="1" t="n">
        <v>45353</v>
      </c>
      <c r="D5780" t="inlineStr">
        <is>
          <t>VÄRMLANDS LÄN</t>
        </is>
      </c>
      <c r="E5780" t="inlineStr">
        <is>
          <t>HAGFORS</t>
        </is>
      </c>
      <c r="F5780" t="inlineStr">
        <is>
          <t>Bergvik skog väst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39003-2021</t>
        </is>
      </c>
      <c r="B5781" s="1" t="n">
        <v>44412</v>
      </c>
      <c r="C5781" s="1" t="n">
        <v>45353</v>
      </c>
      <c r="D5781" t="inlineStr">
        <is>
          <t>VÄRMLANDS LÄN</t>
        </is>
      </c>
      <c r="E5781" t="inlineStr">
        <is>
          <t>TORSBY</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39115-2021</t>
        </is>
      </c>
      <c r="B5782" s="1" t="n">
        <v>44412</v>
      </c>
      <c r="C5782" s="1" t="n">
        <v>45353</v>
      </c>
      <c r="D5782" t="inlineStr">
        <is>
          <t>VÄRMLANDS LÄN</t>
        </is>
      </c>
      <c r="E5782" t="inlineStr">
        <is>
          <t>SUNNE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39139-2021</t>
        </is>
      </c>
      <c r="B5783" s="1" t="n">
        <v>44412</v>
      </c>
      <c r="C5783" s="1" t="n">
        <v>45353</v>
      </c>
      <c r="D5783" t="inlineStr">
        <is>
          <t>VÄRMLANDS LÄN</t>
        </is>
      </c>
      <c r="E5783" t="inlineStr">
        <is>
          <t>SÄFFLE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39195-2021</t>
        </is>
      </c>
      <c r="B5784" s="1" t="n">
        <v>44413</v>
      </c>
      <c r="C5784" s="1" t="n">
        <v>45353</v>
      </c>
      <c r="D5784" t="inlineStr">
        <is>
          <t>VÄRMLANDS LÄN</t>
        </is>
      </c>
      <c r="E5784" t="inlineStr">
        <is>
          <t>ARVIKA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39273-2021</t>
        </is>
      </c>
      <c r="B5785" s="1" t="n">
        <v>44413</v>
      </c>
      <c r="C5785" s="1" t="n">
        <v>45353</v>
      </c>
      <c r="D5785" t="inlineStr">
        <is>
          <t>VÄRMLANDS LÄN</t>
        </is>
      </c>
      <c r="E5785" t="inlineStr">
        <is>
          <t>EDA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39229-2021</t>
        </is>
      </c>
      <c r="B5786" s="1" t="n">
        <v>44413</v>
      </c>
      <c r="C5786" s="1" t="n">
        <v>45353</v>
      </c>
      <c r="D5786" t="inlineStr">
        <is>
          <t>VÄRMLANDS LÄN</t>
        </is>
      </c>
      <c r="E5786" t="inlineStr">
        <is>
          <t>KARLSTAD</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39302-2021</t>
        </is>
      </c>
      <c r="B5787" s="1" t="n">
        <v>44413</v>
      </c>
      <c r="C5787" s="1" t="n">
        <v>45353</v>
      </c>
      <c r="D5787" t="inlineStr">
        <is>
          <t>VÄRMLANDS LÄN</t>
        </is>
      </c>
      <c r="E5787" t="inlineStr">
        <is>
          <t>EDA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39653-2021</t>
        </is>
      </c>
      <c r="B5788" s="1" t="n">
        <v>44413</v>
      </c>
      <c r="C5788" s="1" t="n">
        <v>45353</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39260-2021</t>
        </is>
      </c>
      <c r="B5789" s="1" t="n">
        <v>44413</v>
      </c>
      <c r="C5789" s="1" t="n">
        <v>45353</v>
      </c>
      <c r="D5789" t="inlineStr">
        <is>
          <t>VÄRMLANDS LÄN</t>
        </is>
      </c>
      <c r="E5789" t="inlineStr">
        <is>
          <t>TORSBY</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39638-2021</t>
        </is>
      </c>
      <c r="B5790" s="1" t="n">
        <v>44413</v>
      </c>
      <c r="C5790" s="1" t="n">
        <v>45353</v>
      </c>
      <c r="D5790" t="inlineStr">
        <is>
          <t>VÄRMLANDS LÄN</t>
        </is>
      </c>
      <c r="E5790" t="inlineStr">
        <is>
          <t>KRISTINEHAMN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39665-2021</t>
        </is>
      </c>
      <c r="B5791" s="1" t="n">
        <v>44413</v>
      </c>
      <c r="C5791" s="1" t="n">
        <v>45353</v>
      </c>
      <c r="D5791" t="inlineStr">
        <is>
          <t>VÄRMLANDS LÄN</t>
        </is>
      </c>
      <c r="E5791" t="inlineStr">
        <is>
          <t>GRUMS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39628-2021</t>
        </is>
      </c>
      <c r="B5792" s="1" t="n">
        <v>44413</v>
      </c>
      <c r="C5792" s="1" t="n">
        <v>45353</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39659-2021</t>
        </is>
      </c>
      <c r="B5793" s="1" t="n">
        <v>44413</v>
      </c>
      <c r="C5793" s="1" t="n">
        <v>45353</v>
      </c>
      <c r="D5793" t="inlineStr">
        <is>
          <t>VÄRMLANDS LÄN</t>
        </is>
      </c>
      <c r="E5793" t="inlineStr">
        <is>
          <t>KRISTINEHAMN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39409-2021</t>
        </is>
      </c>
      <c r="B5794" s="1" t="n">
        <v>44414</v>
      </c>
      <c r="C5794" s="1" t="n">
        <v>45353</v>
      </c>
      <c r="D5794" t="inlineStr">
        <is>
          <t>VÄRMLANDS LÄN</t>
        </is>
      </c>
      <c r="E5794" t="inlineStr">
        <is>
          <t>HAGFORS</t>
        </is>
      </c>
      <c r="F5794" t="inlineStr">
        <is>
          <t>Bergvik skog väst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39573-2021</t>
        </is>
      </c>
      <c r="B5795" s="1" t="n">
        <v>44416</v>
      </c>
      <c r="C5795" s="1" t="n">
        <v>45353</v>
      </c>
      <c r="D5795" t="inlineStr">
        <is>
          <t>VÄRMLANDS LÄN</t>
        </is>
      </c>
      <c r="E5795" t="inlineStr">
        <is>
          <t>SUNNE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39572-2021</t>
        </is>
      </c>
      <c r="B5796" s="1" t="n">
        <v>44416</v>
      </c>
      <c r="C5796" s="1" t="n">
        <v>45353</v>
      </c>
      <c r="D5796" t="inlineStr">
        <is>
          <t>VÄRMLANDS LÄN</t>
        </is>
      </c>
      <c r="E5796" t="inlineStr">
        <is>
          <t>SUNNE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39642-2021</t>
        </is>
      </c>
      <c r="B5797" s="1" t="n">
        <v>44417</v>
      </c>
      <c r="C5797" s="1" t="n">
        <v>45353</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39746-2021</t>
        </is>
      </c>
      <c r="B5798" s="1" t="n">
        <v>44417</v>
      </c>
      <c r="C5798" s="1" t="n">
        <v>45353</v>
      </c>
      <c r="D5798" t="inlineStr">
        <is>
          <t>VÄRMLANDS LÄN</t>
        </is>
      </c>
      <c r="E5798" t="inlineStr">
        <is>
          <t>ARVIKA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39660-2021</t>
        </is>
      </c>
      <c r="B5799" s="1" t="n">
        <v>44417</v>
      </c>
      <c r="C5799" s="1" t="n">
        <v>45353</v>
      </c>
      <c r="D5799" t="inlineStr">
        <is>
          <t>VÄRMLANDS LÄN</t>
        </is>
      </c>
      <c r="E5799" t="inlineStr">
        <is>
          <t>FORSHAGA</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39752-2021</t>
        </is>
      </c>
      <c r="B5800" s="1" t="n">
        <v>44417</v>
      </c>
      <c r="C5800" s="1" t="n">
        <v>45353</v>
      </c>
      <c r="D5800" t="inlineStr">
        <is>
          <t>VÄRMLANDS LÄN</t>
        </is>
      </c>
      <c r="E5800" t="inlineStr">
        <is>
          <t>ÅRJÄNG</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39768-2021</t>
        </is>
      </c>
      <c r="B5801" s="1" t="n">
        <v>44417</v>
      </c>
      <c r="C5801" s="1" t="n">
        <v>45353</v>
      </c>
      <c r="D5801" t="inlineStr">
        <is>
          <t>VÄRMLANDS LÄN</t>
        </is>
      </c>
      <c r="E5801" t="inlineStr">
        <is>
          <t>SUNNE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39789-2021</t>
        </is>
      </c>
      <c r="B5802" s="1" t="n">
        <v>44417</v>
      </c>
      <c r="C5802" s="1" t="n">
        <v>45353</v>
      </c>
      <c r="D5802" t="inlineStr">
        <is>
          <t>VÄRMLANDS LÄN</t>
        </is>
      </c>
      <c r="E5802" t="inlineStr">
        <is>
          <t>HAGFORS</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39698-2021</t>
        </is>
      </c>
      <c r="B5803" s="1" t="n">
        <v>44417</v>
      </c>
      <c r="C5803" s="1" t="n">
        <v>45353</v>
      </c>
      <c r="D5803" t="inlineStr">
        <is>
          <t>VÄRMLANDS LÄN</t>
        </is>
      </c>
      <c r="E5803" t="inlineStr">
        <is>
          <t>HAGFORS</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39756-2021</t>
        </is>
      </c>
      <c r="B5804" s="1" t="n">
        <v>44417</v>
      </c>
      <c r="C5804" s="1" t="n">
        <v>45353</v>
      </c>
      <c r="D5804" t="inlineStr">
        <is>
          <t>VÄRMLANDS LÄN</t>
        </is>
      </c>
      <c r="E5804" t="inlineStr">
        <is>
          <t>SÄFFLE</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39641-2021</t>
        </is>
      </c>
      <c r="B5805" s="1" t="n">
        <v>44417</v>
      </c>
      <c r="C5805" s="1" t="n">
        <v>45353</v>
      </c>
      <c r="D5805" t="inlineStr">
        <is>
          <t>VÄRMLANDS LÄN</t>
        </is>
      </c>
      <c r="E5805" t="inlineStr">
        <is>
          <t>SUNNE</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39745-2021</t>
        </is>
      </c>
      <c r="B5806" s="1" t="n">
        <v>44417</v>
      </c>
      <c r="C5806" s="1" t="n">
        <v>45353</v>
      </c>
      <c r="D5806" t="inlineStr">
        <is>
          <t>VÄRMLANDS LÄN</t>
        </is>
      </c>
      <c r="E5806" t="inlineStr">
        <is>
          <t>HAGFORS</t>
        </is>
      </c>
      <c r="F5806" t="inlineStr">
        <is>
          <t>Bergvik skog väst AB</t>
        </is>
      </c>
      <c r="G5806" t="n">
        <v>42.5</v>
      </c>
      <c r="H5806" t="n">
        <v>0</v>
      </c>
      <c r="I5806" t="n">
        <v>0</v>
      </c>
      <c r="J5806" t="n">
        <v>0</v>
      </c>
      <c r="K5806" t="n">
        <v>0</v>
      </c>
      <c r="L5806" t="n">
        <v>0</v>
      </c>
      <c r="M5806" t="n">
        <v>0</v>
      </c>
      <c r="N5806" t="n">
        <v>0</v>
      </c>
      <c r="O5806" t="n">
        <v>0</v>
      </c>
      <c r="P5806" t="n">
        <v>0</v>
      </c>
      <c r="Q5806" t="n">
        <v>0</v>
      </c>
      <c r="R5806" s="2" t="inlineStr"/>
    </row>
    <row r="5807" ht="15" customHeight="1">
      <c r="A5807" t="inlineStr">
        <is>
          <t>A 39802-2021</t>
        </is>
      </c>
      <c r="B5807" s="1" t="n">
        <v>44417</v>
      </c>
      <c r="C5807" s="1" t="n">
        <v>45353</v>
      </c>
      <c r="D5807" t="inlineStr">
        <is>
          <t>VÄRMLANDS LÄN</t>
        </is>
      </c>
      <c r="E5807" t="inlineStr">
        <is>
          <t>FORSHAGA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39819-2021</t>
        </is>
      </c>
      <c r="B5808" s="1" t="n">
        <v>44417</v>
      </c>
      <c r="C5808" s="1" t="n">
        <v>45353</v>
      </c>
      <c r="D5808" t="inlineStr">
        <is>
          <t>VÄRMLANDS LÄN</t>
        </is>
      </c>
      <c r="E5808" t="inlineStr">
        <is>
          <t>GRUMS</t>
        </is>
      </c>
      <c r="G5808" t="n">
        <v>34.6</v>
      </c>
      <c r="H5808" t="n">
        <v>0</v>
      </c>
      <c r="I5808" t="n">
        <v>0</v>
      </c>
      <c r="J5808" t="n">
        <v>0</v>
      </c>
      <c r="K5808" t="n">
        <v>0</v>
      </c>
      <c r="L5808" t="n">
        <v>0</v>
      </c>
      <c r="M5808" t="n">
        <v>0</v>
      </c>
      <c r="N5808" t="n">
        <v>0</v>
      </c>
      <c r="O5808" t="n">
        <v>0</v>
      </c>
      <c r="P5808" t="n">
        <v>0</v>
      </c>
      <c r="Q5808" t="n">
        <v>0</v>
      </c>
      <c r="R5808" s="2" t="inlineStr"/>
    </row>
    <row r="5809" ht="15" customHeight="1">
      <c r="A5809" t="inlineStr">
        <is>
          <t>A 39849-2021</t>
        </is>
      </c>
      <c r="B5809" s="1" t="n">
        <v>44417</v>
      </c>
      <c r="C5809" s="1" t="n">
        <v>45353</v>
      </c>
      <c r="D5809" t="inlineStr">
        <is>
          <t>VÄRMLANDS LÄN</t>
        </is>
      </c>
      <c r="E5809" t="inlineStr">
        <is>
          <t>SUNNE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39925-2021</t>
        </is>
      </c>
      <c r="B5810" s="1" t="n">
        <v>44417</v>
      </c>
      <c r="C5810" s="1" t="n">
        <v>45353</v>
      </c>
      <c r="D5810" t="inlineStr">
        <is>
          <t>VÄRMLANDS LÄN</t>
        </is>
      </c>
      <c r="E5810" t="inlineStr">
        <is>
          <t>SUNNE</t>
        </is>
      </c>
      <c r="F5810" t="inlineStr">
        <is>
          <t>Övriga statliga verk och myndigheter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39826-2021</t>
        </is>
      </c>
      <c r="B5811" s="1" t="n">
        <v>44417</v>
      </c>
      <c r="C5811" s="1" t="n">
        <v>45353</v>
      </c>
      <c r="D5811" t="inlineStr">
        <is>
          <t>VÄRMLANDS LÄN</t>
        </is>
      </c>
      <c r="E5811" t="inlineStr">
        <is>
          <t>TORSBY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40001-2021</t>
        </is>
      </c>
      <c r="B5812" s="1" t="n">
        <v>44417</v>
      </c>
      <c r="C5812" s="1" t="n">
        <v>45353</v>
      </c>
      <c r="D5812" t="inlineStr">
        <is>
          <t>VÄRMLANDS LÄN</t>
        </is>
      </c>
      <c r="E5812" t="inlineStr">
        <is>
          <t>ARVIKA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40298-2021</t>
        </is>
      </c>
      <c r="B5813" s="1" t="n">
        <v>44417</v>
      </c>
      <c r="C5813" s="1" t="n">
        <v>45353</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40003-2021</t>
        </is>
      </c>
      <c r="B5814" s="1" t="n">
        <v>44417</v>
      </c>
      <c r="C5814" s="1" t="n">
        <v>45353</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40303-2021</t>
        </is>
      </c>
      <c r="B5815" s="1" t="n">
        <v>44417</v>
      </c>
      <c r="C5815" s="1" t="n">
        <v>45353</v>
      </c>
      <c r="D5815" t="inlineStr">
        <is>
          <t>VÄRMLANDS LÄN</t>
        </is>
      </c>
      <c r="E5815" t="inlineStr">
        <is>
          <t>SUNNE</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39967-2021</t>
        </is>
      </c>
      <c r="B5816" s="1" t="n">
        <v>44418</v>
      </c>
      <c r="C5816" s="1" t="n">
        <v>45353</v>
      </c>
      <c r="D5816" t="inlineStr">
        <is>
          <t>VÄRMLANDS LÄN</t>
        </is>
      </c>
      <c r="E5816" t="inlineStr">
        <is>
          <t>TORSBY</t>
        </is>
      </c>
      <c r="F5816" t="inlineStr">
        <is>
          <t>Bergvik skog väst AB</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39971-2021</t>
        </is>
      </c>
      <c r="B5817" s="1" t="n">
        <v>44418</v>
      </c>
      <c r="C5817" s="1" t="n">
        <v>45353</v>
      </c>
      <c r="D5817" t="inlineStr">
        <is>
          <t>VÄRMLANDS LÄN</t>
        </is>
      </c>
      <c r="E5817" t="inlineStr">
        <is>
          <t>SÄFFLE</t>
        </is>
      </c>
      <c r="F5817" t="inlineStr">
        <is>
          <t>Kyrkan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39998-2021</t>
        </is>
      </c>
      <c r="B5818" s="1" t="n">
        <v>44418</v>
      </c>
      <c r="C5818" s="1" t="n">
        <v>45353</v>
      </c>
      <c r="D5818" t="inlineStr">
        <is>
          <t>VÄRMLANDS LÄN</t>
        </is>
      </c>
      <c r="E5818" t="inlineStr">
        <is>
          <t>KIL</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40174-2021</t>
        </is>
      </c>
      <c r="B5819" s="1" t="n">
        <v>44418</v>
      </c>
      <c r="C5819" s="1" t="n">
        <v>45353</v>
      </c>
      <c r="D5819" t="inlineStr">
        <is>
          <t>VÄRMLANDS LÄN</t>
        </is>
      </c>
      <c r="E5819" t="inlineStr">
        <is>
          <t>SUNNE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40185-2021</t>
        </is>
      </c>
      <c r="B5820" s="1" t="n">
        <v>44418</v>
      </c>
      <c r="C5820" s="1" t="n">
        <v>45353</v>
      </c>
      <c r="D5820" t="inlineStr">
        <is>
          <t>VÄRMLANDS LÄN</t>
        </is>
      </c>
      <c r="E5820" t="inlineStr">
        <is>
          <t>SUNNE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40243-2021</t>
        </is>
      </c>
      <c r="B5821" s="1" t="n">
        <v>44419</v>
      </c>
      <c r="C5821" s="1" t="n">
        <v>45353</v>
      </c>
      <c r="D5821" t="inlineStr">
        <is>
          <t>VÄRMLANDS LÄN</t>
        </is>
      </c>
      <c r="E5821" t="inlineStr">
        <is>
          <t>KRISTINEHAMN</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40281-2021</t>
        </is>
      </c>
      <c r="B5822" s="1" t="n">
        <v>44419</v>
      </c>
      <c r="C5822" s="1" t="n">
        <v>45353</v>
      </c>
      <c r="D5822" t="inlineStr">
        <is>
          <t>VÄRMLANDS LÄN</t>
        </is>
      </c>
      <c r="E5822" t="inlineStr">
        <is>
          <t>TORSBY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40276-2021</t>
        </is>
      </c>
      <c r="B5823" s="1" t="n">
        <v>44419</v>
      </c>
      <c r="C5823" s="1" t="n">
        <v>45353</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40278-2021</t>
        </is>
      </c>
      <c r="B5824" s="1" t="n">
        <v>44419</v>
      </c>
      <c r="C5824" s="1" t="n">
        <v>45353</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40350-2021</t>
        </is>
      </c>
      <c r="B5825" s="1" t="n">
        <v>44419</v>
      </c>
      <c r="C5825" s="1" t="n">
        <v>45353</v>
      </c>
      <c r="D5825" t="inlineStr">
        <is>
          <t>VÄRMLANDS LÄN</t>
        </is>
      </c>
      <c r="E5825" t="inlineStr">
        <is>
          <t>EDA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40282-2021</t>
        </is>
      </c>
      <c r="B5826" s="1" t="n">
        <v>44419</v>
      </c>
      <c r="C5826" s="1" t="n">
        <v>45353</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40292-2021</t>
        </is>
      </c>
      <c r="B5827" s="1" t="n">
        <v>44419</v>
      </c>
      <c r="C5827" s="1" t="n">
        <v>45353</v>
      </c>
      <c r="D5827" t="inlineStr">
        <is>
          <t>VÄRMLANDS LÄN</t>
        </is>
      </c>
      <c r="E5827" t="inlineStr">
        <is>
          <t>KIL</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40351-2021</t>
        </is>
      </c>
      <c r="B5828" s="1" t="n">
        <v>44419</v>
      </c>
      <c r="C5828" s="1" t="n">
        <v>45353</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40324-2021</t>
        </is>
      </c>
      <c r="B5829" s="1" t="n">
        <v>44419</v>
      </c>
      <c r="C5829" s="1" t="n">
        <v>45353</v>
      </c>
      <c r="D5829" t="inlineStr">
        <is>
          <t>VÄRMLANDS LÄN</t>
        </is>
      </c>
      <c r="E5829" t="inlineStr">
        <is>
          <t>SÄFFLE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40432-2021</t>
        </is>
      </c>
      <c r="B5830" s="1" t="n">
        <v>44419</v>
      </c>
      <c r="C5830" s="1" t="n">
        <v>45353</v>
      </c>
      <c r="D5830" t="inlineStr">
        <is>
          <t>VÄRMLANDS LÄN</t>
        </is>
      </c>
      <c r="E5830" t="inlineStr">
        <is>
          <t>SÄFFLE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40433-2021</t>
        </is>
      </c>
      <c r="B5831" s="1" t="n">
        <v>44419</v>
      </c>
      <c r="C5831" s="1" t="n">
        <v>45353</v>
      </c>
      <c r="D5831" t="inlineStr">
        <is>
          <t>VÄRMLANDS LÄN</t>
        </is>
      </c>
      <c r="E5831" t="inlineStr">
        <is>
          <t>SÄFFLE</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40355-2021</t>
        </is>
      </c>
      <c r="B5832" s="1" t="n">
        <v>44419</v>
      </c>
      <c r="C5832" s="1" t="n">
        <v>45353</v>
      </c>
      <c r="D5832" t="inlineStr">
        <is>
          <t>VÄRMLANDS LÄN</t>
        </is>
      </c>
      <c r="E5832" t="inlineStr">
        <is>
          <t>EDA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40451-2021</t>
        </is>
      </c>
      <c r="B5833" s="1" t="n">
        <v>44419</v>
      </c>
      <c r="C5833" s="1" t="n">
        <v>45353</v>
      </c>
      <c r="D5833" t="inlineStr">
        <is>
          <t>VÄRMLANDS LÄN</t>
        </is>
      </c>
      <c r="E5833" t="inlineStr">
        <is>
          <t>SUNNE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40455-2021</t>
        </is>
      </c>
      <c r="B5834" s="1" t="n">
        <v>44419</v>
      </c>
      <c r="C5834" s="1" t="n">
        <v>45353</v>
      </c>
      <c r="D5834" t="inlineStr">
        <is>
          <t>VÄRMLANDS LÄN</t>
        </is>
      </c>
      <c r="E5834" t="inlineStr">
        <is>
          <t>ARVIKA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40590-2021</t>
        </is>
      </c>
      <c r="B5835" s="1" t="n">
        <v>44420</v>
      </c>
      <c r="C5835" s="1" t="n">
        <v>45353</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40651-2021</t>
        </is>
      </c>
      <c r="B5836" s="1" t="n">
        <v>44420</v>
      </c>
      <c r="C5836" s="1" t="n">
        <v>45353</v>
      </c>
      <c r="D5836" t="inlineStr">
        <is>
          <t>VÄRMLANDS LÄN</t>
        </is>
      </c>
      <c r="E5836" t="inlineStr">
        <is>
          <t>HAGFORS</t>
        </is>
      </c>
      <c r="F5836" t="inlineStr">
        <is>
          <t>Bergvik skog väst AB</t>
        </is>
      </c>
      <c r="G5836" t="n">
        <v>28.9</v>
      </c>
      <c r="H5836" t="n">
        <v>0</v>
      </c>
      <c r="I5836" t="n">
        <v>0</v>
      </c>
      <c r="J5836" t="n">
        <v>0</v>
      </c>
      <c r="K5836" t="n">
        <v>0</v>
      </c>
      <c r="L5836" t="n">
        <v>0</v>
      </c>
      <c r="M5836" t="n">
        <v>0</v>
      </c>
      <c r="N5836" t="n">
        <v>0</v>
      </c>
      <c r="O5836" t="n">
        <v>0</v>
      </c>
      <c r="P5836" t="n">
        <v>0</v>
      </c>
      <c r="Q5836" t="n">
        <v>0</v>
      </c>
      <c r="R5836" s="2" t="inlineStr"/>
    </row>
    <row r="5837" ht="15" customHeight="1">
      <c r="A5837" t="inlineStr">
        <is>
          <t>A 40601-2021</t>
        </is>
      </c>
      <c r="B5837" s="1" t="n">
        <v>44420</v>
      </c>
      <c r="C5837" s="1" t="n">
        <v>45353</v>
      </c>
      <c r="D5837" t="inlineStr">
        <is>
          <t>VÄRMLANDS LÄN</t>
        </is>
      </c>
      <c r="E5837" t="inlineStr">
        <is>
          <t>HAGFORS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40599-2021</t>
        </is>
      </c>
      <c r="B5838" s="1" t="n">
        <v>44420</v>
      </c>
      <c r="C5838" s="1" t="n">
        <v>45353</v>
      </c>
      <c r="D5838" t="inlineStr">
        <is>
          <t>VÄRMLANDS LÄN</t>
        </is>
      </c>
      <c r="E5838" t="inlineStr">
        <is>
          <t>SUNNE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40688-2021</t>
        </is>
      </c>
      <c r="B5839" s="1" t="n">
        <v>44420</v>
      </c>
      <c r="C5839" s="1" t="n">
        <v>45353</v>
      </c>
      <c r="D5839" t="inlineStr">
        <is>
          <t>VÄRMLANDS LÄN</t>
        </is>
      </c>
      <c r="E5839" t="inlineStr">
        <is>
          <t>ARVIKA</t>
        </is>
      </c>
      <c r="F5839" t="inlineStr">
        <is>
          <t>Bergvik skog väst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40678-2021</t>
        </is>
      </c>
      <c r="B5840" s="1" t="n">
        <v>44420</v>
      </c>
      <c r="C5840" s="1" t="n">
        <v>45353</v>
      </c>
      <c r="D5840" t="inlineStr">
        <is>
          <t>VÄRMLANDS LÄN</t>
        </is>
      </c>
      <c r="E5840" t="inlineStr">
        <is>
          <t>SUNNE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40675-2021</t>
        </is>
      </c>
      <c r="B5841" s="1" t="n">
        <v>44420</v>
      </c>
      <c r="C5841" s="1" t="n">
        <v>45353</v>
      </c>
      <c r="D5841" t="inlineStr">
        <is>
          <t>VÄRMLANDS LÄN</t>
        </is>
      </c>
      <c r="E5841" t="inlineStr">
        <is>
          <t>HAGFORS</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40667-2021</t>
        </is>
      </c>
      <c r="B5842" s="1" t="n">
        <v>44420</v>
      </c>
      <c r="C5842" s="1" t="n">
        <v>45353</v>
      </c>
      <c r="D5842" t="inlineStr">
        <is>
          <t>VÄRMLANDS LÄN</t>
        </is>
      </c>
      <c r="E5842" t="inlineStr">
        <is>
          <t>EDA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40743-2021</t>
        </is>
      </c>
      <c r="B5843" s="1" t="n">
        <v>44420</v>
      </c>
      <c r="C5843" s="1" t="n">
        <v>45353</v>
      </c>
      <c r="D5843" t="inlineStr">
        <is>
          <t>VÄRMLANDS LÄN</t>
        </is>
      </c>
      <c r="E5843" t="inlineStr">
        <is>
          <t>ARVIKA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40832-2021</t>
        </is>
      </c>
      <c r="B5844" s="1" t="n">
        <v>44421</v>
      </c>
      <c r="C5844" s="1" t="n">
        <v>45353</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40843-2021</t>
        </is>
      </c>
      <c r="B5845" s="1" t="n">
        <v>44421</v>
      </c>
      <c r="C5845" s="1" t="n">
        <v>45353</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40876-2021</t>
        </is>
      </c>
      <c r="B5846" s="1" t="n">
        <v>44421</v>
      </c>
      <c r="C5846" s="1" t="n">
        <v>45353</v>
      </c>
      <c r="D5846" t="inlineStr">
        <is>
          <t>VÄRMLANDS LÄN</t>
        </is>
      </c>
      <c r="E5846" t="inlineStr">
        <is>
          <t>TORSBY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40893-2021</t>
        </is>
      </c>
      <c r="B5847" s="1" t="n">
        <v>44421</v>
      </c>
      <c r="C5847" s="1" t="n">
        <v>45353</v>
      </c>
      <c r="D5847" t="inlineStr">
        <is>
          <t>VÄRMLANDS LÄN</t>
        </is>
      </c>
      <c r="E5847" t="inlineStr">
        <is>
          <t>KARLSTAD</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40904-2021</t>
        </is>
      </c>
      <c r="B5848" s="1" t="n">
        <v>44421</v>
      </c>
      <c r="C5848" s="1" t="n">
        <v>45353</v>
      </c>
      <c r="D5848" t="inlineStr">
        <is>
          <t>VÄRMLANDS LÄN</t>
        </is>
      </c>
      <c r="E5848" t="inlineStr">
        <is>
          <t>SÄFFLE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40953-2021</t>
        </is>
      </c>
      <c r="B5849" s="1" t="n">
        <v>44421</v>
      </c>
      <c r="C5849" s="1" t="n">
        <v>45353</v>
      </c>
      <c r="D5849" t="inlineStr">
        <is>
          <t>VÄRMLANDS LÄN</t>
        </is>
      </c>
      <c r="E5849" t="inlineStr">
        <is>
          <t>FILIPSTAD</t>
        </is>
      </c>
      <c r="F5849" t="inlineStr">
        <is>
          <t>Bergvik skog väst AB</t>
        </is>
      </c>
      <c r="G5849" t="n">
        <v>12.9</v>
      </c>
      <c r="H5849" t="n">
        <v>0</v>
      </c>
      <c r="I5849" t="n">
        <v>0</v>
      </c>
      <c r="J5849" t="n">
        <v>0</v>
      </c>
      <c r="K5849" t="n">
        <v>0</v>
      </c>
      <c r="L5849" t="n">
        <v>0</v>
      </c>
      <c r="M5849" t="n">
        <v>0</v>
      </c>
      <c r="N5849" t="n">
        <v>0</v>
      </c>
      <c r="O5849" t="n">
        <v>0</v>
      </c>
      <c r="P5849" t="n">
        <v>0</v>
      </c>
      <c r="Q5849" t="n">
        <v>0</v>
      </c>
      <c r="R5849" s="2" t="inlineStr"/>
    </row>
    <row r="5850" ht="15" customHeight="1">
      <c r="A5850" t="inlineStr">
        <is>
          <t>A 40820-2021</t>
        </is>
      </c>
      <c r="B5850" s="1" t="n">
        <v>44421</v>
      </c>
      <c r="C5850" s="1" t="n">
        <v>45353</v>
      </c>
      <c r="D5850" t="inlineStr">
        <is>
          <t>VÄRMLANDS LÄN</t>
        </is>
      </c>
      <c r="E5850" t="inlineStr">
        <is>
          <t>HAGFORS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40829-2021</t>
        </is>
      </c>
      <c r="B5851" s="1" t="n">
        <v>44421</v>
      </c>
      <c r="C5851" s="1" t="n">
        <v>45353</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40988-2021</t>
        </is>
      </c>
      <c r="B5852" s="1" t="n">
        <v>44421</v>
      </c>
      <c r="C5852" s="1" t="n">
        <v>45353</v>
      </c>
      <c r="D5852" t="inlineStr">
        <is>
          <t>VÄRMLANDS LÄN</t>
        </is>
      </c>
      <c r="E5852" t="inlineStr">
        <is>
          <t>KRISTINEHAMN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41027-2021</t>
        </is>
      </c>
      <c r="B5853" s="1" t="n">
        <v>44421</v>
      </c>
      <c r="C5853" s="1" t="n">
        <v>45353</v>
      </c>
      <c r="D5853" t="inlineStr">
        <is>
          <t>VÄRMLANDS LÄN</t>
        </is>
      </c>
      <c r="E5853" t="inlineStr">
        <is>
          <t>EDA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41135-2021</t>
        </is>
      </c>
      <c r="B5854" s="1" t="n">
        <v>44423</v>
      </c>
      <c r="C5854" s="1" t="n">
        <v>45353</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41138-2021</t>
        </is>
      </c>
      <c r="B5855" s="1" t="n">
        <v>44423</v>
      </c>
      <c r="C5855" s="1" t="n">
        <v>45353</v>
      </c>
      <c r="D5855" t="inlineStr">
        <is>
          <t>VÄRMLANDS LÄN</t>
        </is>
      </c>
      <c r="E5855" t="inlineStr">
        <is>
          <t>SÄFFLE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41223-2021</t>
        </is>
      </c>
      <c r="B5856" s="1" t="n">
        <v>44424</v>
      </c>
      <c r="C5856" s="1" t="n">
        <v>45353</v>
      </c>
      <c r="D5856" t="inlineStr">
        <is>
          <t>VÄRMLANDS LÄN</t>
        </is>
      </c>
      <c r="E5856" t="inlineStr">
        <is>
          <t>SUNNE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41253-2021</t>
        </is>
      </c>
      <c r="B5857" s="1" t="n">
        <v>44424</v>
      </c>
      <c r="C5857" s="1" t="n">
        <v>45353</v>
      </c>
      <c r="D5857" t="inlineStr">
        <is>
          <t>VÄRMLANDS LÄN</t>
        </is>
      </c>
      <c r="E5857" t="inlineStr">
        <is>
          <t>TORSBY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41320-2021</t>
        </is>
      </c>
      <c r="B5858" s="1" t="n">
        <v>44424</v>
      </c>
      <c r="C5858" s="1" t="n">
        <v>45353</v>
      </c>
      <c r="D5858" t="inlineStr">
        <is>
          <t>VÄRMLANDS LÄN</t>
        </is>
      </c>
      <c r="E5858" t="inlineStr">
        <is>
          <t>ARVIKA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41325-2021</t>
        </is>
      </c>
      <c r="B5859" s="1" t="n">
        <v>44424</v>
      </c>
      <c r="C5859" s="1" t="n">
        <v>45353</v>
      </c>
      <c r="D5859" t="inlineStr">
        <is>
          <t>VÄRMLANDS LÄN</t>
        </is>
      </c>
      <c r="E5859" t="inlineStr">
        <is>
          <t>ARVIKA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41342-2021</t>
        </is>
      </c>
      <c r="B5860" s="1" t="n">
        <v>44424</v>
      </c>
      <c r="C5860" s="1" t="n">
        <v>45353</v>
      </c>
      <c r="D5860" t="inlineStr">
        <is>
          <t>VÄRMLANDS LÄN</t>
        </is>
      </c>
      <c r="E5860" t="inlineStr">
        <is>
          <t>HAGFORS</t>
        </is>
      </c>
      <c r="F5860" t="inlineStr">
        <is>
          <t>Bergvik skog väst AB</t>
        </is>
      </c>
      <c r="G5860" t="n">
        <v>12.1</v>
      </c>
      <c r="H5860" t="n">
        <v>0</v>
      </c>
      <c r="I5860" t="n">
        <v>0</v>
      </c>
      <c r="J5860" t="n">
        <v>0</v>
      </c>
      <c r="K5860" t="n">
        <v>0</v>
      </c>
      <c r="L5860" t="n">
        <v>0</v>
      </c>
      <c r="M5860" t="n">
        <v>0</v>
      </c>
      <c r="N5860" t="n">
        <v>0</v>
      </c>
      <c r="O5860" t="n">
        <v>0</v>
      </c>
      <c r="P5860" t="n">
        <v>0</v>
      </c>
      <c r="Q5860" t="n">
        <v>0</v>
      </c>
      <c r="R5860" s="2" t="inlineStr"/>
    </row>
    <row r="5861" ht="15" customHeight="1">
      <c r="A5861" t="inlineStr">
        <is>
          <t>A 41301-2021</t>
        </is>
      </c>
      <c r="B5861" s="1" t="n">
        <v>44424</v>
      </c>
      <c r="C5861" s="1" t="n">
        <v>45353</v>
      </c>
      <c r="D5861" t="inlineStr">
        <is>
          <t>VÄRMLANDS LÄN</t>
        </is>
      </c>
      <c r="E5861" t="inlineStr">
        <is>
          <t>GRUMS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41311-2021</t>
        </is>
      </c>
      <c r="B5862" s="1" t="n">
        <v>44424</v>
      </c>
      <c r="C5862" s="1" t="n">
        <v>45353</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41317-2021</t>
        </is>
      </c>
      <c r="B5863" s="1" t="n">
        <v>44424</v>
      </c>
      <c r="C5863" s="1" t="n">
        <v>45353</v>
      </c>
      <c r="D5863" t="inlineStr">
        <is>
          <t>VÄRMLANDS LÄN</t>
        </is>
      </c>
      <c r="E5863" t="inlineStr">
        <is>
          <t>ARVIKA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41323-2021</t>
        </is>
      </c>
      <c r="B5864" s="1" t="n">
        <v>44424</v>
      </c>
      <c r="C5864" s="1" t="n">
        <v>45353</v>
      </c>
      <c r="D5864" t="inlineStr">
        <is>
          <t>VÄRMLANDS LÄN</t>
        </is>
      </c>
      <c r="E5864" t="inlineStr">
        <is>
          <t>GRUMS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41329-2021</t>
        </is>
      </c>
      <c r="B5865" s="1" t="n">
        <v>44424</v>
      </c>
      <c r="C5865" s="1" t="n">
        <v>45353</v>
      </c>
      <c r="D5865" t="inlineStr">
        <is>
          <t>VÄRMLANDS LÄN</t>
        </is>
      </c>
      <c r="E5865" t="inlineStr">
        <is>
          <t>ARVIKA</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41297-2021</t>
        </is>
      </c>
      <c r="B5866" s="1" t="n">
        <v>44424</v>
      </c>
      <c r="C5866" s="1" t="n">
        <v>45353</v>
      </c>
      <c r="D5866" t="inlineStr">
        <is>
          <t>VÄRMLANDS LÄN</t>
        </is>
      </c>
      <c r="E5866" t="inlineStr">
        <is>
          <t>KRISTINEHAMN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41382-2021</t>
        </is>
      </c>
      <c r="B5867" s="1" t="n">
        <v>44424</v>
      </c>
      <c r="C5867" s="1" t="n">
        <v>45353</v>
      </c>
      <c r="D5867" t="inlineStr">
        <is>
          <t>VÄRMLANDS LÄN</t>
        </is>
      </c>
      <c r="E5867" t="inlineStr">
        <is>
          <t>SUNNE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41368-2021</t>
        </is>
      </c>
      <c r="B5868" s="1" t="n">
        <v>44424</v>
      </c>
      <c r="C5868" s="1" t="n">
        <v>45353</v>
      </c>
      <c r="D5868" t="inlineStr">
        <is>
          <t>VÄRMLANDS LÄN</t>
        </is>
      </c>
      <c r="E5868" t="inlineStr">
        <is>
          <t>HAGFORS</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41377-2021</t>
        </is>
      </c>
      <c r="B5869" s="1" t="n">
        <v>44424</v>
      </c>
      <c r="C5869" s="1" t="n">
        <v>45353</v>
      </c>
      <c r="D5869" t="inlineStr">
        <is>
          <t>VÄRMLANDS LÄN</t>
        </is>
      </c>
      <c r="E5869" t="inlineStr">
        <is>
          <t>TORSBY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41450-2021</t>
        </is>
      </c>
      <c r="B5870" s="1" t="n">
        <v>44424</v>
      </c>
      <c r="C5870" s="1" t="n">
        <v>45353</v>
      </c>
      <c r="D5870" t="inlineStr">
        <is>
          <t>VÄRMLANDS LÄN</t>
        </is>
      </c>
      <c r="E5870" t="inlineStr">
        <is>
          <t>ARVIKA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41551-2021</t>
        </is>
      </c>
      <c r="B5871" s="1" t="n">
        <v>44424</v>
      </c>
      <c r="C5871" s="1" t="n">
        <v>45353</v>
      </c>
      <c r="D5871" t="inlineStr">
        <is>
          <t>VÄRMLANDS LÄN</t>
        </is>
      </c>
      <c r="E5871" t="inlineStr">
        <is>
          <t>ARVIKA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41511-2021</t>
        </is>
      </c>
      <c r="B5872" s="1" t="n">
        <v>44424</v>
      </c>
      <c r="C5872" s="1" t="n">
        <v>45353</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41512-2021</t>
        </is>
      </c>
      <c r="B5873" s="1" t="n">
        <v>44424</v>
      </c>
      <c r="C5873" s="1" t="n">
        <v>45353</v>
      </c>
      <c r="D5873" t="inlineStr">
        <is>
          <t>VÄRMLANDS LÄN</t>
        </is>
      </c>
      <c r="E5873" t="inlineStr">
        <is>
          <t>SÄFFLE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41416-2021</t>
        </is>
      </c>
      <c r="B5874" s="1" t="n">
        <v>44424</v>
      </c>
      <c r="C5874" s="1" t="n">
        <v>45353</v>
      </c>
      <c r="D5874" t="inlineStr">
        <is>
          <t>VÄRMLANDS LÄN</t>
        </is>
      </c>
      <c r="E5874" t="inlineStr">
        <is>
          <t>ÅRJÄNG</t>
        </is>
      </c>
      <c r="G5874" t="n">
        <v>10.4</v>
      </c>
      <c r="H5874" t="n">
        <v>0</v>
      </c>
      <c r="I5874" t="n">
        <v>0</v>
      </c>
      <c r="J5874" t="n">
        <v>0</v>
      </c>
      <c r="K5874" t="n">
        <v>0</v>
      </c>
      <c r="L5874" t="n">
        <v>0</v>
      </c>
      <c r="M5874" t="n">
        <v>0</v>
      </c>
      <c r="N5874" t="n">
        <v>0</v>
      </c>
      <c r="O5874" t="n">
        <v>0</v>
      </c>
      <c r="P5874" t="n">
        <v>0</v>
      </c>
      <c r="Q5874" t="n">
        <v>0</v>
      </c>
      <c r="R5874" s="2" t="inlineStr"/>
    </row>
    <row r="5875" ht="15" customHeight="1">
      <c r="A5875" t="inlineStr">
        <is>
          <t>A 41525-2021</t>
        </is>
      </c>
      <c r="B5875" s="1" t="n">
        <v>44425</v>
      </c>
      <c r="C5875" s="1" t="n">
        <v>45353</v>
      </c>
      <c r="D5875" t="inlineStr">
        <is>
          <t>VÄRMLANDS LÄN</t>
        </is>
      </c>
      <c r="E5875" t="inlineStr">
        <is>
          <t>SUNNE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41661-2021</t>
        </is>
      </c>
      <c r="B5876" s="1" t="n">
        <v>44425</v>
      </c>
      <c r="C5876" s="1" t="n">
        <v>45353</v>
      </c>
      <c r="D5876" t="inlineStr">
        <is>
          <t>VÄRMLANDS LÄN</t>
        </is>
      </c>
      <c r="E5876" t="inlineStr">
        <is>
          <t>ARVIKA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41519-2021</t>
        </is>
      </c>
      <c r="B5877" s="1" t="n">
        <v>44425</v>
      </c>
      <c r="C5877" s="1" t="n">
        <v>45353</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41530-2021</t>
        </is>
      </c>
      <c r="B5878" s="1" t="n">
        <v>44425</v>
      </c>
      <c r="C5878" s="1" t="n">
        <v>45353</v>
      </c>
      <c r="D5878" t="inlineStr">
        <is>
          <t>VÄRMLANDS LÄN</t>
        </is>
      </c>
      <c r="E5878" t="inlineStr">
        <is>
          <t>STORFORS</t>
        </is>
      </c>
      <c r="F5878" t="inlineStr">
        <is>
          <t>Kyrkan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41633-2021</t>
        </is>
      </c>
      <c r="B5879" s="1" t="n">
        <v>44425</v>
      </c>
      <c r="C5879" s="1" t="n">
        <v>45353</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41671-2021</t>
        </is>
      </c>
      <c r="B5880" s="1" t="n">
        <v>44425</v>
      </c>
      <c r="C5880" s="1" t="n">
        <v>45353</v>
      </c>
      <c r="D5880" t="inlineStr">
        <is>
          <t>VÄRMLANDS LÄN</t>
        </is>
      </c>
      <c r="E5880" t="inlineStr">
        <is>
          <t>TORSBY</t>
        </is>
      </c>
      <c r="F5880" t="inlineStr">
        <is>
          <t>Övriga Aktiebolag</t>
        </is>
      </c>
      <c r="G5880" t="n">
        <v>10.1</v>
      </c>
      <c r="H5880" t="n">
        <v>0</v>
      </c>
      <c r="I5880" t="n">
        <v>0</v>
      </c>
      <c r="J5880" t="n">
        <v>0</v>
      </c>
      <c r="K5880" t="n">
        <v>0</v>
      </c>
      <c r="L5880" t="n">
        <v>0</v>
      </c>
      <c r="M5880" t="n">
        <v>0</v>
      </c>
      <c r="N5880" t="n">
        <v>0</v>
      </c>
      <c r="O5880" t="n">
        <v>0</v>
      </c>
      <c r="P5880" t="n">
        <v>0</v>
      </c>
      <c r="Q5880" t="n">
        <v>0</v>
      </c>
      <c r="R5880" s="2" t="inlineStr"/>
    </row>
    <row r="5881" ht="15" customHeight="1">
      <c r="A5881" t="inlineStr">
        <is>
          <t>A 41739-2021</t>
        </is>
      </c>
      <c r="B5881" s="1" t="n">
        <v>44425</v>
      </c>
      <c r="C5881" s="1" t="n">
        <v>45353</v>
      </c>
      <c r="D5881" t="inlineStr">
        <is>
          <t>VÄRMLANDS LÄN</t>
        </is>
      </c>
      <c r="E5881" t="inlineStr">
        <is>
          <t>SUNNE</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41647-2021</t>
        </is>
      </c>
      <c r="B5882" s="1" t="n">
        <v>44425</v>
      </c>
      <c r="C5882" s="1" t="n">
        <v>45353</v>
      </c>
      <c r="D5882" t="inlineStr">
        <is>
          <t>VÄRMLANDS LÄN</t>
        </is>
      </c>
      <c r="E5882" t="inlineStr">
        <is>
          <t>SÄFFLE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41678-2021</t>
        </is>
      </c>
      <c r="B5883" s="1" t="n">
        <v>44425</v>
      </c>
      <c r="C5883" s="1" t="n">
        <v>45353</v>
      </c>
      <c r="D5883" t="inlineStr">
        <is>
          <t>VÄRMLANDS LÄN</t>
        </is>
      </c>
      <c r="E5883" t="inlineStr">
        <is>
          <t>TORSBY</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41808-2021</t>
        </is>
      </c>
      <c r="B5884" s="1" t="n">
        <v>44425</v>
      </c>
      <c r="C5884" s="1" t="n">
        <v>45353</v>
      </c>
      <c r="D5884" t="inlineStr">
        <is>
          <t>VÄRMLANDS LÄN</t>
        </is>
      </c>
      <c r="E5884" t="inlineStr">
        <is>
          <t>TORSBY</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41686-2021</t>
        </is>
      </c>
      <c r="B5885" s="1" t="n">
        <v>44425</v>
      </c>
      <c r="C5885" s="1" t="n">
        <v>45353</v>
      </c>
      <c r="D5885" t="inlineStr">
        <is>
          <t>VÄRMLANDS LÄN</t>
        </is>
      </c>
      <c r="E5885" t="inlineStr">
        <is>
          <t>ARVIKA</t>
        </is>
      </c>
      <c r="G5885" t="n">
        <v>4.4</v>
      </c>
      <c r="H5885" t="n">
        <v>0</v>
      </c>
      <c r="I5885" t="n">
        <v>0</v>
      </c>
      <c r="J5885" t="n">
        <v>0</v>
      </c>
      <c r="K5885" t="n">
        <v>0</v>
      </c>
      <c r="L5885" t="n">
        <v>0</v>
      </c>
      <c r="M5885" t="n">
        <v>0</v>
      </c>
      <c r="N5885" t="n">
        <v>0</v>
      </c>
      <c r="O5885" t="n">
        <v>0</v>
      </c>
      <c r="P5885" t="n">
        <v>0</v>
      </c>
      <c r="Q5885" t="n">
        <v>0</v>
      </c>
      <c r="R5885" s="2" t="inlineStr"/>
      <c r="U5885">
        <f>HYPERLINK("https://klasma.github.io/Logging_1784/knärot/A 41686-2021 karta knärot.png", "A 41686-2021")</f>
        <v/>
      </c>
      <c r="V5885">
        <f>HYPERLINK("https://klasma.github.io/Logging_1784/klagomål/A 41686-2021 FSC-klagomål.docx", "A 41686-2021")</f>
        <v/>
      </c>
      <c r="W5885">
        <f>HYPERLINK("https://klasma.github.io/Logging_1784/klagomålsmail/A 41686-2021 FSC-klagomål mail.docx", "A 41686-2021")</f>
        <v/>
      </c>
      <c r="X5885">
        <f>HYPERLINK("https://klasma.github.io/Logging_1784/tillsyn/A 41686-2021 tillsynsbegäran.docx", "A 41686-2021")</f>
        <v/>
      </c>
      <c r="Y5885">
        <f>HYPERLINK("https://klasma.github.io/Logging_1784/tillsynsmail/A 41686-2021 tillsynsbegäran mail.docx", "A 41686-2021")</f>
        <v/>
      </c>
    </row>
    <row r="5886" ht="15" customHeight="1">
      <c r="A5886" t="inlineStr">
        <is>
          <t>A 41776-2021</t>
        </is>
      </c>
      <c r="B5886" s="1" t="n">
        <v>44425</v>
      </c>
      <c r="C5886" s="1" t="n">
        <v>45353</v>
      </c>
      <c r="D5886" t="inlineStr">
        <is>
          <t>VÄRMLANDS LÄN</t>
        </is>
      </c>
      <c r="E5886" t="inlineStr">
        <is>
          <t>HAGFORS</t>
        </is>
      </c>
      <c r="F5886" t="inlineStr">
        <is>
          <t>Bergvik skog väst AB</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41810-2021</t>
        </is>
      </c>
      <c r="B5887" s="1" t="n">
        <v>44425</v>
      </c>
      <c r="C5887" s="1" t="n">
        <v>45353</v>
      </c>
      <c r="D5887" t="inlineStr">
        <is>
          <t>VÄRMLANDS LÄN</t>
        </is>
      </c>
      <c r="E5887" t="inlineStr">
        <is>
          <t>GRUMS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41846-2021</t>
        </is>
      </c>
      <c r="B5888" s="1" t="n">
        <v>44425</v>
      </c>
      <c r="C5888" s="1" t="n">
        <v>45353</v>
      </c>
      <c r="D5888" t="inlineStr">
        <is>
          <t>VÄRMLANDS LÄN</t>
        </is>
      </c>
      <c r="E5888" t="inlineStr">
        <is>
          <t>FORSHAGA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41974-2021</t>
        </is>
      </c>
      <c r="B5889" s="1" t="n">
        <v>44426</v>
      </c>
      <c r="C5889" s="1" t="n">
        <v>45353</v>
      </c>
      <c r="D5889" t="inlineStr">
        <is>
          <t>VÄRMLANDS LÄN</t>
        </is>
      </c>
      <c r="E5889" t="inlineStr">
        <is>
          <t>SUNNE</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41999-2021</t>
        </is>
      </c>
      <c r="B5890" s="1" t="n">
        <v>44426</v>
      </c>
      <c r="C5890" s="1" t="n">
        <v>45353</v>
      </c>
      <c r="D5890" t="inlineStr">
        <is>
          <t>VÄRMLANDS LÄN</t>
        </is>
      </c>
      <c r="E5890" t="inlineStr">
        <is>
          <t>HAGFORS</t>
        </is>
      </c>
      <c r="F5890" t="inlineStr">
        <is>
          <t>Bergvik skog väst AB</t>
        </is>
      </c>
      <c r="G5890" t="n">
        <v>42.4</v>
      </c>
      <c r="H5890" t="n">
        <v>0</v>
      </c>
      <c r="I5890" t="n">
        <v>0</v>
      </c>
      <c r="J5890" t="n">
        <v>0</v>
      </c>
      <c r="K5890" t="n">
        <v>0</v>
      </c>
      <c r="L5890" t="n">
        <v>0</v>
      </c>
      <c r="M5890" t="n">
        <v>0</v>
      </c>
      <c r="N5890" t="n">
        <v>0</v>
      </c>
      <c r="O5890" t="n">
        <v>0</v>
      </c>
      <c r="P5890" t="n">
        <v>0</v>
      </c>
      <c r="Q5890" t="n">
        <v>0</v>
      </c>
      <c r="R5890" s="2" t="inlineStr"/>
    </row>
    <row r="5891" ht="15" customHeight="1">
      <c r="A5891" t="inlineStr">
        <is>
          <t>A 41860-2021</t>
        </is>
      </c>
      <c r="B5891" s="1" t="n">
        <v>44426</v>
      </c>
      <c r="C5891" s="1" t="n">
        <v>45353</v>
      </c>
      <c r="D5891" t="inlineStr">
        <is>
          <t>VÄRMLANDS LÄN</t>
        </is>
      </c>
      <c r="E5891" t="inlineStr">
        <is>
          <t>ARVIKA</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41870-2021</t>
        </is>
      </c>
      <c r="B5892" s="1" t="n">
        <v>44426</v>
      </c>
      <c r="C5892" s="1" t="n">
        <v>45353</v>
      </c>
      <c r="D5892" t="inlineStr">
        <is>
          <t>VÄRMLANDS LÄN</t>
        </is>
      </c>
      <c r="E5892" t="inlineStr">
        <is>
          <t>ARVIKA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41915-2021</t>
        </is>
      </c>
      <c r="B5893" s="1" t="n">
        <v>44426</v>
      </c>
      <c r="C5893" s="1" t="n">
        <v>45353</v>
      </c>
      <c r="D5893" t="inlineStr">
        <is>
          <t>VÄRMLANDS LÄN</t>
        </is>
      </c>
      <c r="E5893" t="inlineStr">
        <is>
          <t>SUNNE</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41982-2021</t>
        </is>
      </c>
      <c r="B5894" s="1" t="n">
        <v>44426</v>
      </c>
      <c r="C5894" s="1" t="n">
        <v>45353</v>
      </c>
      <c r="D5894" t="inlineStr">
        <is>
          <t>VÄRMLANDS LÄN</t>
        </is>
      </c>
      <c r="E5894" t="inlineStr">
        <is>
          <t>SUNNE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42070-2021</t>
        </is>
      </c>
      <c r="B5895" s="1" t="n">
        <v>44426</v>
      </c>
      <c r="C5895" s="1" t="n">
        <v>45353</v>
      </c>
      <c r="D5895" t="inlineStr">
        <is>
          <t>VÄRMLANDS LÄN</t>
        </is>
      </c>
      <c r="E5895" t="inlineStr">
        <is>
          <t>ARVIKA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41853-2021</t>
        </is>
      </c>
      <c r="B5896" s="1" t="n">
        <v>44426</v>
      </c>
      <c r="C5896" s="1" t="n">
        <v>45353</v>
      </c>
      <c r="D5896" t="inlineStr">
        <is>
          <t>VÄRMLANDS LÄN</t>
        </is>
      </c>
      <c r="E5896" t="inlineStr">
        <is>
          <t>STORFORS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41866-2021</t>
        </is>
      </c>
      <c r="B5897" s="1" t="n">
        <v>44426</v>
      </c>
      <c r="C5897" s="1" t="n">
        <v>45353</v>
      </c>
      <c r="D5897" t="inlineStr">
        <is>
          <t>VÄRMLANDS LÄN</t>
        </is>
      </c>
      <c r="E5897" t="inlineStr">
        <is>
          <t>ARVIKA</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41987-2021</t>
        </is>
      </c>
      <c r="B5898" s="1" t="n">
        <v>44426</v>
      </c>
      <c r="C5898" s="1" t="n">
        <v>45353</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42025-2021</t>
        </is>
      </c>
      <c r="B5899" s="1" t="n">
        <v>44426</v>
      </c>
      <c r="C5899" s="1" t="n">
        <v>45353</v>
      </c>
      <c r="D5899" t="inlineStr">
        <is>
          <t>VÄRMLANDS LÄN</t>
        </is>
      </c>
      <c r="E5899" t="inlineStr">
        <is>
          <t>EDA</t>
        </is>
      </c>
      <c r="F5899" t="inlineStr">
        <is>
          <t>Övriga Aktiebolag</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42053-2021</t>
        </is>
      </c>
      <c r="B5900" s="1" t="n">
        <v>44426</v>
      </c>
      <c r="C5900" s="1" t="n">
        <v>45353</v>
      </c>
      <c r="D5900" t="inlineStr">
        <is>
          <t>VÄRMLANDS LÄN</t>
        </is>
      </c>
      <c r="E5900" t="inlineStr">
        <is>
          <t>KARLSTAD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42060-2021</t>
        </is>
      </c>
      <c r="B5901" s="1" t="n">
        <v>44426</v>
      </c>
      <c r="C5901" s="1" t="n">
        <v>45353</v>
      </c>
      <c r="D5901" t="inlineStr">
        <is>
          <t>VÄRMLANDS LÄN</t>
        </is>
      </c>
      <c r="E5901" t="inlineStr">
        <is>
          <t>KARLSTAD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42044-2021</t>
        </is>
      </c>
      <c r="B5902" s="1" t="n">
        <v>44426</v>
      </c>
      <c r="C5902" s="1" t="n">
        <v>45353</v>
      </c>
      <c r="D5902" t="inlineStr">
        <is>
          <t>VÄRMLANDS LÄN</t>
        </is>
      </c>
      <c r="E5902" t="inlineStr">
        <is>
          <t>ARVIKA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41867-2021</t>
        </is>
      </c>
      <c r="B5903" s="1" t="n">
        <v>44426</v>
      </c>
      <c r="C5903" s="1" t="n">
        <v>45353</v>
      </c>
      <c r="D5903" t="inlineStr">
        <is>
          <t>VÄRMLANDS LÄN</t>
        </is>
      </c>
      <c r="E5903" t="inlineStr">
        <is>
          <t>STORFORS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41944-2021</t>
        </is>
      </c>
      <c r="B5904" s="1" t="n">
        <v>44426</v>
      </c>
      <c r="C5904" s="1" t="n">
        <v>45353</v>
      </c>
      <c r="D5904" t="inlineStr">
        <is>
          <t>VÄRMLANDS LÄN</t>
        </is>
      </c>
      <c r="E5904" t="inlineStr">
        <is>
          <t>KARLSTAD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42064-2021</t>
        </is>
      </c>
      <c r="B5905" s="1" t="n">
        <v>44426</v>
      </c>
      <c r="C5905" s="1" t="n">
        <v>45353</v>
      </c>
      <c r="D5905" t="inlineStr">
        <is>
          <t>VÄRMLANDS LÄN</t>
        </is>
      </c>
      <c r="E5905" t="inlineStr">
        <is>
          <t>ARVIKA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42205-2021</t>
        </is>
      </c>
      <c r="B5906" s="1" t="n">
        <v>44426</v>
      </c>
      <c r="C5906" s="1" t="n">
        <v>45353</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42163-2021</t>
        </is>
      </c>
      <c r="B5907" s="1" t="n">
        <v>44426</v>
      </c>
      <c r="C5907" s="1" t="n">
        <v>45353</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42160-2021</t>
        </is>
      </c>
      <c r="B5908" s="1" t="n">
        <v>44426</v>
      </c>
      <c r="C5908" s="1" t="n">
        <v>45353</v>
      </c>
      <c r="D5908" t="inlineStr">
        <is>
          <t>VÄRMLANDS LÄN</t>
        </is>
      </c>
      <c r="E5908" t="inlineStr">
        <is>
          <t>SUNNE</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42166-2021</t>
        </is>
      </c>
      <c r="B5909" s="1" t="n">
        <v>44426</v>
      </c>
      <c r="C5909" s="1" t="n">
        <v>45353</v>
      </c>
      <c r="D5909" t="inlineStr">
        <is>
          <t>VÄRMLANDS LÄN</t>
        </is>
      </c>
      <c r="E5909" t="inlineStr">
        <is>
          <t>SUNNE</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42197-2021</t>
        </is>
      </c>
      <c r="B5910" s="1" t="n">
        <v>44426</v>
      </c>
      <c r="C5910" s="1" t="n">
        <v>45353</v>
      </c>
      <c r="D5910" t="inlineStr">
        <is>
          <t>VÄRMLANDS LÄN</t>
        </is>
      </c>
      <c r="E5910" t="inlineStr">
        <is>
          <t>EDA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42266-2021</t>
        </is>
      </c>
      <c r="B5911" s="1" t="n">
        <v>44426</v>
      </c>
      <c r="C5911" s="1" t="n">
        <v>45353</v>
      </c>
      <c r="D5911" t="inlineStr">
        <is>
          <t>VÄRMLANDS LÄN</t>
        </is>
      </c>
      <c r="E5911" t="inlineStr">
        <is>
          <t>SUNNE</t>
        </is>
      </c>
      <c r="G5911" t="n">
        <v>18.8</v>
      </c>
      <c r="H5911" t="n">
        <v>0</v>
      </c>
      <c r="I5911" t="n">
        <v>0</v>
      </c>
      <c r="J5911" t="n">
        <v>0</v>
      </c>
      <c r="K5911" t="n">
        <v>0</v>
      </c>
      <c r="L5911" t="n">
        <v>0</v>
      </c>
      <c r="M5911" t="n">
        <v>0</v>
      </c>
      <c r="N5911" t="n">
        <v>0</v>
      </c>
      <c r="O5911" t="n">
        <v>0</v>
      </c>
      <c r="P5911" t="n">
        <v>0</v>
      </c>
      <c r="Q5911" t="n">
        <v>0</v>
      </c>
      <c r="R5911" s="2" t="inlineStr"/>
    </row>
    <row r="5912" ht="15" customHeight="1">
      <c r="A5912" t="inlineStr">
        <is>
          <t>A 42079-2021</t>
        </is>
      </c>
      <c r="B5912" s="1" t="n">
        <v>44426</v>
      </c>
      <c r="C5912" s="1" t="n">
        <v>45353</v>
      </c>
      <c r="D5912" t="inlineStr">
        <is>
          <t>VÄRMLANDS LÄN</t>
        </is>
      </c>
      <c r="E5912" t="inlineStr">
        <is>
          <t>MUNKFORS</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42091-2021</t>
        </is>
      </c>
      <c r="B5913" s="1" t="n">
        <v>44426</v>
      </c>
      <c r="C5913" s="1" t="n">
        <v>45353</v>
      </c>
      <c r="D5913" t="inlineStr">
        <is>
          <t>VÄRMLANDS LÄN</t>
        </is>
      </c>
      <c r="E5913" t="inlineStr">
        <is>
          <t>SUNNE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42220-2021</t>
        </is>
      </c>
      <c r="B5914" s="1" t="n">
        <v>44426</v>
      </c>
      <c r="C5914" s="1" t="n">
        <v>45353</v>
      </c>
      <c r="D5914" t="inlineStr">
        <is>
          <t>VÄRMLANDS LÄN</t>
        </is>
      </c>
      <c r="E5914" t="inlineStr">
        <is>
          <t>KRISTINEHAMN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42171-2021</t>
        </is>
      </c>
      <c r="B5915" s="1" t="n">
        <v>44426</v>
      </c>
      <c r="C5915" s="1" t="n">
        <v>45353</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42200-2021</t>
        </is>
      </c>
      <c r="B5916" s="1" t="n">
        <v>44426</v>
      </c>
      <c r="C5916" s="1" t="n">
        <v>45353</v>
      </c>
      <c r="D5916" t="inlineStr">
        <is>
          <t>VÄRMLANDS LÄN</t>
        </is>
      </c>
      <c r="E5916" t="inlineStr">
        <is>
          <t>EDA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42213-2021</t>
        </is>
      </c>
      <c r="B5917" s="1" t="n">
        <v>44426</v>
      </c>
      <c r="C5917" s="1" t="n">
        <v>45353</v>
      </c>
      <c r="D5917" t="inlineStr">
        <is>
          <t>VÄRMLANDS LÄN</t>
        </is>
      </c>
      <c r="E5917" t="inlineStr">
        <is>
          <t>SUNNE</t>
        </is>
      </c>
      <c r="F5917" t="inlineStr">
        <is>
          <t>Övriga Aktiebolag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42283-2021</t>
        </is>
      </c>
      <c r="B5918" s="1" t="n">
        <v>44427</v>
      </c>
      <c r="C5918" s="1" t="n">
        <v>45353</v>
      </c>
      <c r="D5918" t="inlineStr">
        <is>
          <t>VÄRMLANDS LÄN</t>
        </is>
      </c>
      <c r="E5918" t="inlineStr">
        <is>
          <t>KARLSTAD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42314-2021</t>
        </is>
      </c>
      <c r="B5919" s="1" t="n">
        <v>44427</v>
      </c>
      <c r="C5919" s="1" t="n">
        <v>45353</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42347-2021</t>
        </is>
      </c>
      <c r="B5920" s="1" t="n">
        <v>44427</v>
      </c>
      <c r="C5920" s="1" t="n">
        <v>45353</v>
      </c>
      <c r="D5920" t="inlineStr">
        <is>
          <t>VÄRMLANDS LÄN</t>
        </is>
      </c>
      <c r="E5920" t="inlineStr">
        <is>
          <t>TORSBY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42413-2021</t>
        </is>
      </c>
      <c r="B5921" s="1" t="n">
        <v>44427</v>
      </c>
      <c r="C5921" s="1" t="n">
        <v>45353</v>
      </c>
      <c r="D5921" t="inlineStr">
        <is>
          <t>VÄRMLANDS LÄN</t>
        </is>
      </c>
      <c r="E5921" t="inlineStr">
        <is>
          <t>EDA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42522-2021</t>
        </is>
      </c>
      <c r="B5922" s="1" t="n">
        <v>44427</v>
      </c>
      <c r="C5922" s="1" t="n">
        <v>45353</v>
      </c>
      <c r="D5922" t="inlineStr">
        <is>
          <t>VÄRMLANDS LÄN</t>
        </is>
      </c>
      <c r="E5922" t="inlineStr">
        <is>
          <t>KIL</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42475-2021</t>
        </is>
      </c>
      <c r="B5923" s="1" t="n">
        <v>44427</v>
      </c>
      <c r="C5923" s="1" t="n">
        <v>45353</v>
      </c>
      <c r="D5923" t="inlineStr">
        <is>
          <t>VÄRMLANDS LÄN</t>
        </is>
      </c>
      <c r="E5923" t="inlineStr">
        <is>
          <t>KIL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42576-2021</t>
        </is>
      </c>
      <c r="B5924" s="1" t="n">
        <v>44428</v>
      </c>
      <c r="C5924" s="1" t="n">
        <v>45353</v>
      </c>
      <c r="D5924" t="inlineStr">
        <is>
          <t>VÄRMLANDS LÄN</t>
        </is>
      </c>
      <c r="E5924" t="inlineStr">
        <is>
          <t>ÅRJÄNG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42593-2021</t>
        </is>
      </c>
      <c r="B5925" s="1" t="n">
        <v>44428</v>
      </c>
      <c r="C5925" s="1" t="n">
        <v>45353</v>
      </c>
      <c r="D5925" t="inlineStr">
        <is>
          <t>VÄRMLANDS LÄN</t>
        </is>
      </c>
      <c r="E5925" t="inlineStr">
        <is>
          <t>HAGFORS</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42615-2021</t>
        </is>
      </c>
      <c r="B5926" s="1" t="n">
        <v>44428</v>
      </c>
      <c r="C5926" s="1" t="n">
        <v>45353</v>
      </c>
      <c r="D5926" t="inlineStr">
        <is>
          <t>VÄRMLANDS LÄN</t>
        </is>
      </c>
      <c r="E5926" t="inlineStr">
        <is>
          <t>TORSBY</t>
        </is>
      </c>
      <c r="F5926" t="inlineStr">
        <is>
          <t>Bergvik skog väst AB</t>
        </is>
      </c>
      <c r="G5926" t="n">
        <v>37.2</v>
      </c>
      <c r="H5926" t="n">
        <v>0</v>
      </c>
      <c r="I5926" t="n">
        <v>0</v>
      </c>
      <c r="J5926" t="n">
        <v>0</v>
      </c>
      <c r="K5926" t="n">
        <v>0</v>
      </c>
      <c r="L5926" t="n">
        <v>0</v>
      </c>
      <c r="M5926" t="n">
        <v>0</v>
      </c>
      <c r="N5926" t="n">
        <v>0</v>
      </c>
      <c r="O5926" t="n">
        <v>0</v>
      </c>
      <c r="P5926" t="n">
        <v>0</v>
      </c>
      <c r="Q5926" t="n">
        <v>0</v>
      </c>
      <c r="R5926" s="2" t="inlineStr"/>
    </row>
    <row r="5927" ht="15" customHeight="1">
      <c r="A5927" t="inlineStr">
        <is>
          <t>A 42635-2021</t>
        </is>
      </c>
      <c r="B5927" s="1" t="n">
        <v>44428</v>
      </c>
      <c r="C5927" s="1" t="n">
        <v>45353</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42646-2021</t>
        </is>
      </c>
      <c r="B5928" s="1" t="n">
        <v>44428</v>
      </c>
      <c r="C5928" s="1" t="n">
        <v>45353</v>
      </c>
      <c r="D5928" t="inlineStr">
        <is>
          <t>VÄRMLANDS LÄN</t>
        </is>
      </c>
      <c r="E5928" t="inlineStr">
        <is>
          <t>TORSBY</t>
        </is>
      </c>
      <c r="F5928" t="inlineStr">
        <is>
          <t>Bergvik skog väst AB</t>
        </is>
      </c>
      <c r="G5928" t="n">
        <v>21.4</v>
      </c>
      <c r="H5928" t="n">
        <v>0</v>
      </c>
      <c r="I5928" t="n">
        <v>0</v>
      </c>
      <c r="J5928" t="n">
        <v>0</v>
      </c>
      <c r="K5928" t="n">
        <v>0</v>
      </c>
      <c r="L5928" t="n">
        <v>0</v>
      </c>
      <c r="M5928" t="n">
        <v>0</v>
      </c>
      <c r="N5928" t="n">
        <v>0</v>
      </c>
      <c r="O5928" t="n">
        <v>0</v>
      </c>
      <c r="P5928" t="n">
        <v>0</v>
      </c>
      <c r="Q5928" t="n">
        <v>0</v>
      </c>
      <c r="R5928" s="2" t="inlineStr"/>
    </row>
    <row r="5929" ht="15" customHeight="1">
      <c r="A5929" t="inlineStr">
        <is>
          <t>A 42664-2021</t>
        </is>
      </c>
      <c r="B5929" s="1" t="n">
        <v>44428</v>
      </c>
      <c r="C5929" s="1" t="n">
        <v>45353</v>
      </c>
      <c r="D5929" t="inlineStr">
        <is>
          <t>VÄRMLANDS LÄN</t>
        </is>
      </c>
      <c r="E5929" t="inlineStr">
        <is>
          <t>KARLSTAD</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42725-2021</t>
        </is>
      </c>
      <c r="B5930" s="1" t="n">
        <v>44428</v>
      </c>
      <c r="C5930" s="1" t="n">
        <v>45353</v>
      </c>
      <c r="D5930" t="inlineStr">
        <is>
          <t>VÄRMLANDS LÄN</t>
        </is>
      </c>
      <c r="E5930" t="inlineStr">
        <is>
          <t>KARLSTAD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42705-2021</t>
        </is>
      </c>
      <c r="B5931" s="1" t="n">
        <v>44428</v>
      </c>
      <c r="C5931" s="1" t="n">
        <v>45353</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42734-2021</t>
        </is>
      </c>
      <c r="B5932" s="1" t="n">
        <v>44428</v>
      </c>
      <c r="C5932" s="1" t="n">
        <v>45353</v>
      </c>
      <c r="D5932" t="inlineStr">
        <is>
          <t>VÄRMLANDS LÄN</t>
        </is>
      </c>
      <c r="E5932" t="inlineStr">
        <is>
          <t>ARVIKA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43052-2021</t>
        </is>
      </c>
      <c r="B5933" s="1" t="n">
        <v>44431</v>
      </c>
      <c r="C5933" s="1" t="n">
        <v>45353</v>
      </c>
      <c r="D5933" t="inlineStr">
        <is>
          <t>VÄRMLANDS LÄN</t>
        </is>
      </c>
      <c r="E5933" t="inlineStr">
        <is>
          <t>TORSBY</t>
        </is>
      </c>
      <c r="G5933" t="n">
        <v>25.1</v>
      </c>
      <c r="H5933" t="n">
        <v>0</v>
      </c>
      <c r="I5933" t="n">
        <v>0</v>
      </c>
      <c r="J5933" t="n">
        <v>0</v>
      </c>
      <c r="K5933" t="n">
        <v>0</v>
      </c>
      <c r="L5933" t="n">
        <v>0</v>
      </c>
      <c r="M5933" t="n">
        <v>0</v>
      </c>
      <c r="N5933" t="n">
        <v>0</v>
      </c>
      <c r="O5933" t="n">
        <v>0</v>
      </c>
      <c r="P5933" t="n">
        <v>0</v>
      </c>
      <c r="Q5933" t="n">
        <v>0</v>
      </c>
      <c r="R5933" s="2" t="inlineStr"/>
    </row>
    <row r="5934" ht="15" customHeight="1">
      <c r="A5934" t="inlineStr">
        <is>
          <t>A 43060-2021</t>
        </is>
      </c>
      <c r="B5934" s="1" t="n">
        <v>44431</v>
      </c>
      <c r="C5934" s="1" t="n">
        <v>45353</v>
      </c>
      <c r="D5934" t="inlineStr">
        <is>
          <t>VÄRMLANDS LÄN</t>
        </is>
      </c>
      <c r="E5934" t="inlineStr">
        <is>
          <t>TORSBY</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43027-2021</t>
        </is>
      </c>
      <c r="B5935" s="1" t="n">
        <v>44431</v>
      </c>
      <c r="C5935" s="1" t="n">
        <v>45353</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42947-2021</t>
        </is>
      </c>
      <c r="B5936" s="1" t="n">
        <v>44431</v>
      </c>
      <c r="C5936" s="1" t="n">
        <v>45353</v>
      </c>
      <c r="D5936" t="inlineStr">
        <is>
          <t>VÄRMLANDS LÄN</t>
        </is>
      </c>
      <c r="E5936" t="inlineStr">
        <is>
          <t>KRISTINEHAMN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42963-2021</t>
        </is>
      </c>
      <c r="B5937" s="1" t="n">
        <v>44431</v>
      </c>
      <c r="C5937" s="1" t="n">
        <v>45353</v>
      </c>
      <c r="D5937" t="inlineStr">
        <is>
          <t>VÄRMLANDS LÄN</t>
        </is>
      </c>
      <c r="E5937" t="inlineStr">
        <is>
          <t>ÅRJÄNG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43029-2021</t>
        </is>
      </c>
      <c r="B5938" s="1" t="n">
        <v>44431</v>
      </c>
      <c r="C5938" s="1" t="n">
        <v>45353</v>
      </c>
      <c r="D5938" t="inlineStr">
        <is>
          <t>VÄRMLANDS LÄN</t>
        </is>
      </c>
      <c r="E5938" t="inlineStr">
        <is>
          <t>ÅRJÄNG</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43048-2021</t>
        </is>
      </c>
      <c r="B5939" s="1" t="n">
        <v>44431</v>
      </c>
      <c r="C5939" s="1" t="n">
        <v>45353</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42901-2021</t>
        </is>
      </c>
      <c r="B5940" s="1" t="n">
        <v>44431</v>
      </c>
      <c r="C5940" s="1" t="n">
        <v>45353</v>
      </c>
      <c r="D5940" t="inlineStr">
        <is>
          <t>VÄRMLANDS LÄN</t>
        </is>
      </c>
      <c r="E5940" t="inlineStr">
        <is>
          <t>KARLSTAD</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42915-2021</t>
        </is>
      </c>
      <c r="B5941" s="1" t="n">
        <v>44431</v>
      </c>
      <c r="C5941" s="1" t="n">
        <v>45353</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42956-2021</t>
        </is>
      </c>
      <c r="B5942" s="1" t="n">
        <v>44431</v>
      </c>
      <c r="C5942" s="1" t="n">
        <v>45353</v>
      </c>
      <c r="D5942" t="inlineStr">
        <is>
          <t>VÄRMLANDS LÄN</t>
        </is>
      </c>
      <c r="E5942" t="inlineStr">
        <is>
          <t>ÅRJÄNG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42994-2021</t>
        </is>
      </c>
      <c r="B5943" s="1" t="n">
        <v>44431</v>
      </c>
      <c r="C5943" s="1" t="n">
        <v>45353</v>
      </c>
      <c r="D5943" t="inlineStr">
        <is>
          <t>VÄRMLANDS LÄN</t>
        </is>
      </c>
      <c r="E5943" t="inlineStr">
        <is>
          <t>SÄFFLE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43034-2021</t>
        </is>
      </c>
      <c r="B5944" s="1" t="n">
        <v>44431</v>
      </c>
      <c r="C5944" s="1" t="n">
        <v>45353</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43058-2021</t>
        </is>
      </c>
      <c r="B5945" s="1" t="n">
        <v>44431</v>
      </c>
      <c r="C5945" s="1" t="n">
        <v>45353</v>
      </c>
      <c r="D5945" t="inlineStr">
        <is>
          <t>VÄRMLANDS LÄN</t>
        </is>
      </c>
      <c r="E5945" t="inlineStr">
        <is>
          <t>SUNNE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43113-2021</t>
        </is>
      </c>
      <c r="B5946" s="1" t="n">
        <v>44431</v>
      </c>
      <c r="C5946" s="1" t="n">
        <v>45353</v>
      </c>
      <c r="D5946" t="inlineStr">
        <is>
          <t>VÄRMLANDS LÄN</t>
        </is>
      </c>
      <c r="E5946" t="inlineStr">
        <is>
          <t>SUNNE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43128-2021</t>
        </is>
      </c>
      <c r="B5947" s="1" t="n">
        <v>44431</v>
      </c>
      <c r="C5947" s="1" t="n">
        <v>45353</v>
      </c>
      <c r="D5947" t="inlineStr">
        <is>
          <t>VÄRMLANDS LÄN</t>
        </is>
      </c>
      <c r="E5947" t="inlineStr">
        <is>
          <t>TORSBY</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43136-2021</t>
        </is>
      </c>
      <c r="B5948" s="1" t="n">
        <v>44431</v>
      </c>
      <c r="C5948" s="1" t="n">
        <v>45353</v>
      </c>
      <c r="D5948" t="inlineStr">
        <is>
          <t>VÄRMLANDS LÄN</t>
        </is>
      </c>
      <c r="E5948" t="inlineStr">
        <is>
          <t>TORSBY</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43169-2021</t>
        </is>
      </c>
      <c r="B5949" s="1" t="n">
        <v>44431</v>
      </c>
      <c r="C5949" s="1" t="n">
        <v>45353</v>
      </c>
      <c r="D5949" t="inlineStr">
        <is>
          <t>VÄRMLANDS LÄN</t>
        </is>
      </c>
      <c r="E5949" t="inlineStr">
        <is>
          <t>TORSBY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43095-2021</t>
        </is>
      </c>
      <c r="B5950" s="1" t="n">
        <v>44431</v>
      </c>
      <c r="C5950" s="1" t="n">
        <v>45353</v>
      </c>
      <c r="D5950" t="inlineStr">
        <is>
          <t>VÄRMLANDS LÄN</t>
        </is>
      </c>
      <c r="E5950" t="inlineStr">
        <is>
          <t>TORSBY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43157-2021</t>
        </is>
      </c>
      <c r="B5951" s="1" t="n">
        <v>44431</v>
      </c>
      <c r="C5951" s="1" t="n">
        <v>45353</v>
      </c>
      <c r="D5951" t="inlineStr">
        <is>
          <t>VÄRMLANDS LÄN</t>
        </is>
      </c>
      <c r="E5951" t="inlineStr">
        <is>
          <t>TORSBY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43127-2021</t>
        </is>
      </c>
      <c r="B5952" s="1" t="n">
        <v>44431</v>
      </c>
      <c r="C5952" s="1" t="n">
        <v>45353</v>
      </c>
      <c r="D5952" t="inlineStr">
        <is>
          <t>VÄRMLANDS LÄN</t>
        </is>
      </c>
      <c r="E5952" t="inlineStr">
        <is>
          <t>TORSBY</t>
        </is>
      </c>
      <c r="G5952" t="n">
        <v>23.3</v>
      </c>
      <c r="H5952" t="n">
        <v>0</v>
      </c>
      <c r="I5952" t="n">
        <v>0</v>
      </c>
      <c r="J5952" t="n">
        <v>0</v>
      </c>
      <c r="K5952" t="n">
        <v>0</v>
      </c>
      <c r="L5952" t="n">
        <v>0</v>
      </c>
      <c r="M5952" t="n">
        <v>0</v>
      </c>
      <c r="N5952" t="n">
        <v>0</v>
      </c>
      <c r="O5952" t="n">
        <v>0</v>
      </c>
      <c r="P5952" t="n">
        <v>0</v>
      </c>
      <c r="Q5952" t="n">
        <v>0</v>
      </c>
      <c r="R5952" s="2" t="inlineStr"/>
    </row>
    <row r="5953" ht="15" customHeight="1">
      <c r="A5953" t="inlineStr">
        <is>
          <t>A 43161-2021</t>
        </is>
      </c>
      <c r="B5953" s="1" t="n">
        <v>44431</v>
      </c>
      <c r="C5953" s="1" t="n">
        <v>45353</v>
      </c>
      <c r="D5953" t="inlineStr">
        <is>
          <t>VÄRMLANDS LÄN</t>
        </is>
      </c>
      <c r="E5953" t="inlineStr">
        <is>
          <t>TORSBY</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43283-2021</t>
        </is>
      </c>
      <c r="B5954" s="1" t="n">
        <v>44432</v>
      </c>
      <c r="C5954" s="1" t="n">
        <v>45353</v>
      </c>
      <c r="D5954" t="inlineStr">
        <is>
          <t>VÄRMLANDS LÄN</t>
        </is>
      </c>
      <c r="E5954" t="inlineStr">
        <is>
          <t>SUNNE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43244-2021</t>
        </is>
      </c>
      <c r="B5955" s="1" t="n">
        <v>44432</v>
      </c>
      <c r="C5955" s="1" t="n">
        <v>45353</v>
      </c>
      <c r="D5955" t="inlineStr">
        <is>
          <t>VÄRMLANDS LÄN</t>
        </is>
      </c>
      <c r="E5955" t="inlineStr">
        <is>
          <t>GRUMS</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43347-2021</t>
        </is>
      </c>
      <c r="B5956" s="1" t="n">
        <v>44432</v>
      </c>
      <c r="C5956" s="1" t="n">
        <v>45353</v>
      </c>
      <c r="D5956" t="inlineStr">
        <is>
          <t>VÄRMLANDS LÄN</t>
        </is>
      </c>
      <c r="E5956" t="inlineStr">
        <is>
          <t>EDA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43242-2021</t>
        </is>
      </c>
      <c r="B5957" s="1" t="n">
        <v>44432</v>
      </c>
      <c r="C5957" s="1" t="n">
        <v>45353</v>
      </c>
      <c r="D5957" t="inlineStr">
        <is>
          <t>VÄRMLANDS LÄN</t>
        </is>
      </c>
      <c r="E5957" t="inlineStr">
        <is>
          <t>GRUMS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43263-2021</t>
        </is>
      </c>
      <c r="B5958" s="1" t="n">
        <v>44432</v>
      </c>
      <c r="C5958" s="1" t="n">
        <v>45353</v>
      </c>
      <c r="D5958" t="inlineStr">
        <is>
          <t>VÄRMLANDS LÄN</t>
        </is>
      </c>
      <c r="E5958" t="inlineStr">
        <is>
          <t>KARLSTAD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43423-2021</t>
        </is>
      </c>
      <c r="B5959" s="1" t="n">
        <v>44432</v>
      </c>
      <c r="C5959" s="1" t="n">
        <v>45353</v>
      </c>
      <c r="D5959" t="inlineStr">
        <is>
          <t>VÄRMLANDS LÄN</t>
        </is>
      </c>
      <c r="E5959" t="inlineStr">
        <is>
          <t>EDA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43461-2021</t>
        </is>
      </c>
      <c r="B5960" s="1" t="n">
        <v>44432</v>
      </c>
      <c r="C5960" s="1" t="n">
        <v>45353</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43472-2021</t>
        </is>
      </c>
      <c r="B5961" s="1" t="n">
        <v>44432</v>
      </c>
      <c r="C5961" s="1" t="n">
        <v>45353</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43473-2021</t>
        </is>
      </c>
      <c r="B5962" s="1" t="n">
        <v>44432</v>
      </c>
      <c r="C5962" s="1" t="n">
        <v>45353</v>
      </c>
      <c r="D5962" t="inlineStr">
        <is>
          <t>VÄRMLANDS LÄN</t>
        </is>
      </c>
      <c r="E5962" t="inlineStr">
        <is>
          <t>HAGFORS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43578-2021</t>
        </is>
      </c>
      <c r="B5963" s="1" t="n">
        <v>44433</v>
      </c>
      <c r="C5963" s="1" t="n">
        <v>45353</v>
      </c>
      <c r="D5963" t="inlineStr">
        <is>
          <t>VÄRMLANDS LÄN</t>
        </is>
      </c>
      <c r="E5963" t="inlineStr">
        <is>
          <t>ÅRJÄNG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43689-2021</t>
        </is>
      </c>
      <c r="B5964" s="1" t="n">
        <v>44433</v>
      </c>
      <c r="C5964" s="1" t="n">
        <v>45353</v>
      </c>
      <c r="D5964" t="inlineStr">
        <is>
          <t>VÄRMLANDS LÄN</t>
        </is>
      </c>
      <c r="E5964" t="inlineStr">
        <is>
          <t>EDA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43631-2021</t>
        </is>
      </c>
      <c r="B5965" s="1" t="n">
        <v>44433</v>
      </c>
      <c r="C5965" s="1" t="n">
        <v>45353</v>
      </c>
      <c r="D5965" t="inlineStr">
        <is>
          <t>VÄRMLANDS LÄN</t>
        </is>
      </c>
      <c r="E5965" t="inlineStr">
        <is>
          <t>HAMMARÖ</t>
        </is>
      </c>
      <c r="F5965" t="inlineStr">
        <is>
          <t>Kommuner</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43643-2021</t>
        </is>
      </c>
      <c r="B5966" s="1" t="n">
        <v>44433</v>
      </c>
      <c r="C5966" s="1" t="n">
        <v>45353</v>
      </c>
      <c r="D5966" t="inlineStr">
        <is>
          <t>VÄRMLANDS LÄN</t>
        </is>
      </c>
      <c r="E5966" t="inlineStr">
        <is>
          <t>FILIPSTAD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43656-2021</t>
        </is>
      </c>
      <c r="B5967" s="1" t="n">
        <v>44433</v>
      </c>
      <c r="C5967" s="1" t="n">
        <v>45353</v>
      </c>
      <c r="D5967" t="inlineStr">
        <is>
          <t>VÄRMLANDS LÄN</t>
        </is>
      </c>
      <c r="E5967" t="inlineStr">
        <is>
          <t>SUNNE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43667-2021</t>
        </is>
      </c>
      <c r="B5968" s="1" t="n">
        <v>44433</v>
      </c>
      <c r="C5968" s="1" t="n">
        <v>45353</v>
      </c>
      <c r="D5968" t="inlineStr">
        <is>
          <t>VÄRMLANDS LÄN</t>
        </is>
      </c>
      <c r="E5968" t="inlineStr">
        <is>
          <t>KIL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43542-2021</t>
        </is>
      </c>
      <c r="B5969" s="1" t="n">
        <v>44433</v>
      </c>
      <c r="C5969" s="1" t="n">
        <v>45353</v>
      </c>
      <c r="D5969" t="inlineStr">
        <is>
          <t>VÄRMLANDS LÄN</t>
        </is>
      </c>
      <c r="E5969" t="inlineStr">
        <is>
          <t>KARLSTAD</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43661-2021</t>
        </is>
      </c>
      <c r="B5970" s="1" t="n">
        <v>44433</v>
      </c>
      <c r="C5970" s="1" t="n">
        <v>45353</v>
      </c>
      <c r="D5970" t="inlineStr">
        <is>
          <t>VÄRMLANDS LÄN</t>
        </is>
      </c>
      <c r="E5970" t="inlineStr">
        <is>
          <t>KIL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43736-2021</t>
        </is>
      </c>
      <c r="B5971" s="1" t="n">
        <v>44433</v>
      </c>
      <c r="C5971" s="1" t="n">
        <v>45353</v>
      </c>
      <c r="D5971" t="inlineStr">
        <is>
          <t>VÄRMLANDS LÄN</t>
        </is>
      </c>
      <c r="E5971" t="inlineStr">
        <is>
          <t>HAGFORS</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43784-2021</t>
        </is>
      </c>
      <c r="B5972" s="1" t="n">
        <v>44433</v>
      </c>
      <c r="C5972" s="1" t="n">
        <v>45353</v>
      </c>
      <c r="D5972" t="inlineStr">
        <is>
          <t>VÄRMLANDS LÄN</t>
        </is>
      </c>
      <c r="E5972" t="inlineStr">
        <is>
          <t>TORSBY</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43816-2021</t>
        </is>
      </c>
      <c r="B5973" s="1" t="n">
        <v>44434</v>
      </c>
      <c r="C5973" s="1" t="n">
        <v>45353</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43634-2021</t>
        </is>
      </c>
      <c r="B5974" s="1" t="n">
        <v>44433</v>
      </c>
      <c r="C5974" s="1" t="n">
        <v>45353</v>
      </c>
      <c r="D5974" t="inlineStr">
        <is>
          <t>VÄRMLANDS LÄN</t>
        </is>
      </c>
      <c r="E5974" t="inlineStr">
        <is>
          <t>FILIPSTAD</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43960-2021</t>
        </is>
      </c>
      <c r="B5975" s="1" t="n">
        <v>44434</v>
      </c>
      <c r="C5975" s="1" t="n">
        <v>45353</v>
      </c>
      <c r="D5975" t="inlineStr">
        <is>
          <t>VÄRMLANDS LÄN</t>
        </is>
      </c>
      <c r="E5975" t="inlineStr">
        <is>
          <t>GRUMS</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43982-2021</t>
        </is>
      </c>
      <c r="B5976" s="1" t="n">
        <v>44434</v>
      </c>
      <c r="C5976" s="1" t="n">
        <v>45353</v>
      </c>
      <c r="D5976" t="inlineStr">
        <is>
          <t>VÄRMLANDS LÄN</t>
        </is>
      </c>
      <c r="E5976" t="inlineStr">
        <is>
          <t>SÄFFLE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43937-2021</t>
        </is>
      </c>
      <c r="B5977" s="1" t="n">
        <v>44434</v>
      </c>
      <c r="C5977" s="1" t="n">
        <v>45353</v>
      </c>
      <c r="D5977" t="inlineStr">
        <is>
          <t>VÄRMLANDS LÄN</t>
        </is>
      </c>
      <c r="E5977" t="inlineStr">
        <is>
          <t>SÄFFLE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44018-2021</t>
        </is>
      </c>
      <c r="B5978" s="1" t="n">
        <v>44434</v>
      </c>
      <c r="C5978" s="1" t="n">
        <v>45353</v>
      </c>
      <c r="D5978" t="inlineStr">
        <is>
          <t>VÄRMLANDS LÄN</t>
        </is>
      </c>
      <c r="E5978" t="inlineStr">
        <is>
          <t>TORSBY</t>
        </is>
      </c>
      <c r="F5978" t="inlineStr">
        <is>
          <t>Bergvik skog väst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44066-2021</t>
        </is>
      </c>
      <c r="B5979" s="1" t="n">
        <v>44434</v>
      </c>
      <c r="C5979" s="1" t="n">
        <v>45353</v>
      </c>
      <c r="D5979" t="inlineStr">
        <is>
          <t>VÄRMLANDS LÄN</t>
        </is>
      </c>
      <c r="E5979" t="inlineStr">
        <is>
          <t>SUNNE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44059-2021</t>
        </is>
      </c>
      <c r="B5980" s="1" t="n">
        <v>44434</v>
      </c>
      <c r="C5980" s="1" t="n">
        <v>45353</v>
      </c>
      <c r="D5980" t="inlineStr">
        <is>
          <t>VÄRMLANDS LÄN</t>
        </is>
      </c>
      <c r="E5980" t="inlineStr">
        <is>
          <t>HAGFORS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44067-2021</t>
        </is>
      </c>
      <c r="B5981" s="1" t="n">
        <v>44434</v>
      </c>
      <c r="C5981" s="1" t="n">
        <v>45353</v>
      </c>
      <c r="D5981" t="inlineStr">
        <is>
          <t>VÄRMLANDS LÄN</t>
        </is>
      </c>
      <c r="E5981" t="inlineStr">
        <is>
          <t>ARVIKA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44087-2021</t>
        </is>
      </c>
      <c r="B5982" s="1" t="n">
        <v>44434</v>
      </c>
      <c r="C5982" s="1" t="n">
        <v>45353</v>
      </c>
      <c r="D5982" t="inlineStr">
        <is>
          <t>VÄRMLANDS LÄN</t>
        </is>
      </c>
      <c r="E5982" t="inlineStr">
        <is>
          <t>SUNNE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44125-2021</t>
        </is>
      </c>
      <c r="B5983" s="1" t="n">
        <v>44434</v>
      </c>
      <c r="C5983" s="1" t="n">
        <v>45353</v>
      </c>
      <c r="D5983" t="inlineStr">
        <is>
          <t>VÄRMLANDS LÄN</t>
        </is>
      </c>
      <c r="E5983" t="inlineStr">
        <is>
          <t>HAGFORS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44178-2021</t>
        </is>
      </c>
      <c r="B5984" s="1" t="n">
        <v>44434</v>
      </c>
      <c r="C5984" s="1" t="n">
        <v>45353</v>
      </c>
      <c r="D5984" t="inlineStr">
        <is>
          <t>VÄRMLANDS LÄN</t>
        </is>
      </c>
      <c r="E5984" t="inlineStr">
        <is>
          <t>FILIPSTAD</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44080-2021</t>
        </is>
      </c>
      <c r="B5985" s="1" t="n">
        <v>44434</v>
      </c>
      <c r="C5985" s="1" t="n">
        <v>45353</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44331-2021</t>
        </is>
      </c>
      <c r="B5986" s="1" t="n">
        <v>44435</v>
      </c>
      <c r="C5986" s="1" t="n">
        <v>45353</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44418-2021</t>
        </is>
      </c>
      <c r="B5987" s="1" t="n">
        <v>44435</v>
      </c>
      <c r="C5987" s="1" t="n">
        <v>45353</v>
      </c>
      <c r="D5987" t="inlineStr">
        <is>
          <t>VÄRMLANDS LÄN</t>
        </is>
      </c>
      <c r="E5987" t="inlineStr">
        <is>
          <t>TORSBY</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44425-2021</t>
        </is>
      </c>
      <c r="B5988" s="1" t="n">
        <v>44435</v>
      </c>
      <c r="C5988" s="1" t="n">
        <v>45353</v>
      </c>
      <c r="D5988" t="inlineStr">
        <is>
          <t>VÄRMLANDS LÄN</t>
        </is>
      </c>
      <c r="E5988" t="inlineStr">
        <is>
          <t>ARVIKA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44432-2021</t>
        </is>
      </c>
      <c r="B5989" s="1" t="n">
        <v>44435</v>
      </c>
      <c r="C5989" s="1" t="n">
        <v>45353</v>
      </c>
      <c r="D5989" t="inlineStr">
        <is>
          <t>VÄRMLANDS LÄN</t>
        </is>
      </c>
      <c r="E5989" t="inlineStr">
        <is>
          <t>ARVIKA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44303-2021</t>
        </is>
      </c>
      <c r="B5990" s="1" t="n">
        <v>44435</v>
      </c>
      <c r="C5990" s="1" t="n">
        <v>45353</v>
      </c>
      <c r="D5990" t="inlineStr">
        <is>
          <t>VÄRMLANDS LÄN</t>
        </is>
      </c>
      <c r="E5990" t="inlineStr">
        <is>
          <t>SUNNE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44384-2021</t>
        </is>
      </c>
      <c r="B5991" s="1" t="n">
        <v>44435</v>
      </c>
      <c r="C5991" s="1" t="n">
        <v>45353</v>
      </c>
      <c r="D5991" t="inlineStr">
        <is>
          <t>VÄRMLANDS LÄN</t>
        </is>
      </c>
      <c r="E5991" t="inlineStr">
        <is>
          <t>FILIPSTAD</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44401-2021</t>
        </is>
      </c>
      <c r="B5992" s="1" t="n">
        <v>44435</v>
      </c>
      <c r="C5992" s="1" t="n">
        <v>45353</v>
      </c>
      <c r="D5992" t="inlineStr">
        <is>
          <t>VÄRMLANDS LÄN</t>
        </is>
      </c>
      <c r="E5992" t="inlineStr">
        <is>
          <t>FILIPSTAD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44420-2021</t>
        </is>
      </c>
      <c r="B5993" s="1" t="n">
        <v>44435</v>
      </c>
      <c r="C5993" s="1" t="n">
        <v>45353</v>
      </c>
      <c r="D5993" t="inlineStr">
        <is>
          <t>VÄRMLANDS LÄN</t>
        </is>
      </c>
      <c r="E5993" t="inlineStr">
        <is>
          <t>ARVIKA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44324-2021</t>
        </is>
      </c>
      <c r="B5994" s="1" t="n">
        <v>44435</v>
      </c>
      <c r="C5994" s="1" t="n">
        <v>45353</v>
      </c>
      <c r="D5994" t="inlineStr">
        <is>
          <t>VÄRMLANDS LÄN</t>
        </is>
      </c>
      <c r="E5994" t="inlineStr">
        <is>
          <t>SÄFFLE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44320-2021</t>
        </is>
      </c>
      <c r="B5995" s="1" t="n">
        <v>44435</v>
      </c>
      <c r="C5995" s="1" t="n">
        <v>45353</v>
      </c>
      <c r="D5995" t="inlineStr">
        <is>
          <t>VÄRMLANDS LÄN</t>
        </is>
      </c>
      <c r="E5995" t="inlineStr">
        <is>
          <t>SÄFFLE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44417-2021</t>
        </is>
      </c>
      <c r="B5996" s="1" t="n">
        <v>44435</v>
      </c>
      <c r="C5996" s="1" t="n">
        <v>45353</v>
      </c>
      <c r="D5996" t="inlineStr">
        <is>
          <t>VÄRMLANDS LÄN</t>
        </is>
      </c>
      <c r="E5996" t="inlineStr">
        <is>
          <t>ÅRJÄNG</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44443-2021</t>
        </is>
      </c>
      <c r="B5997" s="1" t="n">
        <v>44435</v>
      </c>
      <c r="C5997" s="1" t="n">
        <v>45353</v>
      </c>
      <c r="D5997" t="inlineStr">
        <is>
          <t>VÄRMLANDS LÄN</t>
        </is>
      </c>
      <c r="E5997" t="inlineStr">
        <is>
          <t>ARVIKA</t>
        </is>
      </c>
      <c r="G5997" t="n">
        <v>16.7</v>
      </c>
      <c r="H5997" t="n">
        <v>0</v>
      </c>
      <c r="I5997" t="n">
        <v>0</v>
      </c>
      <c r="J5997" t="n">
        <v>0</v>
      </c>
      <c r="K5997" t="n">
        <v>0</v>
      </c>
      <c r="L5997" t="n">
        <v>0</v>
      </c>
      <c r="M5997" t="n">
        <v>0</v>
      </c>
      <c r="N5997" t="n">
        <v>0</v>
      </c>
      <c r="O5997" t="n">
        <v>0</v>
      </c>
      <c r="P5997" t="n">
        <v>0</v>
      </c>
      <c r="Q5997" t="n">
        <v>0</v>
      </c>
      <c r="R5997" s="2" t="inlineStr"/>
    </row>
    <row r="5998" ht="15" customHeight="1">
      <c r="A5998" t="inlineStr">
        <is>
          <t>A 44419-2021</t>
        </is>
      </c>
      <c r="B5998" s="1" t="n">
        <v>44435</v>
      </c>
      <c r="C5998" s="1" t="n">
        <v>45353</v>
      </c>
      <c r="D5998" t="inlineStr">
        <is>
          <t>VÄRMLANDS LÄN</t>
        </is>
      </c>
      <c r="E5998" t="inlineStr">
        <is>
          <t>ARVIKA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44478-2021</t>
        </is>
      </c>
      <c r="B5999" s="1" t="n">
        <v>44435</v>
      </c>
      <c r="C5999" s="1" t="n">
        <v>45353</v>
      </c>
      <c r="D5999" t="inlineStr">
        <is>
          <t>VÄRMLANDS LÄN</t>
        </is>
      </c>
      <c r="E5999" t="inlineStr">
        <is>
          <t>SÄFFLE</t>
        </is>
      </c>
      <c r="F5999" t="inlineStr">
        <is>
          <t>Bergvik skog väst AB</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44539-2021</t>
        </is>
      </c>
      <c r="B6000" s="1" t="n">
        <v>44435</v>
      </c>
      <c r="C6000" s="1" t="n">
        <v>45353</v>
      </c>
      <c r="D6000" t="inlineStr">
        <is>
          <t>VÄRMLANDS LÄN</t>
        </is>
      </c>
      <c r="E6000" t="inlineStr">
        <is>
          <t>HAGFORS</t>
        </is>
      </c>
      <c r="F6000" t="inlineStr">
        <is>
          <t>Bergvik skog väst AB</t>
        </is>
      </c>
      <c r="G6000" t="n">
        <v>27.3</v>
      </c>
      <c r="H6000" t="n">
        <v>0</v>
      </c>
      <c r="I6000" t="n">
        <v>0</v>
      </c>
      <c r="J6000" t="n">
        <v>0</v>
      </c>
      <c r="K6000" t="n">
        <v>0</v>
      </c>
      <c r="L6000" t="n">
        <v>0</v>
      </c>
      <c r="M6000" t="n">
        <v>0</v>
      </c>
      <c r="N6000" t="n">
        <v>0</v>
      </c>
      <c r="O6000" t="n">
        <v>0</v>
      </c>
      <c r="P6000" t="n">
        <v>0</v>
      </c>
      <c r="Q6000" t="n">
        <v>0</v>
      </c>
      <c r="R6000" s="2" t="inlineStr"/>
    </row>
    <row r="6001" ht="15" customHeight="1">
      <c r="A6001" t="inlineStr">
        <is>
          <t>A 44497-2021</t>
        </is>
      </c>
      <c r="B6001" s="1" t="n">
        <v>44435</v>
      </c>
      <c r="C6001" s="1" t="n">
        <v>45353</v>
      </c>
      <c r="D6001" t="inlineStr">
        <is>
          <t>VÄRMLANDS LÄN</t>
        </is>
      </c>
      <c r="E6001" t="inlineStr">
        <is>
          <t>SUNNE</t>
        </is>
      </c>
      <c r="F6001" t="inlineStr">
        <is>
          <t>Kyrkan</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44490-2021</t>
        </is>
      </c>
      <c r="B6002" s="1" t="n">
        <v>44435</v>
      </c>
      <c r="C6002" s="1" t="n">
        <v>45353</v>
      </c>
      <c r="D6002" t="inlineStr">
        <is>
          <t>VÄRMLANDS LÄN</t>
        </is>
      </c>
      <c r="E6002" t="inlineStr">
        <is>
          <t>TORSBY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44465-2021</t>
        </is>
      </c>
      <c r="B6003" s="1" t="n">
        <v>44435</v>
      </c>
      <c r="C6003" s="1" t="n">
        <v>45353</v>
      </c>
      <c r="D6003" t="inlineStr">
        <is>
          <t>VÄRMLANDS LÄN</t>
        </is>
      </c>
      <c r="E6003" t="inlineStr">
        <is>
          <t>SUNNE</t>
        </is>
      </c>
      <c r="F6003" t="inlineStr">
        <is>
          <t>Kommuner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45716-2021</t>
        </is>
      </c>
      <c r="B6004" s="1" t="n">
        <v>44435</v>
      </c>
      <c r="C6004" s="1" t="n">
        <v>45353</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45740-2021</t>
        </is>
      </c>
      <c r="B6005" s="1" t="n">
        <v>44435</v>
      </c>
      <c r="C6005" s="1" t="n">
        <v>45353</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45756-2021</t>
        </is>
      </c>
      <c r="B6006" s="1" t="n">
        <v>44435</v>
      </c>
      <c r="C6006" s="1" t="n">
        <v>45353</v>
      </c>
      <c r="D6006" t="inlineStr">
        <is>
          <t>VÄRMLANDS LÄN</t>
        </is>
      </c>
      <c r="E6006" t="inlineStr">
        <is>
          <t>ARVIKA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44647-2021</t>
        </is>
      </c>
      <c r="B6007" s="1" t="n">
        <v>44437</v>
      </c>
      <c r="C6007" s="1" t="n">
        <v>45353</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44778-2021</t>
        </is>
      </c>
      <c r="B6008" s="1" t="n">
        <v>44438</v>
      </c>
      <c r="C6008" s="1" t="n">
        <v>45353</v>
      </c>
      <c r="D6008" t="inlineStr">
        <is>
          <t>VÄRMLANDS LÄN</t>
        </is>
      </c>
      <c r="E6008" t="inlineStr">
        <is>
          <t>SÄFFLE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44792-2021</t>
        </is>
      </c>
      <c r="B6009" s="1" t="n">
        <v>44438</v>
      </c>
      <c r="C6009" s="1" t="n">
        <v>45353</v>
      </c>
      <c r="D6009" t="inlineStr">
        <is>
          <t>VÄRMLANDS LÄN</t>
        </is>
      </c>
      <c r="E6009" t="inlineStr">
        <is>
          <t>SUNNE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44761-2021</t>
        </is>
      </c>
      <c r="B6010" s="1" t="n">
        <v>44438</v>
      </c>
      <c r="C6010" s="1" t="n">
        <v>45353</v>
      </c>
      <c r="D6010" t="inlineStr">
        <is>
          <t>VÄRMLANDS LÄN</t>
        </is>
      </c>
      <c r="E6010" t="inlineStr">
        <is>
          <t>TORSBY</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44796-2021</t>
        </is>
      </c>
      <c r="B6011" s="1" t="n">
        <v>44438</v>
      </c>
      <c r="C6011" s="1" t="n">
        <v>45353</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44835-2021</t>
        </is>
      </c>
      <c r="B6012" s="1" t="n">
        <v>44438</v>
      </c>
      <c r="C6012" s="1" t="n">
        <v>45353</v>
      </c>
      <c r="D6012" t="inlineStr">
        <is>
          <t>VÄRMLANDS LÄN</t>
        </is>
      </c>
      <c r="E6012" t="inlineStr">
        <is>
          <t>EDA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44824-2021</t>
        </is>
      </c>
      <c r="B6013" s="1" t="n">
        <v>44438</v>
      </c>
      <c r="C6013" s="1" t="n">
        <v>45353</v>
      </c>
      <c r="D6013" t="inlineStr">
        <is>
          <t>VÄRMLANDS LÄN</t>
        </is>
      </c>
      <c r="E6013" t="inlineStr">
        <is>
          <t>ARVIKA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44898-2021</t>
        </is>
      </c>
      <c r="B6014" s="1" t="n">
        <v>44438</v>
      </c>
      <c r="C6014" s="1" t="n">
        <v>45353</v>
      </c>
      <c r="D6014" t="inlineStr">
        <is>
          <t>VÄRMLANDS LÄN</t>
        </is>
      </c>
      <c r="E6014" t="inlineStr">
        <is>
          <t>HAGFORS</t>
        </is>
      </c>
      <c r="F6014" t="inlineStr">
        <is>
          <t>Bergvik skog väst AB</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44921-2021</t>
        </is>
      </c>
      <c r="B6015" s="1" t="n">
        <v>44438</v>
      </c>
      <c r="C6015" s="1" t="n">
        <v>45353</v>
      </c>
      <c r="D6015" t="inlineStr">
        <is>
          <t>VÄRMLANDS LÄN</t>
        </is>
      </c>
      <c r="E6015" t="inlineStr">
        <is>
          <t>ÅRJÄNG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44975-2021</t>
        </is>
      </c>
      <c r="B6016" s="1" t="n">
        <v>44438</v>
      </c>
      <c r="C6016" s="1" t="n">
        <v>45353</v>
      </c>
      <c r="D6016" t="inlineStr">
        <is>
          <t>VÄRMLANDS LÄN</t>
        </is>
      </c>
      <c r="E6016" t="inlineStr">
        <is>
          <t>ARVIKA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44979-2021</t>
        </is>
      </c>
      <c r="B6017" s="1" t="n">
        <v>44438</v>
      </c>
      <c r="C6017" s="1" t="n">
        <v>45353</v>
      </c>
      <c r="D6017" t="inlineStr">
        <is>
          <t>VÄRMLANDS LÄN</t>
        </is>
      </c>
      <c r="E6017" t="inlineStr">
        <is>
          <t>TORSBY</t>
        </is>
      </c>
      <c r="F6017" t="inlineStr">
        <is>
          <t>Bergvik skog väst AB</t>
        </is>
      </c>
      <c r="G6017" t="n">
        <v>22.2</v>
      </c>
      <c r="H6017" t="n">
        <v>0</v>
      </c>
      <c r="I6017" t="n">
        <v>0</v>
      </c>
      <c r="J6017" t="n">
        <v>0</v>
      </c>
      <c r="K6017" t="n">
        <v>0</v>
      </c>
      <c r="L6017" t="n">
        <v>0</v>
      </c>
      <c r="M6017" t="n">
        <v>0</v>
      </c>
      <c r="N6017" t="n">
        <v>0</v>
      </c>
      <c r="O6017" t="n">
        <v>0</v>
      </c>
      <c r="P6017" t="n">
        <v>0</v>
      </c>
      <c r="Q6017" t="n">
        <v>0</v>
      </c>
      <c r="R6017" s="2" t="inlineStr"/>
    </row>
    <row r="6018" ht="15" customHeight="1">
      <c r="A6018" t="inlineStr">
        <is>
          <t>A 44904-2021</t>
        </is>
      </c>
      <c r="B6018" s="1" t="n">
        <v>44438</v>
      </c>
      <c r="C6018" s="1" t="n">
        <v>45353</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44923-2021</t>
        </is>
      </c>
      <c r="B6019" s="1" t="n">
        <v>44438</v>
      </c>
      <c r="C6019" s="1" t="n">
        <v>45353</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44974-2021</t>
        </is>
      </c>
      <c r="B6020" s="1" t="n">
        <v>44438</v>
      </c>
      <c r="C6020" s="1" t="n">
        <v>45353</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44896-2021</t>
        </is>
      </c>
      <c r="B6021" s="1" t="n">
        <v>44438</v>
      </c>
      <c r="C6021" s="1" t="n">
        <v>45353</v>
      </c>
      <c r="D6021" t="inlineStr">
        <is>
          <t>VÄRMLANDS LÄN</t>
        </is>
      </c>
      <c r="E6021" t="inlineStr">
        <is>
          <t>SUNNE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45052-2021</t>
        </is>
      </c>
      <c r="B6022" s="1" t="n">
        <v>44439</v>
      </c>
      <c r="C6022" s="1" t="n">
        <v>45353</v>
      </c>
      <c r="D6022" t="inlineStr">
        <is>
          <t>VÄRMLANDS LÄN</t>
        </is>
      </c>
      <c r="E6022" t="inlineStr">
        <is>
          <t>GRUMS</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45139-2021</t>
        </is>
      </c>
      <c r="B6023" s="1" t="n">
        <v>44439</v>
      </c>
      <c r="C6023" s="1" t="n">
        <v>45353</v>
      </c>
      <c r="D6023" t="inlineStr">
        <is>
          <t>VÄRMLANDS LÄN</t>
        </is>
      </c>
      <c r="E6023" t="inlineStr">
        <is>
          <t>FILIPSTAD</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45149-2021</t>
        </is>
      </c>
      <c r="B6024" s="1" t="n">
        <v>44439</v>
      </c>
      <c r="C6024" s="1" t="n">
        <v>45353</v>
      </c>
      <c r="D6024" t="inlineStr">
        <is>
          <t>VÄRMLANDS LÄN</t>
        </is>
      </c>
      <c r="E6024" t="inlineStr">
        <is>
          <t>SÄFFLE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45265-2021</t>
        </is>
      </c>
      <c r="B6025" s="1" t="n">
        <v>44439</v>
      </c>
      <c r="C6025" s="1" t="n">
        <v>45353</v>
      </c>
      <c r="D6025" t="inlineStr">
        <is>
          <t>VÄRMLANDS LÄN</t>
        </is>
      </c>
      <c r="E6025" t="inlineStr">
        <is>
          <t>SUNNE</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45291-2021</t>
        </is>
      </c>
      <c r="B6026" s="1" t="n">
        <v>44439</v>
      </c>
      <c r="C6026" s="1" t="n">
        <v>45353</v>
      </c>
      <c r="D6026" t="inlineStr">
        <is>
          <t>VÄRMLANDS LÄN</t>
        </is>
      </c>
      <c r="E6026" t="inlineStr">
        <is>
          <t>EDA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45299-2021</t>
        </is>
      </c>
      <c r="B6027" s="1" t="n">
        <v>44439</v>
      </c>
      <c r="C6027" s="1" t="n">
        <v>45353</v>
      </c>
      <c r="D6027" t="inlineStr">
        <is>
          <t>VÄRMLANDS LÄN</t>
        </is>
      </c>
      <c r="E6027" t="inlineStr">
        <is>
          <t>SUNNE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45218-2021</t>
        </is>
      </c>
      <c r="B6028" s="1" t="n">
        <v>44439</v>
      </c>
      <c r="C6028" s="1" t="n">
        <v>45353</v>
      </c>
      <c r="D6028" t="inlineStr">
        <is>
          <t>VÄRMLANDS LÄN</t>
        </is>
      </c>
      <c r="E6028" t="inlineStr">
        <is>
          <t>HAGFORS</t>
        </is>
      </c>
      <c r="F6028" t="inlineStr">
        <is>
          <t>Bergvik skog väst AB</t>
        </is>
      </c>
      <c r="G6028" t="n">
        <v>49.5</v>
      </c>
      <c r="H6028" t="n">
        <v>0</v>
      </c>
      <c r="I6028" t="n">
        <v>0</v>
      </c>
      <c r="J6028" t="n">
        <v>0</v>
      </c>
      <c r="K6028" t="n">
        <v>0</v>
      </c>
      <c r="L6028" t="n">
        <v>0</v>
      </c>
      <c r="M6028" t="n">
        <v>0</v>
      </c>
      <c r="N6028" t="n">
        <v>0</v>
      </c>
      <c r="O6028" t="n">
        <v>0</v>
      </c>
      <c r="P6028" t="n">
        <v>0</v>
      </c>
      <c r="Q6028" t="n">
        <v>0</v>
      </c>
      <c r="R6028" s="2" t="inlineStr"/>
    </row>
    <row r="6029" ht="15" customHeight="1">
      <c r="A6029" t="inlineStr">
        <is>
          <t>A 45293-2021</t>
        </is>
      </c>
      <c r="B6029" s="1" t="n">
        <v>44439</v>
      </c>
      <c r="C6029" s="1" t="n">
        <v>45353</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45294-2021</t>
        </is>
      </c>
      <c r="B6030" s="1" t="n">
        <v>44439</v>
      </c>
      <c r="C6030" s="1" t="n">
        <v>45353</v>
      </c>
      <c r="D6030" t="inlineStr">
        <is>
          <t>VÄRMLANDS LÄN</t>
        </is>
      </c>
      <c r="E6030" t="inlineStr">
        <is>
          <t>ARVIKA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45312-2021</t>
        </is>
      </c>
      <c r="B6031" s="1" t="n">
        <v>44439</v>
      </c>
      <c r="C6031" s="1" t="n">
        <v>45353</v>
      </c>
      <c r="D6031" t="inlineStr">
        <is>
          <t>VÄRMLANDS LÄN</t>
        </is>
      </c>
      <c r="E6031" t="inlineStr">
        <is>
          <t>EDA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45327-2021</t>
        </is>
      </c>
      <c r="B6032" s="1" t="n">
        <v>44439</v>
      </c>
      <c r="C6032" s="1" t="n">
        <v>45353</v>
      </c>
      <c r="D6032" t="inlineStr">
        <is>
          <t>VÄRMLANDS LÄN</t>
        </is>
      </c>
      <c r="E6032" t="inlineStr">
        <is>
          <t>SUNNE</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47292-2021</t>
        </is>
      </c>
      <c r="B6033" s="1" t="n">
        <v>44439</v>
      </c>
      <c r="C6033" s="1" t="n">
        <v>45353</v>
      </c>
      <c r="D6033" t="inlineStr">
        <is>
          <t>VÄRMLANDS LÄN</t>
        </is>
      </c>
      <c r="E6033" t="inlineStr">
        <is>
          <t>SÄFFLE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45481-2021</t>
        </is>
      </c>
      <c r="B6034" s="1" t="n">
        <v>44440</v>
      </c>
      <c r="C6034" s="1" t="n">
        <v>45353</v>
      </c>
      <c r="D6034" t="inlineStr">
        <is>
          <t>VÄRMLANDS LÄN</t>
        </is>
      </c>
      <c r="E6034" t="inlineStr">
        <is>
          <t>KRISTINEHAMN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45445-2021</t>
        </is>
      </c>
      <c r="B6035" s="1" t="n">
        <v>44440</v>
      </c>
      <c r="C6035" s="1" t="n">
        <v>45353</v>
      </c>
      <c r="D6035" t="inlineStr">
        <is>
          <t>VÄRMLANDS LÄN</t>
        </is>
      </c>
      <c r="E6035" t="inlineStr">
        <is>
          <t>TORSBY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45447-2021</t>
        </is>
      </c>
      <c r="B6036" s="1" t="n">
        <v>44440</v>
      </c>
      <c r="C6036" s="1" t="n">
        <v>45353</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45554-2021</t>
        </is>
      </c>
      <c r="B6037" s="1" t="n">
        <v>44440</v>
      </c>
      <c r="C6037" s="1" t="n">
        <v>45353</v>
      </c>
      <c r="D6037" t="inlineStr">
        <is>
          <t>VÄRMLANDS LÄN</t>
        </is>
      </c>
      <c r="E6037" t="inlineStr">
        <is>
          <t>SÄFFLE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45690-2021</t>
        </is>
      </c>
      <c r="B6038" s="1" t="n">
        <v>44441</v>
      </c>
      <c r="C6038" s="1" t="n">
        <v>45353</v>
      </c>
      <c r="D6038" t="inlineStr">
        <is>
          <t>VÄRMLANDS LÄN</t>
        </is>
      </c>
      <c r="E6038" t="inlineStr">
        <is>
          <t>KRISTINEHAMN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45736-2021</t>
        </is>
      </c>
      <c r="B6039" s="1" t="n">
        <v>44441</v>
      </c>
      <c r="C6039" s="1" t="n">
        <v>45353</v>
      </c>
      <c r="D6039" t="inlineStr">
        <is>
          <t>VÄRMLANDS LÄN</t>
        </is>
      </c>
      <c r="E6039" t="inlineStr">
        <is>
          <t>FORSHAGA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45659-2021</t>
        </is>
      </c>
      <c r="B6040" s="1" t="n">
        <v>44441</v>
      </c>
      <c r="C6040" s="1" t="n">
        <v>45353</v>
      </c>
      <c r="D6040" t="inlineStr">
        <is>
          <t>VÄRMLANDS LÄN</t>
        </is>
      </c>
      <c r="E6040" t="inlineStr">
        <is>
          <t>KRISTINEHAMN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45662-2021</t>
        </is>
      </c>
      <c r="B6041" s="1" t="n">
        <v>44441</v>
      </c>
      <c r="C6041" s="1" t="n">
        <v>45353</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45742-2021</t>
        </is>
      </c>
      <c r="B6042" s="1" t="n">
        <v>44441</v>
      </c>
      <c r="C6042" s="1" t="n">
        <v>45353</v>
      </c>
      <c r="D6042" t="inlineStr">
        <is>
          <t>VÄRMLANDS LÄN</t>
        </is>
      </c>
      <c r="E6042" t="inlineStr">
        <is>
          <t>FORSHAGA</t>
        </is>
      </c>
      <c r="G6042" t="n">
        <v>8.300000000000001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45738-2021</t>
        </is>
      </c>
      <c r="B6043" s="1" t="n">
        <v>44441</v>
      </c>
      <c r="C6043" s="1" t="n">
        <v>45353</v>
      </c>
      <c r="D6043" t="inlineStr">
        <is>
          <t>VÄRMLANDS LÄN</t>
        </is>
      </c>
      <c r="E6043" t="inlineStr">
        <is>
          <t>FORSHAGA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45751-2021</t>
        </is>
      </c>
      <c r="B6044" s="1" t="n">
        <v>44441</v>
      </c>
      <c r="C6044" s="1" t="n">
        <v>45353</v>
      </c>
      <c r="D6044" t="inlineStr">
        <is>
          <t>VÄRMLANDS LÄN</t>
        </is>
      </c>
      <c r="E6044" t="inlineStr">
        <is>
          <t>FORSHAGA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45937-2021</t>
        </is>
      </c>
      <c r="B6045" s="1" t="n">
        <v>44441</v>
      </c>
      <c r="C6045" s="1" t="n">
        <v>45353</v>
      </c>
      <c r="D6045" t="inlineStr">
        <is>
          <t>VÄRMLANDS LÄN</t>
        </is>
      </c>
      <c r="E6045" t="inlineStr">
        <is>
          <t>SUNNE</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45922-2021</t>
        </is>
      </c>
      <c r="B6046" s="1" t="n">
        <v>44441</v>
      </c>
      <c r="C6046" s="1" t="n">
        <v>45353</v>
      </c>
      <c r="D6046" t="inlineStr">
        <is>
          <t>VÄRMLANDS LÄN</t>
        </is>
      </c>
      <c r="E6046" t="inlineStr">
        <is>
          <t>SUNNE</t>
        </is>
      </c>
      <c r="F6046" t="inlineStr">
        <is>
          <t>Kommuner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45960-2021</t>
        </is>
      </c>
      <c r="B6047" s="1" t="n">
        <v>44441</v>
      </c>
      <c r="C6047" s="1" t="n">
        <v>45353</v>
      </c>
      <c r="D6047" t="inlineStr">
        <is>
          <t>VÄRMLANDS LÄN</t>
        </is>
      </c>
      <c r="E6047" t="inlineStr">
        <is>
          <t>GRUMS</t>
        </is>
      </c>
      <c r="G6047" t="n">
        <v>13.6</v>
      </c>
      <c r="H6047" t="n">
        <v>0</v>
      </c>
      <c r="I6047" t="n">
        <v>0</v>
      </c>
      <c r="J6047" t="n">
        <v>0</v>
      </c>
      <c r="K6047" t="n">
        <v>0</v>
      </c>
      <c r="L6047" t="n">
        <v>0</v>
      </c>
      <c r="M6047" t="n">
        <v>0</v>
      </c>
      <c r="N6047" t="n">
        <v>0</v>
      </c>
      <c r="O6047" t="n">
        <v>0</v>
      </c>
      <c r="P6047" t="n">
        <v>0</v>
      </c>
      <c r="Q6047" t="n">
        <v>0</v>
      </c>
      <c r="R6047" s="2" t="inlineStr"/>
    </row>
    <row r="6048" ht="15" customHeight="1">
      <c r="A6048" t="inlineStr">
        <is>
          <t>A 45905-2021</t>
        </is>
      </c>
      <c r="B6048" s="1" t="n">
        <v>44441</v>
      </c>
      <c r="C6048" s="1" t="n">
        <v>45353</v>
      </c>
      <c r="D6048" t="inlineStr">
        <is>
          <t>VÄRMLANDS LÄN</t>
        </is>
      </c>
      <c r="E6048" t="inlineStr">
        <is>
          <t>KARLSTAD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45962-2021</t>
        </is>
      </c>
      <c r="B6049" s="1" t="n">
        <v>44441</v>
      </c>
      <c r="C6049" s="1" t="n">
        <v>45353</v>
      </c>
      <c r="D6049" t="inlineStr">
        <is>
          <t>VÄRMLANDS LÄN</t>
        </is>
      </c>
      <c r="E6049" t="inlineStr">
        <is>
          <t>ÅRJÄNG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46429-2021</t>
        </is>
      </c>
      <c r="B6050" s="1" t="n">
        <v>44441</v>
      </c>
      <c r="C6050" s="1" t="n">
        <v>45353</v>
      </c>
      <c r="D6050" t="inlineStr">
        <is>
          <t>VÄRMLANDS LÄN</t>
        </is>
      </c>
      <c r="E6050" t="inlineStr">
        <is>
          <t>MUNKFORS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46090-2021</t>
        </is>
      </c>
      <c r="B6051" s="1" t="n">
        <v>44442</v>
      </c>
      <c r="C6051" s="1" t="n">
        <v>45353</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46222-2021</t>
        </is>
      </c>
      <c r="B6052" s="1" t="n">
        <v>44442</v>
      </c>
      <c r="C6052" s="1" t="n">
        <v>45353</v>
      </c>
      <c r="D6052" t="inlineStr">
        <is>
          <t>VÄRMLANDS LÄN</t>
        </is>
      </c>
      <c r="E6052" t="inlineStr">
        <is>
          <t>KIL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46250-2021</t>
        </is>
      </c>
      <c r="B6053" s="1" t="n">
        <v>44442</v>
      </c>
      <c r="C6053" s="1" t="n">
        <v>45353</v>
      </c>
      <c r="D6053" t="inlineStr">
        <is>
          <t>VÄRMLANDS LÄN</t>
        </is>
      </c>
      <c r="E6053" t="inlineStr">
        <is>
          <t>EDA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46220-2021</t>
        </is>
      </c>
      <c r="B6054" s="1" t="n">
        <v>44442</v>
      </c>
      <c r="C6054" s="1" t="n">
        <v>45353</v>
      </c>
      <c r="D6054" t="inlineStr">
        <is>
          <t>VÄRMLANDS LÄN</t>
        </is>
      </c>
      <c r="E6054" t="inlineStr">
        <is>
          <t>KIL</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46248-2021</t>
        </is>
      </c>
      <c r="B6055" s="1" t="n">
        <v>44442</v>
      </c>
      <c r="C6055" s="1" t="n">
        <v>45353</v>
      </c>
      <c r="D6055" t="inlineStr">
        <is>
          <t>VÄRMLANDS LÄN</t>
        </is>
      </c>
      <c r="E6055" t="inlineStr">
        <is>
          <t>ÅRJÄNG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46302-2021</t>
        </is>
      </c>
      <c r="B6056" s="1" t="n">
        <v>44442</v>
      </c>
      <c r="C6056" s="1" t="n">
        <v>45353</v>
      </c>
      <c r="D6056" t="inlineStr">
        <is>
          <t>VÄRMLANDS LÄN</t>
        </is>
      </c>
      <c r="E6056" t="inlineStr">
        <is>
          <t>TORSBY</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46297-2021</t>
        </is>
      </c>
      <c r="B6057" s="1" t="n">
        <v>44442</v>
      </c>
      <c r="C6057" s="1" t="n">
        <v>45353</v>
      </c>
      <c r="D6057" t="inlineStr">
        <is>
          <t>VÄRMLANDS LÄN</t>
        </is>
      </c>
      <c r="E6057" t="inlineStr">
        <is>
          <t>ARVIKA</t>
        </is>
      </c>
      <c r="F6057" t="inlineStr">
        <is>
          <t>Bergvik skog väst AB</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46511-2021</t>
        </is>
      </c>
      <c r="B6058" s="1" t="n">
        <v>44442</v>
      </c>
      <c r="C6058" s="1" t="n">
        <v>45353</v>
      </c>
      <c r="D6058" t="inlineStr">
        <is>
          <t>VÄRMLANDS LÄN</t>
        </is>
      </c>
      <c r="E6058" t="inlineStr">
        <is>
          <t>GRUMS</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46298-2021</t>
        </is>
      </c>
      <c r="B6059" s="1" t="n">
        <v>44442</v>
      </c>
      <c r="C6059" s="1" t="n">
        <v>45353</v>
      </c>
      <c r="D6059" t="inlineStr">
        <is>
          <t>VÄRMLANDS LÄN</t>
        </is>
      </c>
      <c r="E6059" t="inlineStr">
        <is>
          <t>SUNNE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46096-2021</t>
        </is>
      </c>
      <c r="B6060" s="1" t="n">
        <v>44442</v>
      </c>
      <c r="C6060" s="1" t="n">
        <v>45353</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46403-2021</t>
        </is>
      </c>
      <c r="B6061" s="1" t="n">
        <v>44443</v>
      </c>
      <c r="C6061" s="1" t="n">
        <v>45353</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46503-2021</t>
        </is>
      </c>
      <c r="B6062" s="1" t="n">
        <v>44445</v>
      </c>
      <c r="C6062" s="1" t="n">
        <v>45353</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46546-2021</t>
        </is>
      </c>
      <c r="B6063" s="1" t="n">
        <v>44445</v>
      </c>
      <c r="C6063" s="1" t="n">
        <v>45353</v>
      </c>
      <c r="D6063" t="inlineStr">
        <is>
          <t>VÄRMLANDS LÄN</t>
        </is>
      </c>
      <c r="E6063" t="inlineStr">
        <is>
          <t>FILIPSTAD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46610-2021</t>
        </is>
      </c>
      <c r="B6064" s="1" t="n">
        <v>44445</v>
      </c>
      <c r="C6064" s="1" t="n">
        <v>45353</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46476-2021</t>
        </is>
      </c>
      <c r="B6065" s="1" t="n">
        <v>44445</v>
      </c>
      <c r="C6065" s="1" t="n">
        <v>45353</v>
      </c>
      <c r="D6065" t="inlineStr">
        <is>
          <t>VÄRMLANDS LÄN</t>
        </is>
      </c>
      <c r="E6065" t="inlineStr">
        <is>
          <t>EDA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46647-2021</t>
        </is>
      </c>
      <c r="B6066" s="1" t="n">
        <v>44445</v>
      </c>
      <c r="C6066" s="1" t="n">
        <v>45353</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46644-2021</t>
        </is>
      </c>
      <c r="B6067" s="1" t="n">
        <v>44445</v>
      </c>
      <c r="C6067" s="1" t="n">
        <v>45353</v>
      </c>
      <c r="D6067" t="inlineStr">
        <is>
          <t>VÄRMLANDS LÄN</t>
        </is>
      </c>
      <c r="E6067" t="inlineStr">
        <is>
          <t>ÅRJÄNG</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46759-2021</t>
        </is>
      </c>
      <c r="B6068" s="1" t="n">
        <v>44445</v>
      </c>
      <c r="C6068" s="1" t="n">
        <v>45353</v>
      </c>
      <c r="D6068" t="inlineStr">
        <is>
          <t>VÄRMLANDS LÄN</t>
        </is>
      </c>
      <c r="E6068" t="inlineStr">
        <is>
          <t>EDA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46701-2021</t>
        </is>
      </c>
      <c r="B6069" s="1" t="n">
        <v>44445</v>
      </c>
      <c r="C6069" s="1" t="n">
        <v>45353</v>
      </c>
      <c r="D6069" t="inlineStr">
        <is>
          <t>VÄRMLANDS LÄN</t>
        </is>
      </c>
      <c r="E6069" t="inlineStr">
        <is>
          <t>FORSHAGA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46742-2021</t>
        </is>
      </c>
      <c r="B6070" s="1" t="n">
        <v>44445</v>
      </c>
      <c r="C6070" s="1" t="n">
        <v>45353</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46765-2021</t>
        </is>
      </c>
      <c r="B6071" s="1" t="n">
        <v>44445</v>
      </c>
      <c r="C6071" s="1" t="n">
        <v>45353</v>
      </c>
      <c r="D6071" t="inlineStr">
        <is>
          <t>VÄRMLANDS LÄN</t>
        </is>
      </c>
      <c r="E6071" t="inlineStr">
        <is>
          <t>SÄFFLE</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46722-2021</t>
        </is>
      </c>
      <c r="B6072" s="1" t="n">
        <v>44445</v>
      </c>
      <c r="C6072" s="1" t="n">
        <v>45353</v>
      </c>
      <c r="D6072" t="inlineStr">
        <is>
          <t>VÄRMLANDS LÄN</t>
        </is>
      </c>
      <c r="E6072" t="inlineStr">
        <is>
          <t>EDA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46774-2021</t>
        </is>
      </c>
      <c r="B6073" s="1" t="n">
        <v>44445</v>
      </c>
      <c r="C6073" s="1" t="n">
        <v>45353</v>
      </c>
      <c r="D6073" t="inlineStr">
        <is>
          <t>VÄRMLANDS LÄN</t>
        </is>
      </c>
      <c r="E6073" t="inlineStr">
        <is>
          <t>HAGFORS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46840-2021</t>
        </is>
      </c>
      <c r="B6074" s="1" t="n">
        <v>44446</v>
      </c>
      <c r="C6074" s="1" t="n">
        <v>45353</v>
      </c>
      <c r="D6074" t="inlineStr">
        <is>
          <t>VÄRMLANDS LÄN</t>
        </is>
      </c>
      <c r="E6074" t="inlineStr">
        <is>
          <t>ARVIKA</t>
        </is>
      </c>
      <c r="F6074" t="inlineStr">
        <is>
          <t>Bergvik skog väst AB</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46795-2021</t>
        </is>
      </c>
      <c r="B6075" s="1" t="n">
        <v>44446</v>
      </c>
      <c r="C6075" s="1" t="n">
        <v>45353</v>
      </c>
      <c r="D6075" t="inlineStr">
        <is>
          <t>VÄRMLANDS LÄN</t>
        </is>
      </c>
      <c r="E6075" t="inlineStr">
        <is>
          <t>TORSBY</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46808-2021</t>
        </is>
      </c>
      <c r="B6076" s="1" t="n">
        <v>44446</v>
      </c>
      <c r="C6076" s="1" t="n">
        <v>45353</v>
      </c>
      <c r="D6076" t="inlineStr">
        <is>
          <t>VÄRMLANDS LÄN</t>
        </is>
      </c>
      <c r="E6076" t="inlineStr">
        <is>
          <t>KARLSTAD</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46934-2021</t>
        </is>
      </c>
      <c r="B6077" s="1" t="n">
        <v>44446</v>
      </c>
      <c r="C6077" s="1" t="n">
        <v>45353</v>
      </c>
      <c r="D6077" t="inlineStr">
        <is>
          <t>VÄRMLANDS LÄN</t>
        </is>
      </c>
      <c r="E6077" t="inlineStr">
        <is>
          <t>TORSBY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46812-2021</t>
        </is>
      </c>
      <c r="B6078" s="1" t="n">
        <v>44446</v>
      </c>
      <c r="C6078" s="1" t="n">
        <v>45353</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46861-2021</t>
        </is>
      </c>
      <c r="B6079" s="1" t="n">
        <v>44446</v>
      </c>
      <c r="C6079" s="1" t="n">
        <v>45353</v>
      </c>
      <c r="D6079" t="inlineStr">
        <is>
          <t>VÄRMLANDS LÄN</t>
        </is>
      </c>
      <c r="E6079" t="inlineStr">
        <is>
          <t>KRISTINEHAMN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46880-2021</t>
        </is>
      </c>
      <c r="B6080" s="1" t="n">
        <v>44446</v>
      </c>
      <c r="C6080" s="1" t="n">
        <v>45353</v>
      </c>
      <c r="D6080" t="inlineStr">
        <is>
          <t>VÄRMLANDS LÄN</t>
        </is>
      </c>
      <c r="E6080" t="inlineStr">
        <is>
          <t>TORSBY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46899-2021</t>
        </is>
      </c>
      <c r="B6081" s="1" t="n">
        <v>44446</v>
      </c>
      <c r="C6081" s="1" t="n">
        <v>45353</v>
      </c>
      <c r="D6081" t="inlineStr">
        <is>
          <t>VÄRMLANDS LÄN</t>
        </is>
      </c>
      <c r="E6081" t="inlineStr">
        <is>
          <t>SÄFFLE</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46814-2021</t>
        </is>
      </c>
      <c r="B6082" s="1" t="n">
        <v>44446</v>
      </c>
      <c r="C6082" s="1" t="n">
        <v>45353</v>
      </c>
      <c r="D6082" t="inlineStr">
        <is>
          <t>VÄRMLANDS LÄN</t>
        </is>
      </c>
      <c r="E6082" t="inlineStr">
        <is>
          <t>KARLSTAD</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47005-2021</t>
        </is>
      </c>
      <c r="B6083" s="1" t="n">
        <v>44446</v>
      </c>
      <c r="C6083" s="1" t="n">
        <v>45353</v>
      </c>
      <c r="D6083" t="inlineStr">
        <is>
          <t>VÄRMLANDS LÄN</t>
        </is>
      </c>
      <c r="E6083" t="inlineStr">
        <is>
          <t>ÅRJÄNG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47035-2021</t>
        </is>
      </c>
      <c r="B6084" s="1" t="n">
        <v>44446</v>
      </c>
      <c r="C6084" s="1" t="n">
        <v>45353</v>
      </c>
      <c r="D6084" t="inlineStr">
        <is>
          <t>VÄRMLANDS LÄN</t>
        </is>
      </c>
      <c r="E6084" t="inlineStr">
        <is>
          <t>ÅRJÄNG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46987-2021</t>
        </is>
      </c>
      <c r="B6085" s="1" t="n">
        <v>44446</v>
      </c>
      <c r="C6085" s="1" t="n">
        <v>45353</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47015-2021</t>
        </is>
      </c>
      <c r="B6086" s="1" t="n">
        <v>44446</v>
      </c>
      <c r="C6086" s="1" t="n">
        <v>45353</v>
      </c>
      <c r="D6086" t="inlineStr">
        <is>
          <t>VÄRMLANDS LÄN</t>
        </is>
      </c>
      <c r="E6086" t="inlineStr">
        <is>
          <t>ÅRJÄNG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47033-2021</t>
        </is>
      </c>
      <c r="B6087" s="1" t="n">
        <v>44446</v>
      </c>
      <c r="C6087" s="1" t="n">
        <v>45353</v>
      </c>
      <c r="D6087" t="inlineStr">
        <is>
          <t>VÄRMLANDS LÄN</t>
        </is>
      </c>
      <c r="E6087" t="inlineStr">
        <is>
          <t>ÅRJÄNG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47041-2021</t>
        </is>
      </c>
      <c r="B6088" s="1" t="n">
        <v>44446</v>
      </c>
      <c r="C6088" s="1" t="n">
        <v>45353</v>
      </c>
      <c r="D6088" t="inlineStr">
        <is>
          <t>VÄRMLANDS LÄN</t>
        </is>
      </c>
      <c r="E6088" t="inlineStr">
        <is>
          <t>KARLSTAD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46994-2021</t>
        </is>
      </c>
      <c r="B6089" s="1" t="n">
        <v>44446</v>
      </c>
      <c r="C6089" s="1" t="n">
        <v>45353</v>
      </c>
      <c r="D6089" t="inlineStr">
        <is>
          <t>VÄRMLANDS LÄN</t>
        </is>
      </c>
      <c r="E6089" t="inlineStr">
        <is>
          <t>ÅRJÄNG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47011-2021</t>
        </is>
      </c>
      <c r="B6090" s="1" t="n">
        <v>44446</v>
      </c>
      <c r="C6090" s="1" t="n">
        <v>45353</v>
      </c>
      <c r="D6090" t="inlineStr">
        <is>
          <t>VÄRMLANDS LÄN</t>
        </is>
      </c>
      <c r="E6090" t="inlineStr">
        <is>
          <t>ÅRJÄNG</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47026-2021</t>
        </is>
      </c>
      <c r="B6091" s="1" t="n">
        <v>44446</v>
      </c>
      <c r="C6091" s="1" t="n">
        <v>45353</v>
      </c>
      <c r="D6091" t="inlineStr">
        <is>
          <t>VÄRMLANDS LÄN</t>
        </is>
      </c>
      <c r="E6091" t="inlineStr">
        <is>
          <t>ÅRJÄNG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47055-2021</t>
        </is>
      </c>
      <c r="B6092" s="1" t="n">
        <v>44446</v>
      </c>
      <c r="C6092" s="1" t="n">
        <v>45353</v>
      </c>
      <c r="D6092" t="inlineStr">
        <is>
          <t>VÄRMLANDS LÄN</t>
        </is>
      </c>
      <c r="E6092" t="inlineStr">
        <is>
          <t>KARLSTAD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47083-2021</t>
        </is>
      </c>
      <c r="B6093" s="1" t="n">
        <v>44446</v>
      </c>
      <c r="C6093" s="1" t="n">
        <v>45353</v>
      </c>
      <c r="D6093" t="inlineStr">
        <is>
          <t>VÄRMLANDS LÄN</t>
        </is>
      </c>
      <c r="E6093" t="inlineStr">
        <is>
          <t>TORSBY</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47119-2021</t>
        </is>
      </c>
      <c r="B6094" s="1" t="n">
        <v>44446</v>
      </c>
      <c r="C6094" s="1" t="n">
        <v>45353</v>
      </c>
      <c r="D6094" t="inlineStr">
        <is>
          <t>VÄRMLANDS LÄN</t>
        </is>
      </c>
      <c r="E6094" t="inlineStr">
        <is>
          <t>ARVIKA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47223-2021</t>
        </is>
      </c>
      <c r="B6095" s="1" t="n">
        <v>44446</v>
      </c>
      <c r="C6095" s="1" t="n">
        <v>45353</v>
      </c>
      <c r="D6095" t="inlineStr">
        <is>
          <t>VÄRMLANDS LÄN</t>
        </is>
      </c>
      <c r="E6095" t="inlineStr">
        <is>
          <t>ÅRJÄNG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47231-2021</t>
        </is>
      </c>
      <c r="B6096" s="1" t="n">
        <v>44446</v>
      </c>
      <c r="C6096" s="1" t="n">
        <v>45353</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47287-2021</t>
        </is>
      </c>
      <c r="B6097" s="1" t="n">
        <v>44446</v>
      </c>
      <c r="C6097" s="1" t="n">
        <v>45353</v>
      </c>
      <c r="D6097" t="inlineStr">
        <is>
          <t>VÄRMLANDS LÄN</t>
        </is>
      </c>
      <c r="E6097" t="inlineStr">
        <is>
          <t>ÅRJÄNG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47013-2021</t>
        </is>
      </c>
      <c r="B6098" s="1" t="n">
        <v>44446</v>
      </c>
      <c r="C6098" s="1" t="n">
        <v>45353</v>
      </c>
      <c r="D6098" t="inlineStr">
        <is>
          <t>VÄRMLANDS LÄN</t>
        </is>
      </c>
      <c r="E6098" t="inlineStr">
        <is>
          <t>ÅRJÄNG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47215-2021</t>
        </is>
      </c>
      <c r="B6099" s="1" t="n">
        <v>44446</v>
      </c>
      <c r="C6099" s="1" t="n">
        <v>45353</v>
      </c>
      <c r="D6099" t="inlineStr">
        <is>
          <t>VÄRMLANDS LÄN</t>
        </is>
      </c>
      <c r="E6099" t="inlineStr">
        <is>
          <t>ÅRJÄNG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47230-2021</t>
        </is>
      </c>
      <c r="B6100" s="1" t="n">
        <v>44446</v>
      </c>
      <c r="C6100" s="1" t="n">
        <v>45353</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47285-2021</t>
        </is>
      </c>
      <c r="B6101" s="1" t="n">
        <v>44446</v>
      </c>
      <c r="C6101" s="1" t="n">
        <v>45353</v>
      </c>
      <c r="D6101" t="inlineStr">
        <is>
          <t>VÄRMLANDS LÄN</t>
        </is>
      </c>
      <c r="E6101" t="inlineStr">
        <is>
          <t>KARLSTAD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47235-2021</t>
        </is>
      </c>
      <c r="B6102" s="1" t="n">
        <v>44446</v>
      </c>
      <c r="C6102" s="1" t="n">
        <v>45353</v>
      </c>
      <c r="D6102" t="inlineStr">
        <is>
          <t>VÄRMLANDS LÄN</t>
        </is>
      </c>
      <c r="E6102" t="inlineStr">
        <is>
          <t>ÅRJÄNG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47293-2021</t>
        </is>
      </c>
      <c r="B6103" s="1" t="n">
        <v>44446</v>
      </c>
      <c r="C6103" s="1" t="n">
        <v>45353</v>
      </c>
      <c r="D6103" t="inlineStr">
        <is>
          <t>VÄRMLANDS LÄN</t>
        </is>
      </c>
      <c r="E6103" t="inlineStr">
        <is>
          <t>ÅRJÄNG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47098-2021</t>
        </is>
      </c>
      <c r="B6104" s="1" t="n">
        <v>44446</v>
      </c>
      <c r="C6104" s="1" t="n">
        <v>45353</v>
      </c>
      <c r="D6104" t="inlineStr">
        <is>
          <t>VÄRMLANDS LÄN</t>
        </is>
      </c>
      <c r="E6104" t="inlineStr">
        <is>
          <t>TORSBY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47228-2021</t>
        </is>
      </c>
      <c r="B6105" s="1" t="n">
        <v>44446</v>
      </c>
      <c r="C6105" s="1" t="n">
        <v>45353</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47242-2021</t>
        </is>
      </c>
      <c r="B6106" s="1" t="n">
        <v>44446</v>
      </c>
      <c r="C6106" s="1" t="n">
        <v>45353</v>
      </c>
      <c r="D6106" t="inlineStr">
        <is>
          <t>VÄRMLANDS LÄN</t>
        </is>
      </c>
      <c r="E6106" t="inlineStr">
        <is>
          <t>ÅRJÄNG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47352-2021</t>
        </is>
      </c>
      <c r="B6107" s="1" t="n">
        <v>44447</v>
      </c>
      <c r="C6107" s="1" t="n">
        <v>45353</v>
      </c>
      <c r="D6107" t="inlineStr">
        <is>
          <t>VÄRMLANDS LÄN</t>
        </is>
      </c>
      <c r="E6107" t="inlineStr">
        <is>
          <t>KARLSTAD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47271-2021</t>
        </is>
      </c>
      <c r="B6108" s="1" t="n">
        <v>44447</v>
      </c>
      <c r="C6108" s="1" t="n">
        <v>45353</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47299-2021</t>
        </is>
      </c>
      <c r="B6109" s="1" t="n">
        <v>44447</v>
      </c>
      <c r="C6109" s="1" t="n">
        <v>45353</v>
      </c>
      <c r="D6109" t="inlineStr">
        <is>
          <t>VÄRMLANDS LÄN</t>
        </is>
      </c>
      <c r="E6109" t="inlineStr">
        <is>
          <t>TORSBY</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47266-2021</t>
        </is>
      </c>
      <c r="B6110" s="1" t="n">
        <v>44447</v>
      </c>
      <c r="C6110" s="1" t="n">
        <v>45353</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47313-2021</t>
        </is>
      </c>
      <c r="B6111" s="1" t="n">
        <v>44447</v>
      </c>
      <c r="C6111" s="1" t="n">
        <v>45353</v>
      </c>
      <c r="D6111" t="inlineStr">
        <is>
          <t>VÄRMLANDS LÄN</t>
        </is>
      </c>
      <c r="E6111" t="inlineStr">
        <is>
          <t>SUNNE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47355-2021</t>
        </is>
      </c>
      <c r="B6112" s="1" t="n">
        <v>44447</v>
      </c>
      <c r="C6112" s="1" t="n">
        <v>45353</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47360-2021</t>
        </is>
      </c>
      <c r="B6113" s="1" t="n">
        <v>44447</v>
      </c>
      <c r="C6113" s="1" t="n">
        <v>45353</v>
      </c>
      <c r="D6113" t="inlineStr">
        <is>
          <t>VÄRMLANDS LÄN</t>
        </is>
      </c>
      <c r="E6113" t="inlineStr">
        <is>
          <t>ÅRJÄNG</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47431-2021</t>
        </is>
      </c>
      <c r="B6114" s="1" t="n">
        <v>44447</v>
      </c>
      <c r="C6114" s="1" t="n">
        <v>45353</v>
      </c>
      <c r="D6114" t="inlineStr">
        <is>
          <t>VÄRMLANDS LÄN</t>
        </is>
      </c>
      <c r="E6114" t="inlineStr">
        <is>
          <t>FORSHAGA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47436-2021</t>
        </is>
      </c>
      <c r="B6115" s="1" t="n">
        <v>44447</v>
      </c>
      <c r="C6115" s="1" t="n">
        <v>45353</v>
      </c>
      <c r="D6115" t="inlineStr">
        <is>
          <t>VÄRMLANDS LÄN</t>
        </is>
      </c>
      <c r="E6115" t="inlineStr">
        <is>
          <t>FORSHAGA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47653-2021</t>
        </is>
      </c>
      <c r="B6116" s="1" t="n">
        <v>44448</v>
      </c>
      <c r="C6116" s="1" t="n">
        <v>45353</v>
      </c>
      <c r="D6116" t="inlineStr">
        <is>
          <t>VÄRMLANDS LÄN</t>
        </is>
      </c>
      <c r="E6116" t="inlineStr">
        <is>
          <t>ÅRJÄNG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47642-2021</t>
        </is>
      </c>
      <c r="B6117" s="1" t="n">
        <v>44448</v>
      </c>
      <c r="C6117" s="1" t="n">
        <v>45353</v>
      </c>
      <c r="D6117" t="inlineStr">
        <is>
          <t>VÄRMLANDS LÄN</t>
        </is>
      </c>
      <c r="E6117" t="inlineStr">
        <is>
          <t>ÅRJÄNG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47602-2021</t>
        </is>
      </c>
      <c r="B6118" s="1" t="n">
        <v>44448</v>
      </c>
      <c r="C6118" s="1" t="n">
        <v>45353</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47647-2021</t>
        </is>
      </c>
      <c r="B6119" s="1" t="n">
        <v>44448</v>
      </c>
      <c r="C6119" s="1" t="n">
        <v>45353</v>
      </c>
      <c r="D6119" t="inlineStr">
        <is>
          <t>VÄRMLANDS LÄN</t>
        </is>
      </c>
      <c r="E6119" t="inlineStr">
        <is>
          <t>ÅRJÄNG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47673-2021</t>
        </is>
      </c>
      <c r="B6120" s="1" t="n">
        <v>44448</v>
      </c>
      <c r="C6120" s="1" t="n">
        <v>45353</v>
      </c>
      <c r="D6120" t="inlineStr">
        <is>
          <t>VÄRMLANDS LÄN</t>
        </is>
      </c>
      <c r="E6120" t="inlineStr">
        <is>
          <t>FILIPSTAD</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47724-2021</t>
        </is>
      </c>
      <c r="B6121" s="1" t="n">
        <v>44448</v>
      </c>
      <c r="C6121" s="1" t="n">
        <v>45353</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47776-2021</t>
        </is>
      </c>
      <c r="B6122" s="1" t="n">
        <v>44448</v>
      </c>
      <c r="C6122" s="1" t="n">
        <v>45353</v>
      </c>
      <c r="D6122" t="inlineStr">
        <is>
          <t>VÄRMLANDS LÄN</t>
        </is>
      </c>
      <c r="E6122" t="inlineStr">
        <is>
          <t>SÄFFLE</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47777-2021</t>
        </is>
      </c>
      <c r="B6123" s="1" t="n">
        <v>44448</v>
      </c>
      <c r="C6123" s="1" t="n">
        <v>45353</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47819-2021</t>
        </is>
      </c>
      <c r="B6124" s="1" t="n">
        <v>44448</v>
      </c>
      <c r="C6124" s="1" t="n">
        <v>45353</v>
      </c>
      <c r="D6124" t="inlineStr">
        <is>
          <t>VÄRMLANDS LÄN</t>
        </is>
      </c>
      <c r="E6124" t="inlineStr">
        <is>
          <t>SÄFFLE</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47952-2021</t>
        </is>
      </c>
      <c r="B6125" s="1" t="n">
        <v>44448</v>
      </c>
      <c r="C6125" s="1" t="n">
        <v>45353</v>
      </c>
      <c r="D6125" t="inlineStr">
        <is>
          <t>VÄRMLANDS LÄN</t>
        </is>
      </c>
      <c r="E6125" t="inlineStr">
        <is>
          <t>KRISTINEHAMN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47950-2021</t>
        </is>
      </c>
      <c r="B6126" s="1" t="n">
        <v>44448</v>
      </c>
      <c r="C6126" s="1" t="n">
        <v>45353</v>
      </c>
      <c r="D6126" t="inlineStr">
        <is>
          <t>VÄRMLANDS LÄN</t>
        </is>
      </c>
      <c r="E6126" t="inlineStr">
        <is>
          <t>KRISTINEHAMN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47951-2021</t>
        </is>
      </c>
      <c r="B6127" s="1" t="n">
        <v>44448</v>
      </c>
      <c r="C6127" s="1" t="n">
        <v>45353</v>
      </c>
      <c r="D6127" t="inlineStr">
        <is>
          <t>VÄRMLANDS LÄN</t>
        </is>
      </c>
      <c r="E6127" t="inlineStr">
        <is>
          <t>KRISTINEHAMN</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47949-2021</t>
        </is>
      </c>
      <c r="B6128" s="1" t="n">
        <v>44448</v>
      </c>
      <c r="C6128" s="1" t="n">
        <v>45353</v>
      </c>
      <c r="D6128" t="inlineStr">
        <is>
          <t>VÄRMLANDS LÄN</t>
        </is>
      </c>
      <c r="E6128" t="inlineStr">
        <is>
          <t>KRISTINEHAMN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47959-2021</t>
        </is>
      </c>
      <c r="B6129" s="1" t="n">
        <v>44449</v>
      </c>
      <c r="C6129" s="1" t="n">
        <v>45353</v>
      </c>
      <c r="D6129" t="inlineStr">
        <is>
          <t>VÄRMLANDS LÄN</t>
        </is>
      </c>
      <c r="E6129" t="inlineStr">
        <is>
          <t>SUNNE</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47960-2021</t>
        </is>
      </c>
      <c r="B6130" s="1" t="n">
        <v>44449</v>
      </c>
      <c r="C6130" s="1" t="n">
        <v>45353</v>
      </c>
      <c r="D6130" t="inlineStr">
        <is>
          <t>VÄRMLANDS LÄN</t>
        </is>
      </c>
      <c r="E6130" t="inlineStr">
        <is>
          <t>SUNNE</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47958-2021</t>
        </is>
      </c>
      <c r="B6131" s="1" t="n">
        <v>44449</v>
      </c>
      <c r="C6131" s="1" t="n">
        <v>45353</v>
      </c>
      <c r="D6131" t="inlineStr">
        <is>
          <t>VÄRMLANDS LÄN</t>
        </is>
      </c>
      <c r="E6131" t="inlineStr">
        <is>
          <t>SUNNE</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47962-2021</t>
        </is>
      </c>
      <c r="B6132" s="1" t="n">
        <v>44449</v>
      </c>
      <c r="C6132" s="1" t="n">
        <v>45353</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47956-2021</t>
        </is>
      </c>
      <c r="B6133" s="1" t="n">
        <v>44449</v>
      </c>
      <c r="C6133" s="1" t="n">
        <v>45353</v>
      </c>
      <c r="D6133" t="inlineStr">
        <is>
          <t>VÄRMLANDS LÄN</t>
        </is>
      </c>
      <c r="E6133" t="inlineStr">
        <is>
          <t>KARLSTAD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47961-2021</t>
        </is>
      </c>
      <c r="B6134" s="1" t="n">
        <v>44449</v>
      </c>
      <c r="C6134" s="1" t="n">
        <v>45353</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47968-2021</t>
        </is>
      </c>
      <c r="B6135" s="1" t="n">
        <v>44449</v>
      </c>
      <c r="C6135" s="1" t="n">
        <v>45353</v>
      </c>
      <c r="D6135" t="inlineStr">
        <is>
          <t>VÄRMLANDS LÄN</t>
        </is>
      </c>
      <c r="E6135" t="inlineStr">
        <is>
          <t>HAGFORS</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48029-2021</t>
        </is>
      </c>
      <c r="B6136" s="1" t="n">
        <v>44449</v>
      </c>
      <c r="C6136" s="1" t="n">
        <v>45353</v>
      </c>
      <c r="D6136" t="inlineStr">
        <is>
          <t>VÄRMLANDS LÄN</t>
        </is>
      </c>
      <c r="E6136" t="inlineStr">
        <is>
          <t>HAGFORS</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48101-2021</t>
        </is>
      </c>
      <c r="B6137" s="1" t="n">
        <v>44449</v>
      </c>
      <c r="C6137" s="1" t="n">
        <v>45353</v>
      </c>
      <c r="D6137" t="inlineStr">
        <is>
          <t>VÄRMLANDS LÄN</t>
        </is>
      </c>
      <c r="E6137" t="inlineStr">
        <is>
          <t>FILIPSTAD</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48159-2021</t>
        </is>
      </c>
      <c r="B6138" s="1" t="n">
        <v>44449</v>
      </c>
      <c r="C6138" s="1" t="n">
        <v>45353</v>
      </c>
      <c r="D6138" t="inlineStr">
        <is>
          <t>VÄRMLANDS LÄN</t>
        </is>
      </c>
      <c r="E6138" t="inlineStr">
        <is>
          <t>TORSBY</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48179-2021</t>
        </is>
      </c>
      <c r="B6139" s="1" t="n">
        <v>44449</v>
      </c>
      <c r="C6139" s="1" t="n">
        <v>45353</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48188-2021</t>
        </is>
      </c>
      <c r="B6140" s="1" t="n">
        <v>44449</v>
      </c>
      <c r="C6140" s="1" t="n">
        <v>45353</v>
      </c>
      <c r="D6140" t="inlineStr">
        <is>
          <t>VÄRMLANDS LÄN</t>
        </is>
      </c>
      <c r="E6140" t="inlineStr">
        <is>
          <t>TORSBY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48205-2021</t>
        </is>
      </c>
      <c r="B6141" s="1" t="n">
        <v>44449</v>
      </c>
      <c r="C6141" s="1" t="n">
        <v>45353</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48137-2021</t>
        </is>
      </c>
      <c r="B6142" s="1" t="n">
        <v>44449</v>
      </c>
      <c r="C6142" s="1" t="n">
        <v>45353</v>
      </c>
      <c r="D6142" t="inlineStr">
        <is>
          <t>VÄRMLANDS LÄN</t>
        </is>
      </c>
      <c r="E6142" t="inlineStr">
        <is>
          <t>SÄFFLE</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48237-2021</t>
        </is>
      </c>
      <c r="B6143" s="1" t="n">
        <v>44449</v>
      </c>
      <c r="C6143" s="1" t="n">
        <v>45353</v>
      </c>
      <c r="D6143" t="inlineStr">
        <is>
          <t>VÄRMLANDS LÄN</t>
        </is>
      </c>
      <c r="E6143" t="inlineStr">
        <is>
          <t>SUNNE</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48206-2021</t>
        </is>
      </c>
      <c r="B6144" s="1" t="n">
        <v>44449</v>
      </c>
      <c r="C6144" s="1" t="n">
        <v>45353</v>
      </c>
      <c r="D6144" t="inlineStr">
        <is>
          <t>VÄRMLANDS LÄN</t>
        </is>
      </c>
      <c r="E6144" t="inlineStr">
        <is>
          <t>KRISTINEHAMN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48324-2021</t>
        </is>
      </c>
      <c r="B6145" s="1" t="n">
        <v>44450</v>
      </c>
      <c r="C6145" s="1" t="n">
        <v>45353</v>
      </c>
      <c r="D6145" t="inlineStr">
        <is>
          <t>VÄRMLANDS LÄN</t>
        </is>
      </c>
      <c r="E6145" t="inlineStr">
        <is>
          <t>TORSBY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48309-2021</t>
        </is>
      </c>
      <c r="B6146" s="1" t="n">
        <v>44450</v>
      </c>
      <c r="C6146" s="1" t="n">
        <v>45353</v>
      </c>
      <c r="D6146" t="inlineStr">
        <is>
          <t>VÄRMLANDS LÄN</t>
        </is>
      </c>
      <c r="E6146" t="inlineStr">
        <is>
          <t>STORFORS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48322-2021</t>
        </is>
      </c>
      <c r="B6147" s="1" t="n">
        <v>44450</v>
      </c>
      <c r="C6147" s="1" t="n">
        <v>45353</v>
      </c>
      <c r="D6147" t="inlineStr">
        <is>
          <t>VÄRMLANDS LÄN</t>
        </is>
      </c>
      <c r="E6147" t="inlineStr">
        <is>
          <t>SÄFFLE</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48334-2021</t>
        </is>
      </c>
      <c r="B6148" s="1" t="n">
        <v>44451</v>
      </c>
      <c r="C6148" s="1" t="n">
        <v>45353</v>
      </c>
      <c r="D6148" t="inlineStr">
        <is>
          <t>VÄRMLANDS LÄN</t>
        </is>
      </c>
      <c r="E6148" t="inlineStr">
        <is>
          <t>EDA</t>
        </is>
      </c>
      <c r="G6148" t="n">
        <v>12.4</v>
      </c>
      <c r="H6148" t="n">
        <v>0</v>
      </c>
      <c r="I6148" t="n">
        <v>0</v>
      </c>
      <c r="J6148" t="n">
        <v>0</v>
      </c>
      <c r="K6148" t="n">
        <v>0</v>
      </c>
      <c r="L6148" t="n">
        <v>0</v>
      </c>
      <c r="M6148" t="n">
        <v>0</v>
      </c>
      <c r="N6148" t="n">
        <v>0</v>
      </c>
      <c r="O6148" t="n">
        <v>0</v>
      </c>
      <c r="P6148" t="n">
        <v>0</v>
      </c>
      <c r="Q6148" t="n">
        <v>0</v>
      </c>
      <c r="R6148" s="2" t="inlineStr"/>
    </row>
    <row r="6149" ht="15" customHeight="1">
      <c r="A6149" t="inlineStr">
        <is>
          <t>A 48391-2021</t>
        </is>
      </c>
      <c r="B6149" s="1" t="n">
        <v>44452</v>
      </c>
      <c r="C6149" s="1" t="n">
        <v>45353</v>
      </c>
      <c r="D6149" t="inlineStr">
        <is>
          <t>VÄRMLANDS LÄN</t>
        </is>
      </c>
      <c r="E6149" t="inlineStr">
        <is>
          <t>ÅRJÄNG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48389-2021</t>
        </is>
      </c>
      <c r="B6150" s="1" t="n">
        <v>44452</v>
      </c>
      <c r="C6150" s="1" t="n">
        <v>45353</v>
      </c>
      <c r="D6150" t="inlineStr">
        <is>
          <t>VÄRMLANDS LÄN</t>
        </is>
      </c>
      <c r="E6150" t="inlineStr">
        <is>
          <t>ÅRJÄNG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48416-2021</t>
        </is>
      </c>
      <c r="B6151" s="1" t="n">
        <v>44452</v>
      </c>
      <c r="C6151" s="1" t="n">
        <v>45353</v>
      </c>
      <c r="D6151" t="inlineStr">
        <is>
          <t>VÄRMLANDS LÄN</t>
        </is>
      </c>
      <c r="E6151" t="inlineStr">
        <is>
          <t>KRISTINEHAMN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48449-2021</t>
        </is>
      </c>
      <c r="B6152" s="1" t="n">
        <v>44452</v>
      </c>
      <c r="C6152" s="1" t="n">
        <v>45353</v>
      </c>
      <c r="D6152" t="inlineStr">
        <is>
          <t>VÄRMLANDS LÄN</t>
        </is>
      </c>
      <c r="E6152" t="inlineStr">
        <is>
          <t>ÅRJÄNG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48413-2021</t>
        </is>
      </c>
      <c r="B6153" s="1" t="n">
        <v>44452</v>
      </c>
      <c r="C6153" s="1" t="n">
        <v>45353</v>
      </c>
      <c r="D6153" t="inlineStr">
        <is>
          <t>VÄRMLANDS LÄN</t>
        </is>
      </c>
      <c r="E6153" t="inlineStr">
        <is>
          <t>EDA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48422-2021</t>
        </is>
      </c>
      <c r="B6154" s="1" t="n">
        <v>44452</v>
      </c>
      <c r="C6154" s="1" t="n">
        <v>45353</v>
      </c>
      <c r="D6154" t="inlineStr">
        <is>
          <t>VÄRMLANDS LÄN</t>
        </is>
      </c>
      <c r="E6154" t="inlineStr">
        <is>
          <t>SUNNE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48465-2021</t>
        </is>
      </c>
      <c r="B6155" s="1" t="n">
        <v>44452</v>
      </c>
      <c r="C6155" s="1" t="n">
        <v>45353</v>
      </c>
      <c r="D6155" t="inlineStr">
        <is>
          <t>VÄRMLANDS LÄN</t>
        </is>
      </c>
      <c r="E6155" t="inlineStr">
        <is>
          <t>FORSHAGA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48588-2021</t>
        </is>
      </c>
      <c r="B6156" s="1" t="n">
        <v>44452</v>
      </c>
      <c r="C6156" s="1" t="n">
        <v>45353</v>
      </c>
      <c r="D6156" t="inlineStr">
        <is>
          <t>VÄRMLANDS LÄN</t>
        </is>
      </c>
      <c r="E6156" t="inlineStr">
        <is>
          <t>KARLSTAD</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48517-2021</t>
        </is>
      </c>
      <c r="B6157" s="1" t="n">
        <v>44452</v>
      </c>
      <c r="C6157" s="1" t="n">
        <v>45353</v>
      </c>
      <c r="D6157" t="inlineStr">
        <is>
          <t>VÄRMLANDS LÄN</t>
        </is>
      </c>
      <c r="E6157" t="inlineStr">
        <is>
          <t>GRUMS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48577-2021</t>
        </is>
      </c>
      <c r="B6158" s="1" t="n">
        <v>44452</v>
      </c>
      <c r="C6158" s="1" t="n">
        <v>45353</v>
      </c>
      <c r="D6158" t="inlineStr">
        <is>
          <t>VÄRMLANDS LÄN</t>
        </is>
      </c>
      <c r="E6158" t="inlineStr">
        <is>
          <t>KARLSTAD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48597-2021</t>
        </is>
      </c>
      <c r="B6159" s="1" t="n">
        <v>44452</v>
      </c>
      <c r="C6159" s="1" t="n">
        <v>45353</v>
      </c>
      <c r="D6159" t="inlineStr">
        <is>
          <t>VÄRMLANDS LÄN</t>
        </is>
      </c>
      <c r="E6159" t="inlineStr">
        <is>
          <t>KARLSTAD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48635-2021</t>
        </is>
      </c>
      <c r="B6160" s="1" t="n">
        <v>44452</v>
      </c>
      <c r="C6160" s="1" t="n">
        <v>45353</v>
      </c>
      <c r="D6160" t="inlineStr">
        <is>
          <t>VÄRMLANDS LÄN</t>
        </is>
      </c>
      <c r="E6160" t="inlineStr">
        <is>
          <t>HAGFORS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48712-2021</t>
        </is>
      </c>
      <c r="B6161" s="1" t="n">
        <v>44452</v>
      </c>
      <c r="C6161" s="1" t="n">
        <v>45353</v>
      </c>
      <c r="D6161" t="inlineStr">
        <is>
          <t>VÄRMLANDS LÄN</t>
        </is>
      </c>
      <c r="E6161" t="inlineStr">
        <is>
          <t>SUNNE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48620-2021</t>
        </is>
      </c>
      <c r="B6162" s="1" t="n">
        <v>44452</v>
      </c>
      <c r="C6162" s="1" t="n">
        <v>45353</v>
      </c>
      <c r="D6162" t="inlineStr">
        <is>
          <t>VÄRMLANDS LÄN</t>
        </is>
      </c>
      <c r="E6162" t="inlineStr">
        <is>
          <t>KARLSTAD</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48657-2021</t>
        </is>
      </c>
      <c r="B6163" s="1" t="n">
        <v>44452</v>
      </c>
      <c r="C6163" s="1" t="n">
        <v>45353</v>
      </c>
      <c r="D6163" t="inlineStr">
        <is>
          <t>VÄRMLANDS LÄN</t>
        </is>
      </c>
      <c r="E6163" t="inlineStr">
        <is>
          <t>TORSBY</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48727-2021</t>
        </is>
      </c>
      <c r="B6164" s="1" t="n">
        <v>44452</v>
      </c>
      <c r="C6164" s="1" t="n">
        <v>45353</v>
      </c>
      <c r="D6164" t="inlineStr">
        <is>
          <t>VÄRMLANDS LÄN</t>
        </is>
      </c>
      <c r="E6164" t="inlineStr">
        <is>
          <t>ARVIKA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48771-2021</t>
        </is>
      </c>
      <c r="B6165" s="1" t="n">
        <v>44452</v>
      </c>
      <c r="C6165" s="1" t="n">
        <v>45353</v>
      </c>
      <c r="D6165" t="inlineStr">
        <is>
          <t>VÄRMLANDS LÄN</t>
        </is>
      </c>
      <c r="E6165" t="inlineStr">
        <is>
          <t>TORSBY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48604-2021</t>
        </is>
      </c>
      <c r="B6166" s="1" t="n">
        <v>44452</v>
      </c>
      <c r="C6166" s="1" t="n">
        <v>45353</v>
      </c>
      <c r="D6166" t="inlineStr">
        <is>
          <t>VÄRMLANDS LÄN</t>
        </is>
      </c>
      <c r="E6166" t="inlineStr">
        <is>
          <t>HAGFORS</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48633-2021</t>
        </is>
      </c>
      <c r="B6167" s="1" t="n">
        <v>44452</v>
      </c>
      <c r="C6167" s="1" t="n">
        <v>45353</v>
      </c>
      <c r="D6167" t="inlineStr">
        <is>
          <t>VÄRMLANDS LÄN</t>
        </is>
      </c>
      <c r="E6167" t="inlineStr">
        <is>
          <t>KARLSTAD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48647-2021</t>
        </is>
      </c>
      <c r="B6168" s="1" t="n">
        <v>44452</v>
      </c>
      <c r="C6168" s="1" t="n">
        <v>45353</v>
      </c>
      <c r="D6168" t="inlineStr">
        <is>
          <t>VÄRMLANDS LÄN</t>
        </is>
      </c>
      <c r="E6168" t="inlineStr">
        <is>
          <t>SUNNE</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48742-2021</t>
        </is>
      </c>
      <c r="B6169" s="1" t="n">
        <v>44452</v>
      </c>
      <c r="C6169" s="1" t="n">
        <v>45353</v>
      </c>
      <c r="D6169" t="inlineStr">
        <is>
          <t>VÄRMLANDS LÄN</t>
        </is>
      </c>
      <c r="E6169" t="inlineStr">
        <is>
          <t>KIL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48945-2021</t>
        </is>
      </c>
      <c r="B6170" s="1" t="n">
        <v>44453</v>
      </c>
      <c r="C6170" s="1" t="n">
        <v>45353</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48995-2021</t>
        </is>
      </c>
      <c r="B6171" s="1" t="n">
        <v>44453</v>
      </c>
      <c r="C6171" s="1" t="n">
        <v>45353</v>
      </c>
      <c r="D6171" t="inlineStr">
        <is>
          <t>VÄRMLANDS LÄN</t>
        </is>
      </c>
      <c r="E6171" t="inlineStr">
        <is>
          <t>ARVIKA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49008-2021</t>
        </is>
      </c>
      <c r="B6172" s="1" t="n">
        <v>44453</v>
      </c>
      <c r="C6172" s="1" t="n">
        <v>45353</v>
      </c>
      <c r="D6172" t="inlineStr">
        <is>
          <t>VÄRMLANDS LÄN</t>
        </is>
      </c>
      <c r="E6172" t="inlineStr">
        <is>
          <t>SUNNE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49020-2021</t>
        </is>
      </c>
      <c r="B6173" s="1" t="n">
        <v>44453</v>
      </c>
      <c r="C6173" s="1" t="n">
        <v>45353</v>
      </c>
      <c r="D6173" t="inlineStr">
        <is>
          <t>VÄRMLANDS LÄN</t>
        </is>
      </c>
      <c r="E6173" t="inlineStr">
        <is>
          <t>SUNNE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49015-2021</t>
        </is>
      </c>
      <c r="B6174" s="1" t="n">
        <v>44453</v>
      </c>
      <c r="C6174" s="1" t="n">
        <v>45353</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48938-2021</t>
        </is>
      </c>
      <c r="B6175" s="1" t="n">
        <v>44453</v>
      </c>
      <c r="C6175" s="1" t="n">
        <v>45353</v>
      </c>
      <c r="D6175" t="inlineStr">
        <is>
          <t>VÄRMLANDS LÄN</t>
        </is>
      </c>
      <c r="E6175" t="inlineStr">
        <is>
          <t>KIL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48946-2021</t>
        </is>
      </c>
      <c r="B6176" s="1" t="n">
        <v>44453</v>
      </c>
      <c r="C6176" s="1" t="n">
        <v>45353</v>
      </c>
      <c r="D6176" t="inlineStr">
        <is>
          <t>VÄRMLANDS LÄN</t>
        </is>
      </c>
      <c r="E6176" t="inlineStr">
        <is>
          <t>SÄFFLE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48967-2021</t>
        </is>
      </c>
      <c r="B6177" s="1" t="n">
        <v>44453</v>
      </c>
      <c r="C6177" s="1" t="n">
        <v>45353</v>
      </c>
      <c r="D6177" t="inlineStr">
        <is>
          <t>VÄRMLANDS LÄN</t>
        </is>
      </c>
      <c r="E6177" t="inlineStr">
        <is>
          <t>STORFORS</t>
        </is>
      </c>
      <c r="F6177" t="inlineStr">
        <is>
          <t>Bergvik skog väst AB</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48994-2021</t>
        </is>
      </c>
      <c r="B6178" s="1" t="n">
        <v>44453</v>
      </c>
      <c r="C6178" s="1" t="n">
        <v>45353</v>
      </c>
      <c r="D6178" t="inlineStr">
        <is>
          <t>VÄRMLANDS LÄN</t>
        </is>
      </c>
      <c r="E6178" t="inlineStr">
        <is>
          <t>SUNNE</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49736-2021</t>
        </is>
      </c>
      <c r="B6179" s="1" t="n">
        <v>44453</v>
      </c>
      <c r="C6179" s="1" t="n">
        <v>45353</v>
      </c>
      <c r="D6179" t="inlineStr">
        <is>
          <t>VÄRMLANDS LÄN</t>
        </is>
      </c>
      <c r="E6179" t="inlineStr">
        <is>
          <t>FILIPSTAD</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49180-2021</t>
        </is>
      </c>
      <c r="B6180" s="1" t="n">
        <v>44454</v>
      </c>
      <c r="C6180" s="1" t="n">
        <v>45353</v>
      </c>
      <c r="D6180" t="inlineStr">
        <is>
          <t>VÄRMLANDS LÄN</t>
        </is>
      </c>
      <c r="E6180" t="inlineStr">
        <is>
          <t>ÅRJÄNG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49338-2021</t>
        </is>
      </c>
      <c r="B6181" s="1" t="n">
        <v>44454</v>
      </c>
      <c r="C6181" s="1" t="n">
        <v>45353</v>
      </c>
      <c r="D6181" t="inlineStr">
        <is>
          <t>VÄRMLANDS LÄN</t>
        </is>
      </c>
      <c r="E6181" t="inlineStr">
        <is>
          <t>KRISTINEHAMN</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49192-2021</t>
        </is>
      </c>
      <c r="B6182" s="1" t="n">
        <v>44454</v>
      </c>
      <c r="C6182" s="1" t="n">
        <v>45353</v>
      </c>
      <c r="D6182" t="inlineStr">
        <is>
          <t>VÄRMLANDS LÄN</t>
        </is>
      </c>
      <c r="E6182" t="inlineStr">
        <is>
          <t>TORSBY</t>
        </is>
      </c>
      <c r="F6182" t="inlineStr">
        <is>
          <t>Bergvik skog väst AB</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49335-2021</t>
        </is>
      </c>
      <c r="B6183" s="1" t="n">
        <v>44454</v>
      </c>
      <c r="C6183" s="1" t="n">
        <v>45353</v>
      </c>
      <c r="D6183" t="inlineStr">
        <is>
          <t>VÄRMLANDS LÄN</t>
        </is>
      </c>
      <c r="E6183" t="inlineStr">
        <is>
          <t>KRISTINEHAMN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49334-2021</t>
        </is>
      </c>
      <c r="B6184" s="1" t="n">
        <v>44454</v>
      </c>
      <c r="C6184" s="1" t="n">
        <v>45353</v>
      </c>
      <c r="D6184" t="inlineStr">
        <is>
          <t>VÄRMLANDS LÄN</t>
        </is>
      </c>
      <c r="E6184" t="inlineStr">
        <is>
          <t>SUNNE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49348-2021</t>
        </is>
      </c>
      <c r="B6185" s="1" t="n">
        <v>44454</v>
      </c>
      <c r="C6185" s="1" t="n">
        <v>45353</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49364-2021</t>
        </is>
      </c>
      <c r="B6186" s="1" t="n">
        <v>44454</v>
      </c>
      <c r="C6186" s="1" t="n">
        <v>45353</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49343-2021</t>
        </is>
      </c>
      <c r="B6187" s="1" t="n">
        <v>44454</v>
      </c>
      <c r="C6187" s="1" t="n">
        <v>45353</v>
      </c>
      <c r="D6187" t="inlineStr">
        <is>
          <t>VÄRMLANDS LÄN</t>
        </is>
      </c>
      <c r="E6187" t="inlineStr">
        <is>
          <t>KARLSTAD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49460-2021</t>
        </is>
      </c>
      <c r="B6188" s="1" t="n">
        <v>44454</v>
      </c>
      <c r="C6188" s="1" t="n">
        <v>45353</v>
      </c>
      <c r="D6188" t="inlineStr">
        <is>
          <t>VÄRMLANDS LÄN</t>
        </is>
      </c>
      <c r="E6188" t="inlineStr">
        <is>
          <t>SÄFFLE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49617-2021</t>
        </is>
      </c>
      <c r="B6189" s="1" t="n">
        <v>44454</v>
      </c>
      <c r="C6189" s="1" t="n">
        <v>45353</v>
      </c>
      <c r="D6189" t="inlineStr">
        <is>
          <t>VÄRMLANDS LÄN</t>
        </is>
      </c>
      <c r="E6189" t="inlineStr">
        <is>
          <t>FORSHAGA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50009-2021</t>
        </is>
      </c>
      <c r="B6190" s="1" t="n">
        <v>44454</v>
      </c>
      <c r="C6190" s="1" t="n">
        <v>45353</v>
      </c>
      <c r="D6190" t="inlineStr">
        <is>
          <t>VÄRMLANDS LÄN</t>
        </is>
      </c>
      <c r="E6190" t="inlineStr">
        <is>
          <t>FILIPSTAD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49999-2021</t>
        </is>
      </c>
      <c r="B6191" s="1" t="n">
        <v>44454</v>
      </c>
      <c r="C6191" s="1" t="n">
        <v>45353</v>
      </c>
      <c r="D6191" t="inlineStr">
        <is>
          <t>VÄRMLANDS LÄN</t>
        </is>
      </c>
      <c r="E6191" t="inlineStr">
        <is>
          <t>FILIPSTAD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49714-2021</t>
        </is>
      </c>
      <c r="B6192" s="1" t="n">
        <v>44455</v>
      </c>
      <c r="C6192" s="1" t="n">
        <v>45353</v>
      </c>
      <c r="D6192" t="inlineStr">
        <is>
          <t>VÄRMLANDS LÄN</t>
        </is>
      </c>
      <c r="E6192" t="inlineStr">
        <is>
          <t>KRISTINEHAMN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49744-2021</t>
        </is>
      </c>
      <c r="B6193" s="1" t="n">
        <v>44455</v>
      </c>
      <c r="C6193" s="1" t="n">
        <v>45353</v>
      </c>
      <c r="D6193" t="inlineStr">
        <is>
          <t>VÄRMLANDS LÄN</t>
        </is>
      </c>
      <c r="E6193" t="inlineStr">
        <is>
          <t>ARVIKA</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49546-2021</t>
        </is>
      </c>
      <c r="B6194" s="1" t="n">
        <v>44455</v>
      </c>
      <c r="C6194" s="1" t="n">
        <v>45353</v>
      </c>
      <c r="D6194" t="inlineStr">
        <is>
          <t>VÄRMLANDS LÄN</t>
        </is>
      </c>
      <c r="E6194" t="inlineStr">
        <is>
          <t>HAGFORS</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49641-2021</t>
        </is>
      </c>
      <c r="B6195" s="1" t="n">
        <v>44455</v>
      </c>
      <c r="C6195" s="1" t="n">
        <v>45353</v>
      </c>
      <c r="D6195" t="inlineStr">
        <is>
          <t>VÄRMLANDS LÄN</t>
        </is>
      </c>
      <c r="E6195" t="inlineStr">
        <is>
          <t>ÅRJÄNG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49680-2021</t>
        </is>
      </c>
      <c r="B6196" s="1" t="n">
        <v>44455</v>
      </c>
      <c r="C6196" s="1" t="n">
        <v>45353</v>
      </c>
      <c r="D6196" t="inlineStr">
        <is>
          <t>VÄRMLANDS LÄN</t>
        </is>
      </c>
      <c r="E6196" t="inlineStr">
        <is>
          <t>ÅRJÄNG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49759-2021</t>
        </is>
      </c>
      <c r="B6197" s="1" t="n">
        <v>44455</v>
      </c>
      <c r="C6197" s="1" t="n">
        <v>45353</v>
      </c>
      <c r="D6197" t="inlineStr">
        <is>
          <t>VÄRMLANDS LÄN</t>
        </is>
      </c>
      <c r="E6197" t="inlineStr">
        <is>
          <t>ARVIKA</t>
        </is>
      </c>
      <c r="F6197" t="inlineStr">
        <is>
          <t>Bergvik skog väst AB</t>
        </is>
      </c>
      <c r="G6197" t="n">
        <v>12.5</v>
      </c>
      <c r="H6197" t="n">
        <v>0</v>
      </c>
      <c r="I6197" t="n">
        <v>0</v>
      </c>
      <c r="J6197" t="n">
        <v>0</v>
      </c>
      <c r="K6197" t="n">
        <v>0</v>
      </c>
      <c r="L6197" t="n">
        <v>0</v>
      </c>
      <c r="M6197" t="n">
        <v>0</v>
      </c>
      <c r="N6197" t="n">
        <v>0</v>
      </c>
      <c r="O6197" t="n">
        <v>0</v>
      </c>
      <c r="P6197" t="n">
        <v>0</v>
      </c>
      <c r="Q6197" t="n">
        <v>0</v>
      </c>
      <c r="R6197" s="2" t="inlineStr"/>
    </row>
    <row r="6198" ht="15" customHeight="1">
      <c r="A6198" t="inlineStr">
        <is>
          <t>A 49673-2021</t>
        </is>
      </c>
      <c r="B6198" s="1" t="n">
        <v>44455</v>
      </c>
      <c r="C6198" s="1" t="n">
        <v>45353</v>
      </c>
      <c r="D6198" t="inlineStr">
        <is>
          <t>VÄRMLANDS LÄN</t>
        </is>
      </c>
      <c r="E6198" t="inlineStr">
        <is>
          <t>ARVIKA</t>
        </is>
      </c>
      <c r="F6198" t="inlineStr">
        <is>
          <t>Bergvik skog väst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49713-2021</t>
        </is>
      </c>
      <c r="B6199" s="1" t="n">
        <v>44455</v>
      </c>
      <c r="C6199" s="1" t="n">
        <v>45353</v>
      </c>
      <c r="D6199" t="inlineStr">
        <is>
          <t>VÄRMLANDS LÄN</t>
        </is>
      </c>
      <c r="E6199" t="inlineStr">
        <is>
          <t>ARVIKA</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49887-2021</t>
        </is>
      </c>
      <c r="B6200" s="1" t="n">
        <v>44455</v>
      </c>
      <c r="C6200" s="1" t="n">
        <v>45353</v>
      </c>
      <c r="D6200" t="inlineStr">
        <is>
          <t>VÄRMLANDS LÄN</t>
        </is>
      </c>
      <c r="E6200" t="inlineStr">
        <is>
          <t>SUNNE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49785-2021</t>
        </is>
      </c>
      <c r="B6201" s="1" t="n">
        <v>44455</v>
      </c>
      <c r="C6201" s="1" t="n">
        <v>45353</v>
      </c>
      <c r="D6201" t="inlineStr">
        <is>
          <t>VÄRMLANDS LÄN</t>
        </is>
      </c>
      <c r="E6201" t="inlineStr">
        <is>
          <t>ARVIKA</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50065-2021</t>
        </is>
      </c>
      <c r="B6202" s="1" t="n">
        <v>44455</v>
      </c>
      <c r="C6202" s="1" t="n">
        <v>45353</v>
      </c>
      <c r="D6202" t="inlineStr">
        <is>
          <t>VÄRMLANDS LÄN</t>
        </is>
      </c>
      <c r="E6202" t="inlineStr">
        <is>
          <t>SUNNE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49829-2021</t>
        </is>
      </c>
      <c r="B6203" s="1" t="n">
        <v>44455</v>
      </c>
      <c r="C6203" s="1" t="n">
        <v>45353</v>
      </c>
      <c r="D6203" t="inlineStr">
        <is>
          <t>VÄRMLANDS LÄN</t>
        </is>
      </c>
      <c r="E6203" t="inlineStr">
        <is>
          <t>KIL</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49900-2021</t>
        </is>
      </c>
      <c r="B6204" s="1" t="n">
        <v>44455</v>
      </c>
      <c r="C6204" s="1" t="n">
        <v>45353</v>
      </c>
      <c r="D6204" t="inlineStr">
        <is>
          <t>VÄRMLANDS LÄN</t>
        </is>
      </c>
      <c r="E6204" t="inlineStr">
        <is>
          <t>TORSBY</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49932-2021</t>
        </is>
      </c>
      <c r="B6205" s="1" t="n">
        <v>44455</v>
      </c>
      <c r="C6205" s="1" t="n">
        <v>45353</v>
      </c>
      <c r="D6205" t="inlineStr">
        <is>
          <t>VÄRMLANDS LÄN</t>
        </is>
      </c>
      <c r="E6205" t="inlineStr">
        <is>
          <t>ÅRJÄNG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49978-2021</t>
        </is>
      </c>
      <c r="B6206" s="1" t="n">
        <v>44456</v>
      </c>
      <c r="C6206" s="1" t="n">
        <v>45353</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50063-2021</t>
        </is>
      </c>
      <c r="B6207" s="1" t="n">
        <v>44456</v>
      </c>
      <c r="C6207" s="1" t="n">
        <v>45353</v>
      </c>
      <c r="D6207" t="inlineStr">
        <is>
          <t>VÄRMLANDS LÄN</t>
        </is>
      </c>
      <c r="E6207" t="inlineStr">
        <is>
          <t>FILIPSTAD</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50100-2021</t>
        </is>
      </c>
      <c r="B6208" s="1" t="n">
        <v>44456</v>
      </c>
      <c r="C6208" s="1" t="n">
        <v>45353</v>
      </c>
      <c r="D6208" t="inlineStr">
        <is>
          <t>VÄRMLANDS LÄN</t>
        </is>
      </c>
      <c r="E6208" t="inlineStr">
        <is>
          <t>TORSBY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50584-2021</t>
        </is>
      </c>
      <c r="B6209" s="1" t="n">
        <v>44456</v>
      </c>
      <c r="C6209" s="1" t="n">
        <v>45353</v>
      </c>
      <c r="D6209" t="inlineStr">
        <is>
          <t>VÄRMLANDS LÄN</t>
        </is>
      </c>
      <c r="E6209" t="inlineStr">
        <is>
          <t>SÄFFLE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50350-2021</t>
        </is>
      </c>
      <c r="B6210" s="1" t="n">
        <v>44456</v>
      </c>
      <c r="C6210" s="1" t="n">
        <v>45353</v>
      </c>
      <c r="D6210" t="inlineStr">
        <is>
          <t>VÄRMLANDS LÄN</t>
        </is>
      </c>
      <c r="E6210" t="inlineStr">
        <is>
          <t>SUNNE</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50219-2021</t>
        </is>
      </c>
      <c r="B6211" s="1" t="n">
        <v>44457</v>
      </c>
      <c r="C6211" s="1" t="n">
        <v>45353</v>
      </c>
      <c r="D6211" t="inlineStr">
        <is>
          <t>VÄRMLANDS LÄN</t>
        </is>
      </c>
      <c r="E6211" t="inlineStr">
        <is>
          <t>ÅRJÄNG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50229-2021</t>
        </is>
      </c>
      <c r="B6212" s="1" t="n">
        <v>44457</v>
      </c>
      <c r="C6212" s="1" t="n">
        <v>45353</v>
      </c>
      <c r="D6212" t="inlineStr">
        <is>
          <t>VÄRMLANDS LÄN</t>
        </is>
      </c>
      <c r="E6212" t="inlineStr">
        <is>
          <t>ARVIKA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50223-2021</t>
        </is>
      </c>
      <c r="B6213" s="1" t="n">
        <v>44457</v>
      </c>
      <c r="C6213" s="1" t="n">
        <v>45353</v>
      </c>
      <c r="D6213" t="inlineStr">
        <is>
          <t>VÄRMLANDS LÄN</t>
        </is>
      </c>
      <c r="E6213" t="inlineStr">
        <is>
          <t>ÅRJÄNG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50241-2021</t>
        </is>
      </c>
      <c r="B6214" s="1" t="n">
        <v>44458</v>
      </c>
      <c r="C6214" s="1" t="n">
        <v>45353</v>
      </c>
      <c r="D6214" t="inlineStr">
        <is>
          <t>VÄRMLANDS LÄN</t>
        </is>
      </c>
      <c r="E6214" t="inlineStr">
        <is>
          <t>SUNNE</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50254-2021</t>
        </is>
      </c>
      <c r="B6215" s="1" t="n">
        <v>44458</v>
      </c>
      <c r="C6215" s="1" t="n">
        <v>45353</v>
      </c>
      <c r="D6215" t="inlineStr">
        <is>
          <t>VÄRMLANDS LÄN</t>
        </is>
      </c>
      <c r="E6215" t="inlineStr">
        <is>
          <t>STORFORS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50520-2021</t>
        </is>
      </c>
      <c r="B6216" s="1" t="n">
        <v>44458</v>
      </c>
      <c r="C6216" s="1" t="n">
        <v>45353</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50272-2021</t>
        </is>
      </c>
      <c r="B6217" s="1" t="n">
        <v>44459</v>
      </c>
      <c r="C6217" s="1" t="n">
        <v>45353</v>
      </c>
      <c r="D6217" t="inlineStr">
        <is>
          <t>VÄRMLANDS LÄN</t>
        </is>
      </c>
      <c r="E6217" t="inlineStr">
        <is>
          <t>HAGFORS</t>
        </is>
      </c>
      <c r="F6217" t="inlineStr">
        <is>
          <t>Bergvik skog väst AB</t>
        </is>
      </c>
      <c r="G6217" t="n">
        <v>10.8</v>
      </c>
      <c r="H6217" t="n">
        <v>0</v>
      </c>
      <c r="I6217" t="n">
        <v>0</v>
      </c>
      <c r="J6217" t="n">
        <v>0</v>
      </c>
      <c r="K6217" t="n">
        <v>0</v>
      </c>
      <c r="L6217" t="n">
        <v>0</v>
      </c>
      <c r="M6217" t="n">
        <v>0</v>
      </c>
      <c r="N6217" t="n">
        <v>0</v>
      </c>
      <c r="O6217" t="n">
        <v>0</v>
      </c>
      <c r="P6217" t="n">
        <v>0</v>
      </c>
      <c r="Q6217" t="n">
        <v>0</v>
      </c>
      <c r="R6217" s="2" t="inlineStr"/>
    </row>
    <row r="6218" ht="15" customHeight="1">
      <c r="A6218" t="inlineStr">
        <is>
          <t>A 50387-2021</t>
        </is>
      </c>
      <c r="B6218" s="1" t="n">
        <v>44459</v>
      </c>
      <c r="C6218" s="1" t="n">
        <v>45353</v>
      </c>
      <c r="D6218" t="inlineStr">
        <is>
          <t>VÄRMLANDS LÄN</t>
        </is>
      </c>
      <c r="E6218" t="inlineStr">
        <is>
          <t>ARVIKA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50400-2021</t>
        </is>
      </c>
      <c r="B6219" s="1" t="n">
        <v>44459</v>
      </c>
      <c r="C6219" s="1" t="n">
        <v>45353</v>
      </c>
      <c r="D6219" t="inlineStr">
        <is>
          <t>VÄRMLANDS LÄN</t>
        </is>
      </c>
      <c r="E6219" t="inlineStr">
        <is>
          <t>KARLSTAD</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50557-2021</t>
        </is>
      </c>
      <c r="B6220" s="1" t="n">
        <v>44459</v>
      </c>
      <c r="C6220" s="1" t="n">
        <v>45353</v>
      </c>
      <c r="D6220" t="inlineStr">
        <is>
          <t>VÄRMLANDS LÄN</t>
        </is>
      </c>
      <c r="E6220" t="inlineStr">
        <is>
          <t>SUNNE</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50596-2021</t>
        </is>
      </c>
      <c r="B6221" s="1" t="n">
        <v>44459</v>
      </c>
      <c r="C6221" s="1" t="n">
        <v>45353</v>
      </c>
      <c r="D6221" t="inlineStr">
        <is>
          <t>VÄRMLANDS LÄN</t>
        </is>
      </c>
      <c r="E6221" t="inlineStr">
        <is>
          <t>TORSBY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50549-2021</t>
        </is>
      </c>
      <c r="B6222" s="1" t="n">
        <v>44459</v>
      </c>
      <c r="C6222" s="1" t="n">
        <v>45353</v>
      </c>
      <c r="D6222" t="inlineStr">
        <is>
          <t>VÄRMLANDS LÄN</t>
        </is>
      </c>
      <c r="E6222" t="inlineStr">
        <is>
          <t>TORSBY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50569-2021</t>
        </is>
      </c>
      <c r="B6223" s="1" t="n">
        <v>44459</v>
      </c>
      <c r="C6223" s="1" t="n">
        <v>45353</v>
      </c>
      <c r="D6223" t="inlineStr">
        <is>
          <t>VÄRMLANDS LÄN</t>
        </is>
      </c>
      <c r="E6223" t="inlineStr">
        <is>
          <t>ÅRJÄNG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50553-2021</t>
        </is>
      </c>
      <c r="B6224" s="1" t="n">
        <v>44459</v>
      </c>
      <c r="C6224" s="1" t="n">
        <v>45353</v>
      </c>
      <c r="D6224" t="inlineStr">
        <is>
          <t>VÄRMLANDS LÄN</t>
        </is>
      </c>
      <c r="E6224" t="inlineStr">
        <is>
          <t>SUNNE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50767-2021</t>
        </is>
      </c>
      <c r="B6225" s="1" t="n">
        <v>44459</v>
      </c>
      <c r="C6225" s="1" t="n">
        <v>45353</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50858-2021</t>
        </is>
      </c>
      <c r="B6226" s="1" t="n">
        <v>44459</v>
      </c>
      <c r="C6226" s="1" t="n">
        <v>45353</v>
      </c>
      <c r="D6226" t="inlineStr">
        <is>
          <t>VÄRMLANDS LÄN</t>
        </is>
      </c>
      <c r="E6226" t="inlineStr">
        <is>
          <t>ÅRJÄNG</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51096-2021</t>
        </is>
      </c>
      <c r="B6227" s="1" t="n">
        <v>44459</v>
      </c>
      <c r="C6227" s="1" t="n">
        <v>45353</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54425-2021</t>
        </is>
      </c>
      <c r="B6228" s="1" t="n">
        <v>44459</v>
      </c>
      <c r="C6228" s="1" t="n">
        <v>45353</v>
      </c>
      <c r="D6228" t="inlineStr">
        <is>
          <t>VÄRMLANDS LÄN</t>
        </is>
      </c>
      <c r="E6228" t="inlineStr">
        <is>
          <t>ÅRJÄNG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54437-2021</t>
        </is>
      </c>
      <c r="B6229" s="1" t="n">
        <v>44459</v>
      </c>
      <c r="C6229" s="1" t="n">
        <v>45353</v>
      </c>
      <c r="D6229" t="inlineStr">
        <is>
          <t>VÄRMLANDS LÄN</t>
        </is>
      </c>
      <c r="E6229" t="inlineStr">
        <is>
          <t>ÅRJÄNG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50829-2021</t>
        </is>
      </c>
      <c r="B6230" s="1" t="n">
        <v>44460</v>
      </c>
      <c r="C6230" s="1" t="n">
        <v>45353</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50827-2021</t>
        </is>
      </c>
      <c r="B6231" s="1" t="n">
        <v>44460</v>
      </c>
      <c r="C6231" s="1" t="n">
        <v>45353</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50954-2021</t>
        </is>
      </c>
      <c r="B6232" s="1" t="n">
        <v>44460</v>
      </c>
      <c r="C6232" s="1" t="n">
        <v>45353</v>
      </c>
      <c r="D6232" t="inlineStr">
        <is>
          <t>VÄRMLANDS LÄN</t>
        </is>
      </c>
      <c r="E6232" t="inlineStr">
        <is>
          <t>ARVIKA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50988-2021</t>
        </is>
      </c>
      <c r="B6233" s="1" t="n">
        <v>44460</v>
      </c>
      <c r="C6233" s="1" t="n">
        <v>45353</v>
      </c>
      <c r="D6233" t="inlineStr">
        <is>
          <t>VÄRMLANDS LÄN</t>
        </is>
      </c>
      <c r="E6233" t="inlineStr">
        <is>
          <t>TORSBY</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50914-2021</t>
        </is>
      </c>
      <c r="B6234" s="1" t="n">
        <v>44460</v>
      </c>
      <c r="C6234" s="1" t="n">
        <v>45353</v>
      </c>
      <c r="D6234" t="inlineStr">
        <is>
          <t>VÄRMLANDS LÄN</t>
        </is>
      </c>
      <c r="E6234" t="inlineStr">
        <is>
          <t>FILIPSTAD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51203-2021</t>
        </is>
      </c>
      <c r="B6235" s="1" t="n">
        <v>44460</v>
      </c>
      <c r="C6235" s="1" t="n">
        <v>45353</v>
      </c>
      <c r="D6235" t="inlineStr">
        <is>
          <t>VÄRMLANDS LÄN</t>
        </is>
      </c>
      <c r="E6235" t="inlineStr">
        <is>
          <t>GRUMS</t>
        </is>
      </c>
      <c r="F6235" t="inlineStr">
        <is>
          <t>Bergvik skog väst AB</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51505-2021</t>
        </is>
      </c>
      <c r="B6236" s="1" t="n">
        <v>44460</v>
      </c>
      <c r="C6236" s="1" t="n">
        <v>45353</v>
      </c>
      <c r="D6236" t="inlineStr">
        <is>
          <t>VÄRMLANDS LÄN</t>
        </is>
      </c>
      <c r="E6236" t="inlineStr">
        <is>
          <t>TORSBY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51494-2021</t>
        </is>
      </c>
      <c r="B6237" s="1" t="n">
        <v>44460</v>
      </c>
      <c r="C6237" s="1" t="n">
        <v>45353</v>
      </c>
      <c r="D6237" t="inlineStr">
        <is>
          <t>VÄRMLANDS LÄN</t>
        </is>
      </c>
      <c r="E6237" t="inlineStr">
        <is>
          <t>TORSBY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51510-2021</t>
        </is>
      </c>
      <c r="B6238" s="1" t="n">
        <v>44460</v>
      </c>
      <c r="C6238" s="1" t="n">
        <v>45353</v>
      </c>
      <c r="D6238" t="inlineStr">
        <is>
          <t>VÄRMLANDS LÄN</t>
        </is>
      </c>
      <c r="E6238" t="inlineStr">
        <is>
          <t>TORSBY</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51099-2021</t>
        </is>
      </c>
      <c r="B6239" s="1" t="n">
        <v>44461</v>
      </c>
      <c r="C6239" s="1" t="n">
        <v>45353</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51194-2021</t>
        </is>
      </c>
      <c r="B6240" s="1" t="n">
        <v>44461</v>
      </c>
      <c r="C6240" s="1" t="n">
        <v>45353</v>
      </c>
      <c r="D6240" t="inlineStr">
        <is>
          <t>VÄRMLANDS LÄN</t>
        </is>
      </c>
      <c r="E6240" t="inlineStr">
        <is>
          <t>SUNNE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51247-2021</t>
        </is>
      </c>
      <c r="B6241" s="1" t="n">
        <v>44461</v>
      </c>
      <c r="C6241" s="1" t="n">
        <v>45353</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51174-2021</t>
        </is>
      </c>
      <c r="B6242" s="1" t="n">
        <v>44461</v>
      </c>
      <c r="C6242" s="1" t="n">
        <v>45353</v>
      </c>
      <c r="D6242" t="inlineStr">
        <is>
          <t>VÄRMLANDS LÄN</t>
        </is>
      </c>
      <c r="E6242" t="inlineStr">
        <is>
          <t>KIL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51086-2021</t>
        </is>
      </c>
      <c r="B6243" s="1" t="n">
        <v>44461</v>
      </c>
      <c r="C6243" s="1" t="n">
        <v>45353</v>
      </c>
      <c r="D6243" t="inlineStr">
        <is>
          <t>VÄRMLANDS LÄN</t>
        </is>
      </c>
      <c r="E6243" t="inlineStr">
        <is>
          <t>KARLSTAD</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51105-2021</t>
        </is>
      </c>
      <c r="B6244" s="1" t="n">
        <v>44461</v>
      </c>
      <c r="C6244" s="1" t="n">
        <v>45353</v>
      </c>
      <c r="D6244" t="inlineStr">
        <is>
          <t>VÄRMLANDS LÄN</t>
        </is>
      </c>
      <c r="E6244" t="inlineStr">
        <is>
          <t>EDA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51124-2021</t>
        </is>
      </c>
      <c r="B6245" s="1" t="n">
        <v>44461</v>
      </c>
      <c r="C6245" s="1" t="n">
        <v>45353</v>
      </c>
      <c r="D6245" t="inlineStr">
        <is>
          <t>VÄRMLANDS LÄN</t>
        </is>
      </c>
      <c r="E6245" t="inlineStr">
        <is>
          <t>FORSHAGA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51266-2021</t>
        </is>
      </c>
      <c r="B6246" s="1" t="n">
        <v>44461</v>
      </c>
      <c r="C6246" s="1" t="n">
        <v>45353</v>
      </c>
      <c r="D6246" t="inlineStr">
        <is>
          <t>VÄRMLANDS LÄN</t>
        </is>
      </c>
      <c r="E6246" t="inlineStr">
        <is>
          <t>FILIPSTAD</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51314-2021</t>
        </is>
      </c>
      <c r="B6247" s="1" t="n">
        <v>44461</v>
      </c>
      <c r="C6247" s="1" t="n">
        <v>45353</v>
      </c>
      <c r="D6247" t="inlineStr">
        <is>
          <t>VÄRMLANDS LÄN</t>
        </is>
      </c>
      <c r="E6247" t="inlineStr">
        <is>
          <t>ARVIKA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51420-2021</t>
        </is>
      </c>
      <c r="B6248" s="1" t="n">
        <v>44461</v>
      </c>
      <c r="C6248" s="1" t="n">
        <v>45353</v>
      </c>
      <c r="D6248" t="inlineStr">
        <is>
          <t>VÄRMLANDS LÄN</t>
        </is>
      </c>
      <c r="E6248" t="inlineStr">
        <is>
          <t>SUNNE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51405-2021</t>
        </is>
      </c>
      <c r="B6249" s="1" t="n">
        <v>44461</v>
      </c>
      <c r="C6249" s="1" t="n">
        <v>45353</v>
      </c>
      <c r="D6249" t="inlineStr">
        <is>
          <t>VÄRMLANDS LÄN</t>
        </is>
      </c>
      <c r="E6249" t="inlineStr">
        <is>
          <t>SUNNE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51372-2021</t>
        </is>
      </c>
      <c r="B6250" s="1" t="n">
        <v>44461</v>
      </c>
      <c r="C6250" s="1" t="n">
        <v>45353</v>
      </c>
      <c r="D6250" t="inlineStr">
        <is>
          <t>VÄRMLANDS LÄN</t>
        </is>
      </c>
      <c r="E6250" t="inlineStr">
        <is>
          <t>TORSBY</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51401-2021</t>
        </is>
      </c>
      <c r="B6251" s="1" t="n">
        <v>44461</v>
      </c>
      <c r="C6251" s="1" t="n">
        <v>45353</v>
      </c>
      <c r="D6251" t="inlineStr">
        <is>
          <t>VÄRMLANDS LÄN</t>
        </is>
      </c>
      <c r="E6251" t="inlineStr">
        <is>
          <t>SUNNE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51608-2021</t>
        </is>
      </c>
      <c r="B6252" s="1" t="n">
        <v>44461</v>
      </c>
      <c r="C6252" s="1" t="n">
        <v>45353</v>
      </c>
      <c r="D6252" t="inlineStr">
        <is>
          <t>VÄRMLANDS LÄN</t>
        </is>
      </c>
      <c r="E6252" t="inlineStr">
        <is>
          <t>ARVIKA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51514-2021</t>
        </is>
      </c>
      <c r="B6253" s="1" t="n">
        <v>44462</v>
      </c>
      <c r="C6253" s="1" t="n">
        <v>45353</v>
      </c>
      <c r="D6253" t="inlineStr">
        <is>
          <t>VÄRMLANDS LÄN</t>
        </is>
      </c>
      <c r="E6253" t="inlineStr">
        <is>
          <t>ARVIKA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51790-2021</t>
        </is>
      </c>
      <c r="B6254" s="1" t="n">
        <v>44462</v>
      </c>
      <c r="C6254" s="1" t="n">
        <v>45353</v>
      </c>
      <c r="D6254" t="inlineStr">
        <is>
          <t>VÄRMLANDS LÄN</t>
        </is>
      </c>
      <c r="E6254" t="inlineStr">
        <is>
          <t>SUNNE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51819-2021</t>
        </is>
      </c>
      <c r="B6255" s="1" t="n">
        <v>44462</v>
      </c>
      <c r="C6255" s="1" t="n">
        <v>45353</v>
      </c>
      <c r="D6255" t="inlineStr">
        <is>
          <t>VÄRMLANDS LÄN</t>
        </is>
      </c>
      <c r="E6255" t="inlineStr">
        <is>
          <t>TORSBY</t>
        </is>
      </c>
      <c r="F6255" t="inlineStr">
        <is>
          <t>Bergvik skog väst AB</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51849-2021</t>
        </is>
      </c>
      <c r="B6256" s="1" t="n">
        <v>44462</v>
      </c>
      <c r="C6256" s="1" t="n">
        <v>45353</v>
      </c>
      <c r="D6256" t="inlineStr">
        <is>
          <t>VÄRMLANDS LÄN</t>
        </is>
      </c>
      <c r="E6256" t="inlineStr">
        <is>
          <t>SUNNE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51522-2021</t>
        </is>
      </c>
      <c r="B6257" s="1" t="n">
        <v>44462</v>
      </c>
      <c r="C6257" s="1" t="n">
        <v>45353</v>
      </c>
      <c r="D6257" t="inlineStr">
        <is>
          <t>VÄRMLANDS LÄN</t>
        </is>
      </c>
      <c r="E6257" t="inlineStr">
        <is>
          <t>TORSBY</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51786-2021</t>
        </is>
      </c>
      <c r="B6258" s="1" t="n">
        <v>44462</v>
      </c>
      <c r="C6258" s="1" t="n">
        <v>45353</v>
      </c>
      <c r="D6258" t="inlineStr">
        <is>
          <t>VÄRMLANDS LÄN</t>
        </is>
      </c>
      <c r="E6258" t="inlineStr">
        <is>
          <t>SUNNE</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51553-2021</t>
        </is>
      </c>
      <c r="B6259" s="1" t="n">
        <v>44462</v>
      </c>
      <c r="C6259" s="1" t="n">
        <v>45353</v>
      </c>
      <c r="D6259" t="inlineStr">
        <is>
          <t>VÄRMLANDS LÄN</t>
        </is>
      </c>
      <c r="E6259" t="inlineStr">
        <is>
          <t>ARVIKA</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51958-2021</t>
        </is>
      </c>
      <c r="B6260" s="1" t="n">
        <v>44462</v>
      </c>
      <c r="C6260" s="1" t="n">
        <v>45353</v>
      </c>
      <c r="D6260" t="inlineStr">
        <is>
          <t>VÄRMLANDS LÄN</t>
        </is>
      </c>
      <c r="E6260" t="inlineStr">
        <is>
          <t>KRISTINEHAMN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52151-2021</t>
        </is>
      </c>
      <c r="B6261" s="1" t="n">
        <v>44462</v>
      </c>
      <c r="C6261" s="1" t="n">
        <v>45353</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51875-2021</t>
        </is>
      </c>
      <c r="B6262" s="1" t="n">
        <v>44462</v>
      </c>
      <c r="C6262" s="1" t="n">
        <v>45353</v>
      </c>
      <c r="D6262" t="inlineStr">
        <is>
          <t>VÄRMLANDS LÄN</t>
        </is>
      </c>
      <c r="E6262" t="inlineStr">
        <is>
          <t>SUNNE</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52072-2021</t>
        </is>
      </c>
      <c r="B6263" s="1" t="n">
        <v>44463</v>
      </c>
      <c r="C6263" s="1" t="n">
        <v>45353</v>
      </c>
      <c r="D6263" t="inlineStr">
        <is>
          <t>VÄRMLANDS LÄN</t>
        </is>
      </c>
      <c r="E6263" t="inlineStr">
        <is>
          <t>HAGFORS</t>
        </is>
      </c>
      <c r="F6263" t="inlineStr">
        <is>
          <t>Bergvik skog väst AB</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52099-2021</t>
        </is>
      </c>
      <c r="B6264" s="1" t="n">
        <v>44463</v>
      </c>
      <c r="C6264" s="1" t="n">
        <v>45353</v>
      </c>
      <c r="D6264" t="inlineStr">
        <is>
          <t>VÄRMLANDS LÄN</t>
        </is>
      </c>
      <c r="E6264" t="inlineStr">
        <is>
          <t>SÄFFLE</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52149-2021</t>
        </is>
      </c>
      <c r="B6265" s="1" t="n">
        <v>44463</v>
      </c>
      <c r="C6265" s="1" t="n">
        <v>45353</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52242-2021</t>
        </is>
      </c>
      <c r="B6266" s="1" t="n">
        <v>44463</v>
      </c>
      <c r="C6266" s="1" t="n">
        <v>45353</v>
      </c>
      <c r="D6266" t="inlineStr">
        <is>
          <t>VÄRMLANDS LÄN</t>
        </is>
      </c>
      <c r="E6266" t="inlineStr">
        <is>
          <t>ÅRJÄNG</t>
        </is>
      </c>
      <c r="F6266" t="inlineStr">
        <is>
          <t>Övriga Aktiebolag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52121-2021</t>
        </is>
      </c>
      <c r="B6267" s="1" t="n">
        <v>44463</v>
      </c>
      <c r="C6267" s="1" t="n">
        <v>45353</v>
      </c>
      <c r="D6267" t="inlineStr">
        <is>
          <t>VÄRMLANDS LÄN</t>
        </is>
      </c>
      <c r="E6267" t="inlineStr">
        <is>
          <t>TORSBY</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52146-2021</t>
        </is>
      </c>
      <c r="B6268" s="1" t="n">
        <v>44463</v>
      </c>
      <c r="C6268" s="1" t="n">
        <v>45353</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52257-2021</t>
        </is>
      </c>
      <c r="B6269" s="1" t="n">
        <v>44463</v>
      </c>
      <c r="C6269" s="1" t="n">
        <v>45353</v>
      </c>
      <c r="D6269" t="inlineStr">
        <is>
          <t>VÄRMLANDS LÄN</t>
        </is>
      </c>
      <c r="E6269" t="inlineStr">
        <is>
          <t>EDA</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52228-2021</t>
        </is>
      </c>
      <c r="B6270" s="1" t="n">
        <v>44463</v>
      </c>
      <c r="C6270" s="1" t="n">
        <v>45353</v>
      </c>
      <c r="D6270" t="inlineStr">
        <is>
          <t>VÄRMLANDS LÄN</t>
        </is>
      </c>
      <c r="E6270" t="inlineStr">
        <is>
          <t>HAGFORS</t>
        </is>
      </c>
      <c r="F6270" t="inlineStr">
        <is>
          <t>Bergvik skog väst AB</t>
        </is>
      </c>
      <c r="G6270" t="n">
        <v>36.9</v>
      </c>
      <c r="H6270" t="n">
        <v>0</v>
      </c>
      <c r="I6270" t="n">
        <v>0</v>
      </c>
      <c r="J6270" t="n">
        <v>0</v>
      </c>
      <c r="K6270" t="n">
        <v>0</v>
      </c>
      <c r="L6270" t="n">
        <v>0</v>
      </c>
      <c r="M6270" t="n">
        <v>0</v>
      </c>
      <c r="N6270" t="n">
        <v>0</v>
      </c>
      <c r="O6270" t="n">
        <v>0</v>
      </c>
      <c r="P6270" t="n">
        <v>0</v>
      </c>
      <c r="Q6270" t="n">
        <v>0</v>
      </c>
      <c r="R6270" s="2" t="inlineStr"/>
    </row>
    <row r="6271" ht="15" customHeight="1">
      <c r="A6271" t="inlineStr">
        <is>
          <t>A 52225-2021</t>
        </is>
      </c>
      <c r="B6271" s="1" t="n">
        <v>44463</v>
      </c>
      <c r="C6271" s="1" t="n">
        <v>45353</v>
      </c>
      <c r="D6271" t="inlineStr">
        <is>
          <t>VÄRMLANDS LÄN</t>
        </is>
      </c>
      <c r="E6271" t="inlineStr">
        <is>
          <t>SÄFFLE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52357-2021</t>
        </is>
      </c>
      <c r="B6272" s="1" t="n">
        <v>44464</v>
      </c>
      <c r="C6272" s="1" t="n">
        <v>45353</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52371-2021</t>
        </is>
      </c>
      <c r="B6273" s="1" t="n">
        <v>44465</v>
      </c>
      <c r="C6273" s="1" t="n">
        <v>45353</v>
      </c>
      <c r="D6273" t="inlineStr">
        <is>
          <t>VÄRMLANDS LÄN</t>
        </is>
      </c>
      <c r="E6273" t="inlineStr">
        <is>
          <t>HAGFORS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52378-2021</t>
        </is>
      </c>
      <c r="B6274" s="1" t="n">
        <v>44465</v>
      </c>
      <c r="C6274" s="1" t="n">
        <v>45353</v>
      </c>
      <c r="D6274" t="inlineStr">
        <is>
          <t>VÄRMLANDS LÄN</t>
        </is>
      </c>
      <c r="E6274" t="inlineStr">
        <is>
          <t>HAGFORS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52384-2021</t>
        </is>
      </c>
      <c r="B6275" s="1" t="n">
        <v>44465</v>
      </c>
      <c r="C6275" s="1" t="n">
        <v>45353</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52624-2021</t>
        </is>
      </c>
      <c r="B6276" s="1" t="n">
        <v>44465</v>
      </c>
      <c r="C6276" s="1" t="n">
        <v>45353</v>
      </c>
      <c r="D6276" t="inlineStr">
        <is>
          <t>VÄRMLANDS LÄN</t>
        </is>
      </c>
      <c r="E6276" t="inlineStr">
        <is>
          <t>ARVIKA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52373-2021</t>
        </is>
      </c>
      <c r="B6277" s="1" t="n">
        <v>44465</v>
      </c>
      <c r="C6277" s="1" t="n">
        <v>45353</v>
      </c>
      <c r="D6277" t="inlineStr">
        <is>
          <t>VÄRMLANDS LÄN</t>
        </is>
      </c>
      <c r="E6277" t="inlineStr">
        <is>
          <t>HAGFORS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52379-2021</t>
        </is>
      </c>
      <c r="B6278" s="1" t="n">
        <v>44465</v>
      </c>
      <c r="C6278" s="1" t="n">
        <v>45353</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52520-2021</t>
        </is>
      </c>
      <c r="B6279" s="1" t="n">
        <v>44466</v>
      </c>
      <c r="C6279" s="1" t="n">
        <v>45353</v>
      </c>
      <c r="D6279" t="inlineStr">
        <is>
          <t>VÄRMLANDS LÄN</t>
        </is>
      </c>
      <c r="E6279" t="inlineStr">
        <is>
          <t>TORSBY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52526-2021</t>
        </is>
      </c>
      <c r="B6280" s="1" t="n">
        <v>44466</v>
      </c>
      <c r="C6280" s="1" t="n">
        <v>45353</v>
      </c>
      <c r="D6280" t="inlineStr">
        <is>
          <t>VÄRMLANDS LÄN</t>
        </is>
      </c>
      <c r="E6280" t="inlineStr">
        <is>
          <t>KIL</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52677-2021</t>
        </is>
      </c>
      <c r="B6281" s="1" t="n">
        <v>44466</v>
      </c>
      <c r="C6281" s="1" t="n">
        <v>45353</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52750-2021</t>
        </is>
      </c>
      <c r="B6282" s="1" t="n">
        <v>44466</v>
      </c>
      <c r="C6282" s="1" t="n">
        <v>45353</v>
      </c>
      <c r="D6282" t="inlineStr">
        <is>
          <t>VÄRMLANDS LÄN</t>
        </is>
      </c>
      <c r="E6282" t="inlineStr">
        <is>
          <t>KRISTINEHAMN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53038-2021</t>
        </is>
      </c>
      <c r="B6283" s="1" t="n">
        <v>44466</v>
      </c>
      <c r="C6283" s="1" t="n">
        <v>45353</v>
      </c>
      <c r="D6283" t="inlineStr">
        <is>
          <t>VÄRMLANDS LÄN</t>
        </is>
      </c>
      <c r="E6283" t="inlineStr">
        <is>
          <t>SUNNE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53143-2021</t>
        </is>
      </c>
      <c r="B6284" s="1" t="n">
        <v>44466</v>
      </c>
      <c r="C6284" s="1" t="n">
        <v>45353</v>
      </c>
      <c r="D6284" t="inlineStr">
        <is>
          <t>VÄRMLANDS LÄN</t>
        </is>
      </c>
      <c r="E6284" t="inlineStr">
        <is>
          <t>SÄFFLE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52836-2021</t>
        </is>
      </c>
      <c r="B6285" s="1" t="n">
        <v>44466</v>
      </c>
      <c r="C6285" s="1" t="n">
        <v>45353</v>
      </c>
      <c r="D6285" t="inlineStr">
        <is>
          <t>VÄRMLANDS LÄN</t>
        </is>
      </c>
      <c r="E6285" t="inlineStr">
        <is>
          <t>KRISTINEHAMN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52853-2021</t>
        </is>
      </c>
      <c r="B6286" s="1" t="n">
        <v>44466</v>
      </c>
      <c r="C6286" s="1" t="n">
        <v>45353</v>
      </c>
      <c r="D6286" t="inlineStr">
        <is>
          <t>VÄRMLANDS LÄN</t>
        </is>
      </c>
      <c r="E6286" t="inlineStr">
        <is>
          <t>KRISTINEHAMN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52728-2021</t>
        </is>
      </c>
      <c r="B6287" s="1" t="n">
        <v>44467</v>
      </c>
      <c r="C6287" s="1" t="n">
        <v>45353</v>
      </c>
      <c r="D6287" t="inlineStr">
        <is>
          <t>VÄRMLANDS LÄN</t>
        </is>
      </c>
      <c r="E6287" t="inlineStr">
        <is>
          <t>TORSBY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52809-2021</t>
        </is>
      </c>
      <c r="B6288" s="1" t="n">
        <v>44467</v>
      </c>
      <c r="C6288" s="1" t="n">
        <v>45353</v>
      </c>
      <c r="D6288" t="inlineStr">
        <is>
          <t>VÄRMLANDS LÄN</t>
        </is>
      </c>
      <c r="E6288" t="inlineStr">
        <is>
          <t>EDA</t>
        </is>
      </c>
      <c r="F6288" t="inlineStr">
        <is>
          <t>Övriga Aktiebolag</t>
        </is>
      </c>
      <c r="G6288" t="n">
        <v>11.5</v>
      </c>
      <c r="H6288" t="n">
        <v>0</v>
      </c>
      <c r="I6288" t="n">
        <v>0</v>
      </c>
      <c r="J6288" t="n">
        <v>0</v>
      </c>
      <c r="K6288" t="n">
        <v>0</v>
      </c>
      <c r="L6288" t="n">
        <v>0</v>
      </c>
      <c r="M6288" t="n">
        <v>0</v>
      </c>
      <c r="N6288" t="n">
        <v>0</v>
      </c>
      <c r="O6288" t="n">
        <v>0</v>
      </c>
      <c r="P6288" t="n">
        <v>0</v>
      </c>
      <c r="Q6288" t="n">
        <v>0</v>
      </c>
      <c r="R6288" s="2" t="inlineStr"/>
    </row>
    <row r="6289" ht="15" customHeight="1">
      <c r="A6289" t="inlineStr">
        <is>
          <t>A 52848-2021</t>
        </is>
      </c>
      <c r="B6289" s="1" t="n">
        <v>44467</v>
      </c>
      <c r="C6289" s="1" t="n">
        <v>45353</v>
      </c>
      <c r="D6289" t="inlineStr">
        <is>
          <t>VÄRMLANDS LÄN</t>
        </is>
      </c>
      <c r="E6289" t="inlineStr">
        <is>
          <t>GRUMS</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52789-2021</t>
        </is>
      </c>
      <c r="B6290" s="1" t="n">
        <v>44467</v>
      </c>
      <c r="C6290" s="1" t="n">
        <v>45353</v>
      </c>
      <c r="D6290" t="inlineStr">
        <is>
          <t>VÄRMLANDS LÄN</t>
        </is>
      </c>
      <c r="E6290" t="inlineStr">
        <is>
          <t>KARLSTAD</t>
        </is>
      </c>
      <c r="F6290" t="inlineStr">
        <is>
          <t>Övriga statliga verk och myndigheter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52800-2021</t>
        </is>
      </c>
      <c r="B6291" s="1" t="n">
        <v>44467</v>
      </c>
      <c r="C6291" s="1" t="n">
        <v>45353</v>
      </c>
      <c r="D6291" t="inlineStr">
        <is>
          <t>VÄRMLANDS LÄN</t>
        </is>
      </c>
      <c r="E6291" t="inlineStr">
        <is>
          <t>ARVIKA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52842-2021</t>
        </is>
      </c>
      <c r="B6292" s="1" t="n">
        <v>44467</v>
      </c>
      <c r="C6292" s="1" t="n">
        <v>45353</v>
      </c>
      <c r="D6292" t="inlineStr">
        <is>
          <t>VÄRMLANDS LÄN</t>
        </is>
      </c>
      <c r="E6292" t="inlineStr">
        <is>
          <t>GRUMS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52900-2021</t>
        </is>
      </c>
      <c r="B6293" s="1" t="n">
        <v>44467</v>
      </c>
      <c r="C6293" s="1" t="n">
        <v>45353</v>
      </c>
      <c r="D6293" t="inlineStr">
        <is>
          <t>VÄRMLANDS LÄN</t>
        </is>
      </c>
      <c r="E6293" t="inlineStr">
        <is>
          <t>TORSBY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52977-2021</t>
        </is>
      </c>
      <c r="B6294" s="1" t="n">
        <v>44467</v>
      </c>
      <c r="C6294" s="1" t="n">
        <v>45353</v>
      </c>
      <c r="D6294" t="inlineStr">
        <is>
          <t>VÄRMLANDS LÄN</t>
        </is>
      </c>
      <c r="E6294" t="inlineStr">
        <is>
          <t>FILIPSTAD</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52875-2021</t>
        </is>
      </c>
      <c r="B6295" s="1" t="n">
        <v>44467</v>
      </c>
      <c r="C6295" s="1" t="n">
        <v>45353</v>
      </c>
      <c r="D6295" t="inlineStr">
        <is>
          <t>VÄRMLANDS LÄN</t>
        </is>
      </c>
      <c r="E6295" t="inlineStr">
        <is>
          <t>GRUMS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52986-2021</t>
        </is>
      </c>
      <c r="B6296" s="1" t="n">
        <v>44467</v>
      </c>
      <c r="C6296" s="1" t="n">
        <v>45353</v>
      </c>
      <c r="D6296" t="inlineStr">
        <is>
          <t>VÄRMLANDS LÄN</t>
        </is>
      </c>
      <c r="E6296" t="inlineStr">
        <is>
          <t>FILIPSTAD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53093-2021</t>
        </is>
      </c>
      <c r="B6297" s="1" t="n">
        <v>44467</v>
      </c>
      <c r="C6297" s="1" t="n">
        <v>45353</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52992-2021</t>
        </is>
      </c>
      <c r="B6298" s="1" t="n">
        <v>44467</v>
      </c>
      <c r="C6298" s="1" t="n">
        <v>45353</v>
      </c>
      <c r="D6298" t="inlineStr">
        <is>
          <t>VÄRMLANDS LÄN</t>
        </is>
      </c>
      <c r="E6298" t="inlineStr">
        <is>
          <t>FILIPSTAD</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53052-2021</t>
        </is>
      </c>
      <c r="B6299" s="1" t="n">
        <v>44467</v>
      </c>
      <c r="C6299" s="1" t="n">
        <v>45353</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52730-2021</t>
        </is>
      </c>
      <c r="B6300" s="1" t="n">
        <v>44467</v>
      </c>
      <c r="C6300" s="1" t="n">
        <v>45353</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53096-2021</t>
        </is>
      </c>
      <c r="B6301" s="1" t="n">
        <v>44467</v>
      </c>
      <c r="C6301" s="1" t="n">
        <v>45353</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52981-2021</t>
        </is>
      </c>
      <c r="B6302" s="1" t="n">
        <v>44467</v>
      </c>
      <c r="C6302" s="1" t="n">
        <v>45353</v>
      </c>
      <c r="D6302" t="inlineStr">
        <is>
          <t>VÄRMLANDS LÄN</t>
        </is>
      </c>
      <c r="E6302" t="inlineStr">
        <is>
          <t>FILIPSTAD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52994-2021</t>
        </is>
      </c>
      <c r="B6303" s="1" t="n">
        <v>44467</v>
      </c>
      <c r="C6303" s="1" t="n">
        <v>45353</v>
      </c>
      <c r="D6303" t="inlineStr">
        <is>
          <t>VÄRMLANDS LÄN</t>
        </is>
      </c>
      <c r="E6303" t="inlineStr">
        <is>
          <t>SUNNE</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53100-2021</t>
        </is>
      </c>
      <c r="B6304" s="1" t="n">
        <v>44467</v>
      </c>
      <c r="C6304" s="1" t="n">
        <v>45353</v>
      </c>
      <c r="D6304" t="inlineStr">
        <is>
          <t>VÄRMLANDS LÄN</t>
        </is>
      </c>
      <c r="E6304" t="inlineStr">
        <is>
          <t>KIL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53303-2021</t>
        </is>
      </c>
      <c r="B6305" s="1" t="n">
        <v>44467</v>
      </c>
      <c r="C6305" s="1" t="n">
        <v>45353</v>
      </c>
      <c r="D6305" t="inlineStr">
        <is>
          <t>VÄRMLANDS LÄN</t>
        </is>
      </c>
      <c r="E6305" t="inlineStr">
        <is>
          <t>SÄFFLE</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53174-2021</t>
        </is>
      </c>
      <c r="B6306" s="1" t="n">
        <v>44468</v>
      </c>
      <c r="C6306" s="1" t="n">
        <v>45353</v>
      </c>
      <c r="D6306" t="inlineStr">
        <is>
          <t>VÄRMLANDS LÄN</t>
        </is>
      </c>
      <c r="E6306" t="inlineStr">
        <is>
          <t>SÄFFLE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53209-2021</t>
        </is>
      </c>
      <c r="B6307" s="1" t="n">
        <v>44468</v>
      </c>
      <c r="C6307" s="1" t="n">
        <v>45353</v>
      </c>
      <c r="D6307" t="inlineStr">
        <is>
          <t>VÄRMLANDS LÄN</t>
        </is>
      </c>
      <c r="E6307" t="inlineStr">
        <is>
          <t>GRUMS</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53300-2021</t>
        </is>
      </c>
      <c r="B6308" s="1" t="n">
        <v>44468</v>
      </c>
      <c r="C6308" s="1" t="n">
        <v>45353</v>
      </c>
      <c r="D6308" t="inlineStr">
        <is>
          <t>VÄRMLANDS LÄN</t>
        </is>
      </c>
      <c r="E6308" t="inlineStr">
        <is>
          <t>KRISTINEHAMN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53239-2021</t>
        </is>
      </c>
      <c r="B6309" s="1" t="n">
        <v>44468</v>
      </c>
      <c r="C6309" s="1" t="n">
        <v>45353</v>
      </c>
      <c r="D6309" t="inlineStr">
        <is>
          <t>VÄRMLANDS LÄN</t>
        </is>
      </c>
      <c r="E6309" t="inlineStr">
        <is>
          <t>SÄFFLE</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53387-2021</t>
        </is>
      </c>
      <c r="B6310" s="1" t="n">
        <v>44468</v>
      </c>
      <c r="C6310" s="1" t="n">
        <v>45353</v>
      </c>
      <c r="D6310" t="inlineStr">
        <is>
          <t>VÄRMLANDS LÄN</t>
        </is>
      </c>
      <c r="E6310" t="inlineStr">
        <is>
          <t>SUNNE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53390-2021</t>
        </is>
      </c>
      <c r="B6311" s="1" t="n">
        <v>44468</v>
      </c>
      <c r="C6311" s="1" t="n">
        <v>45353</v>
      </c>
      <c r="D6311" t="inlineStr">
        <is>
          <t>VÄRMLANDS LÄN</t>
        </is>
      </c>
      <c r="E6311" t="inlineStr">
        <is>
          <t>ARVIKA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53486-2021</t>
        </is>
      </c>
      <c r="B6312" s="1" t="n">
        <v>44468</v>
      </c>
      <c r="C6312" s="1" t="n">
        <v>45353</v>
      </c>
      <c r="D6312" t="inlineStr">
        <is>
          <t>VÄRMLANDS LÄN</t>
        </is>
      </c>
      <c r="E6312" t="inlineStr">
        <is>
          <t>KARLSTAD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53495-2021</t>
        </is>
      </c>
      <c r="B6313" s="1" t="n">
        <v>44468</v>
      </c>
      <c r="C6313" s="1" t="n">
        <v>45353</v>
      </c>
      <c r="D6313" t="inlineStr">
        <is>
          <t>VÄRMLANDS LÄN</t>
        </is>
      </c>
      <c r="E6313" t="inlineStr">
        <is>
          <t>SUNNE</t>
        </is>
      </c>
      <c r="F6313" t="inlineStr">
        <is>
          <t>Övriga statliga verk och myndigheter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53398-2021</t>
        </is>
      </c>
      <c r="B6314" s="1" t="n">
        <v>44468</v>
      </c>
      <c r="C6314" s="1" t="n">
        <v>45353</v>
      </c>
      <c r="D6314" t="inlineStr">
        <is>
          <t>VÄRMLANDS LÄN</t>
        </is>
      </c>
      <c r="E6314" t="inlineStr">
        <is>
          <t>STORFORS</t>
        </is>
      </c>
      <c r="F6314" t="inlineStr">
        <is>
          <t>Naturvårdsverket</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53416-2021</t>
        </is>
      </c>
      <c r="B6315" s="1" t="n">
        <v>44468</v>
      </c>
      <c r="C6315" s="1" t="n">
        <v>45353</v>
      </c>
      <c r="D6315" t="inlineStr">
        <is>
          <t>VÄRMLANDS LÄN</t>
        </is>
      </c>
      <c r="E6315" t="inlineStr">
        <is>
          <t>ÅRJÄNG</t>
        </is>
      </c>
      <c r="G6315" t="n">
        <v>18.8</v>
      </c>
      <c r="H6315" t="n">
        <v>0</v>
      </c>
      <c r="I6315" t="n">
        <v>0</v>
      </c>
      <c r="J6315" t="n">
        <v>0</v>
      </c>
      <c r="K6315" t="n">
        <v>0</v>
      </c>
      <c r="L6315" t="n">
        <v>0</v>
      </c>
      <c r="M6315" t="n">
        <v>0</v>
      </c>
      <c r="N6315" t="n">
        <v>0</v>
      </c>
      <c r="O6315" t="n">
        <v>0</v>
      </c>
      <c r="P6315" t="n">
        <v>0</v>
      </c>
      <c r="Q6315" t="n">
        <v>0</v>
      </c>
      <c r="R6315" s="2" t="inlineStr"/>
    </row>
    <row r="6316" ht="15" customHeight="1">
      <c r="A6316" t="inlineStr">
        <is>
          <t>A 53468-2021</t>
        </is>
      </c>
      <c r="B6316" s="1" t="n">
        <v>44468</v>
      </c>
      <c r="C6316" s="1" t="n">
        <v>45353</v>
      </c>
      <c r="D6316" t="inlineStr">
        <is>
          <t>VÄRMLANDS LÄN</t>
        </is>
      </c>
      <c r="E6316" t="inlineStr">
        <is>
          <t>ÅRJÄNG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53629-2021</t>
        </is>
      </c>
      <c r="B6317" s="1" t="n">
        <v>44469</v>
      </c>
      <c r="C6317" s="1" t="n">
        <v>45353</v>
      </c>
      <c r="D6317" t="inlineStr">
        <is>
          <t>VÄRMLANDS LÄN</t>
        </is>
      </c>
      <c r="E6317" t="inlineStr">
        <is>
          <t>SUNNE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53705-2021</t>
        </is>
      </c>
      <c r="B6318" s="1" t="n">
        <v>44469</v>
      </c>
      <c r="C6318" s="1" t="n">
        <v>45353</v>
      </c>
      <c r="D6318" t="inlineStr">
        <is>
          <t>VÄRMLANDS LÄN</t>
        </is>
      </c>
      <c r="E6318" t="inlineStr">
        <is>
          <t>TORSBY</t>
        </is>
      </c>
      <c r="F6318" t="inlineStr">
        <is>
          <t>Kyrkan</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53726-2021</t>
        </is>
      </c>
      <c r="B6319" s="1" t="n">
        <v>44469</v>
      </c>
      <c r="C6319" s="1" t="n">
        <v>45353</v>
      </c>
      <c r="D6319" t="inlineStr">
        <is>
          <t>VÄRMLANDS LÄN</t>
        </is>
      </c>
      <c r="E6319" t="inlineStr">
        <is>
          <t>ÅRJÄNG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53749-2021</t>
        </is>
      </c>
      <c r="B6320" s="1" t="n">
        <v>44469</v>
      </c>
      <c r="C6320" s="1" t="n">
        <v>45353</v>
      </c>
      <c r="D6320" t="inlineStr">
        <is>
          <t>VÄRMLANDS LÄN</t>
        </is>
      </c>
      <c r="E6320" t="inlineStr">
        <is>
          <t>SUNNE</t>
        </is>
      </c>
      <c r="F6320" t="inlineStr">
        <is>
          <t>Kyrkan</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53722-2021</t>
        </is>
      </c>
      <c r="B6321" s="1" t="n">
        <v>44469</v>
      </c>
      <c r="C6321" s="1" t="n">
        <v>45353</v>
      </c>
      <c r="D6321" t="inlineStr">
        <is>
          <t>VÄRMLANDS LÄN</t>
        </is>
      </c>
      <c r="E6321" t="inlineStr">
        <is>
          <t>ÅRJÄNG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53637-2021</t>
        </is>
      </c>
      <c r="B6322" s="1" t="n">
        <v>44469</v>
      </c>
      <c r="C6322" s="1" t="n">
        <v>45353</v>
      </c>
      <c r="D6322" t="inlineStr">
        <is>
          <t>VÄRMLANDS LÄN</t>
        </is>
      </c>
      <c r="E6322" t="inlineStr">
        <is>
          <t>ÅRJÄNG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53747-2021</t>
        </is>
      </c>
      <c r="B6323" s="1" t="n">
        <v>44469</v>
      </c>
      <c r="C6323" s="1" t="n">
        <v>45353</v>
      </c>
      <c r="D6323" t="inlineStr">
        <is>
          <t>VÄRMLANDS LÄN</t>
        </is>
      </c>
      <c r="E6323" t="inlineStr">
        <is>
          <t>ÅRJÄNG</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53757-2021</t>
        </is>
      </c>
      <c r="B6324" s="1" t="n">
        <v>44469</v>
      </c>
      <c r="C6324" s="1" t="n">
        <v>45353</v>
      </c>
      <c r="D6324" t="inlineStr">
        <is>
          <t>VÄRMLANDS LÄN</t>
        </is>
      </c>
      <c r="E6324" t="inlineStr">
        <is>
          <t>HAGFORS</t>
        </is>
      </c>
      <c r="F6324" t="inlineStr">
        <is>
          <t>Kyrkan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53739-2021</t>
        </is>
      </c>
      <c r="B6325" s="1" t="n">
        <v>44469</v>
      </c>
      <c r="C6325" s="1" t="n">
        <v>45353</v>
      </c>
      <c r="D6325" t="inlineStr">
        <is>
          <t>VÄRMLANDS LÄN</t>
        </is>
      </c>
      <c r="E6325" t="inlineStr">
        <is>
          <t>ÅRJÄNG</t>
        </is>
      </c>
      <c r="G6325" t="n">
        <v>15.9</v>
      </c>
      <c r="H6325" t="n">
        <v>0</v>
      </c>
      <c r="I6325" t="n">
        <v>0</v>
      </c>
      <c r="J6325" t="n">
        <v>0</v>
      </c>
      <c r="K6325" t="n">
        <v>0</v>
      </c>
      <c r="L6325" t="n">
        <v>0</v>
      </c>
      <c r="M6325" t="n">
        <v>0</v>
      </c>
      <c r="N6325" t="n">
        <v>0</v>
      </c>
      <c r="O6325" t="n">
        <v>0</v>
      </c>
      <c r="P6325" t="n">
        <v>0</v>
      </c>
      <c r="Q6325" t="n">
        <v>0</v>
      </c>
      <c r="R6325" s="2" t="inlineStr"/>
    </row>
    <row r="6326" ht="15" customHeight="1">
      <c r="A6326" t="inlineStr">
        <is>
          <t>A 53753-2021</t>
        </is>
      </c>
      <c r="B6326" s="1" t="n">
        <v>44469</v>
      </c>
      <c r="C6326" s="1" t="n">
        <v>45353</v>
      </c>
      <c r="D6326" t="inlineStr">
        <is>
          <t>VÄRMLANDS LÄN</t>
        </is>
      </c>
      <c r="E6326" t="inlineStr">
        <is>
          <t>ÅRJÄNG</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53765-2021</t>
        </is>
      </c>
      <c r="B6327" s="1" t="n">
        <v>44469</v>
      </c>
      <c r="C6327" s="1" t="n">
        <v>45353</v>
      </c>
      <c r="D6327" t="inlineStr">
        <is>
          <t>VÄRMLANDS LÄN</t>
        </is>
      </c>
      <c r="E6327" t="inlineStr">
        <is>
          <t>EDA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53824-2021</t>
        </is>
      </c>
      <c r="B6328" s="1" t="n">
        <v>44469</v>
      </c>
      <c r="C6328" s="1" t="n">
        <v>45353</v>
      </c>
      <c r="D6328" t="inlineStr">
        <is>
          <t>VÄRMLANDS LÄN</t>
        </is>
      </c>
      <c r="E6328" t="inlineStr">
        <is>
          <t>HAGFORS</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53978-2021</t>
        </is>
      </c>
      <c r="B6329" s="1" t="n">
        <v>44470</v>
      </c>
      <c r="C6329" s="1" t="n">
        <v>45353</v>
      </c>
      <c r="D6329" t="inlineStr">
        <is>
          <t>VÄRMLANDS LÄN</t>
        </is>
      </c>
      <c r="E6329" t="inlineStr">
        <is>
          <t>EDA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54073-2021</t>
        </is>
      </c>
      <c r="B6330" s="1" t="n">
        <v>44470</v>
      </c>
      <c r="C6330" s="1" t="n">
        <v>45353</v>
      </c>
      <c r="D6330" t="inlineStr">
        <is>
          <t>VÄRMLANDS LÄN</t>
        </is>
      </c>
      <c r="E6330" t="inlineStr">
        <is>
          <t>GRUMS</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53972-2021</t>
        </is>
      </c>
      <c r="B6331" s="1" t="n">
        <v>44470</v>
      </c>
      <c r="C6331" s="1" t="n">
        <v>45353</v>
      </c>
      <c r="D6331" t="inlineStr">
        <is>
          <t>VÄRMLANDS LÄN</t>
        </is>
      </c>
      <c r="E6331" t="inlineStr">
        <is>
          <t>EDA</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54029-2021</t>
        </is>
      </c>
      <c r="B6332" s="1" t="n">
        <v>44470</v>
      </c>
      <c r="C6332" s="1" t="n">
        <v>45353</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54008-2021</t>
        </is>
      </c>
      <c r="B6333" s="1" t="n">
        <v>44470</v>
      </c>
      <c r="C6333" s="1" t="n">
        <v>45353</v>
      </c>
      <c r="D6333" t="inlineStr">
        <is>
          <t>VÄRMLANDS LÄN</t>
        </is>
      </c>
      <c r="E6333" t="inlineStr">
        <is>
          <t>FILIPSTAD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54042-2021</t>
        </is>
      </c>
      <c r="B6334" s="1" t="n">
        <v>44470</v>
      </c>
      <c r="C6334" s="1" t="n">
        <v>45353</v>
      </c>
      <c r="D6334" t="inlineStr">
        <is>
          <t>VÄRMLANDS LÄN</t>
        </is>
      </c>
      <c r="E6334" t="inlineStr">
        <is>
          <t>GRUMS</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54033-2021</t>
        </is>
      </c>
      <c r="B6335" s="1" t="n">
        <v>44470</v>
      </c>
      <c r="C6335" s="1" t="n">
        <v>45353</v>
      </c>
      <c r="D6335" t="inlineStr">
        <is>
          <t>VÄRMLANDS LÄN</t>
        </is>
      </c>
      <c r="E6335" t="inlineStr">
        <is>
          <t>TORSBY</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54140-2021</t>
        </is>
      </c>
      <c r="B6336" s="1" t="n">
        <v>44470</v>
      </c>
      <c r="C6336" s="1" t="n">
        <v>45353</v>
      </c>
      <c r="D6336" t="inlineStr">
        <is>
          <t>VÄRMLANDS LÄN</t>
        </is>
      </c>
      <c r="E6336" t="inlineStr">
        <is>
          <t>KRISTINEHAMN</t>
        </is>
      </c>
      <c r="F6336" t="inlineStr">
        <is>
          <t>Sveaskog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54189-2021</t>
        </is>
      </c>
      <c r="B6337" s="1" t="n">
        <v>44470</v>
      </c>
      <c r="C6337" s="1" t="n">
        <v>45353</v>
      </c>
      <c r="D6337" t="inlineStr">
        <is>
          <t>VÄRMLANDS LÄN</t>
        </is>
      </c>
      <c r="E6337" t="inlineStr">
        <is>
          <t>FORSHAGA</t>
        </is>
      </c>
      <c r="F6337" t="inlineStr">
        <is>
          <t>Bergvik skog väst AB</t>
        </is>
      </c>
      <c r="G6337" t="n">
        <v>24.8</v>
      </c>
      <c r="H6337" t="n">
        <v>0</v>
      </c>
      <c r="I6337" t="n">
        <v>0</v>
      </c>
      <c r="J6337" t="n">
        <v>0</v>
      </c>
      <c r="K6337" t="n">
        <v>0</v>
      </c>
      <c r="L6337" t="n">
        <v>0</v>
      </c>
      <c r="M6337" t="n">
        <v>0</v>
      </c>
      <c r="N6337" t="n">
        <v>0</v>
      </c>
      <c r="O6337" t="n">
        <v>0</v>
      </c>
      <c r="P6337" t="n">
        <v>0</v>
      </c>
      <c r="Q6337" t="n">
        <v>0</v>
      </c>
      <c r="R6337" s="2" t="inlineStr"/>
    </row>
    <row r="6338" ht="15" customHeight="1">
      <c r="A6338" t="inlineStr">
        <is>
          <t>A 54261-2021</t>
        </is>
      </c>
      <c r="B6338" s="1" t="n">
        <v>44470</v>
      </c>
      <c r="C6338" s="1" t="n">
        <v>45353</v>
      </c>
      <c r="D6338" t="inlineStr">
        <is>
          <t>VÄRMLANDS LÄN</t>
        </is>
      </c>
      <c r="E6338" t="inlineStr">
        <is>
          <t>ARVIKA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54186-2021</t>
        </is>
      </c>
      <c r="B6339" s="1" t="n">
        <v>44470</v>
      </c>
      <c r="C6339" s="1" t="n">
        <v>45353</v>
      </c>
      <c r="D6339" t="inlineStr">
        <is>
          <t>VÄRMLANDS LÄN</t>
        </is>
      </c>
      <c r="E6339" t="inlineStr">
        <is>
          <t>SUNNE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54211-2021</t>
        </is>
      </c>
      <c r="B6340" s="1" t="n">
        <v>44470</v>
      </c>
      <c r="C6340" s="1" t="n">
        <v>45353</v>
      </c>
      <c r="D6340" t="inlineStr">
        <is>
          <t>VÄRMLANDS LÄN</t>
        </is>
      </c>
      <c r="E6340" t="inlineStr">
        <is>
          <t>ARVIKA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54247-2021</t>
        </is>
      </c>
      <c r="B6341" s="1" t="n">
        <v>44470</v>
      </c>
      <c r="C6341" s="1" t="n">
        <v>45353</v>
      </c>
      <c r="D6341" t="inlineStr">
        <is>
          <t>VÄRMLANDS LÄN</t>
        </is>
      </c>
      <c r="E6341" t="inlineStr">
        <is>
          <t>FILIPSTAD</t>
        </is>
      </c>
      <c r="F6341" t="inlineStr">
        <is>
          <t>Bergvik skog väst AB</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54335-2021</t>
        </is>
      </c>
      <c r="B6342" s="1" t="n">
        <v>44473</v>
      </c>
      <c r="C6342" s="1" t="n">
        <v>45353</v>
      </c>
      <c r="D6342" t="inlineStr">
        <is>
          <t>VÄRMLANDS LÄN</t>
        </is>
      </c>
      <c r="E6342" t="inlineStr">
        <is>
          <t>ÅRJÄNG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54430-2021</t>
        </is>
      </c>
      <c r="B6343" s="1" t="n">
        <v>44473</v>
      </c>
      <c r="C6343" s="1" t="n">
        <v>45353</v>
      </c>
      <c r="D6343" t="inlineStr">
        <is>
          <t>VÄRMLANDS LÄN</t>
        </is>
      </c>
      <c r="E6343" t="inlineStr">
        <is>
          <t>SÄFFLE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54581-2021</t>
        </is>
      </c>
      <c r="B6344" s="1" t="n">
        <v>44473</v>
      </c>
      <c r="C6344" s="1" t="n">
        <v>45353</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54603-2021</t>
        </is>
      </c>
      <c r="B6345" s="1" t="n">
        <v>44473</v>
      </c>
      <c r="C6345" s="1" t="n">
        <v>45353</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54606-2021</t>
        </is>
      </c>
      <c r="B6346" s="1" t="n">
        <v>44473</v>
      </c>
      <c r="C6346" s="1" t="n">
        <v>45353</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54677-2021</t>
        </is>
      </c>
      <c r="B6347" s="1" t="n">
        <v>44473</v>
      </c>
      <c r="C6347" s="1" t="n">
        <v>45353</v>
      </c>
      <c r="D6347" t="inlineStr">
        <is>
          <t>VÄRMLANDS LÄN</t>
        </is>
      </c>
      <c r="E6347" t="inlineStr">
        <is>
          <t>ARVIKA</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54692-2021</t>
        </is>
      </c>
      <c r="B6348" s="1" t="n">
        <v>44473</v>
      </c>
      <c r="C6348" s="1" t="n">
        <v>45353</v>
      </c>
      <c r="D6348" t="inlineStr">
        <is>
          <t>VÄRMLANDS LÄN</t>
        </is>
      </c>
      <c r="E6348" t="inlineStr">
        <is>
          <t>SÄFFLE</t>
        </is>
      </c>
      <c r="F6348" t="inlineStr">
        <is>
          <t>Bergvik skog väst AB</t>
        </is>
      </c>
      <c r="G6348" t="n">
        <v>30.3</v>
      </c>
      <c r="H6348" t="n">
        <v>0</v>
      </c>
      <c r="I6348" t="n">
        <v>0</v>
      </c>
      <c r="J6348" t="n">
        <v>0</v>
      </c>
      <c r="K6348" t="n">
        <v>0</v>
      </c>
      <c r="L6348" t="n">
        <v>0</v>
      </c>
      <c r="M6348" t="n">
        <v>0</v>
      </c>
      <c r="N6348" t="n">
        <v>0</v>
      </c>
      <c r="O6348" t="n">
        <v>0</v>
      </c>
      <c r="P6348" t="n">
        <v>0</v>
      </c>
      <c r="Q6348" t="n">
        <v>0</v>
      </c>
      <c r="R6348" s="2" t="inlineStr"/>
    </row>
    <row r="6349" ht="15" customHeight="1">
      <c r="A6349" t="inlineStr">
        <is>
          <t>A 54999-2021</t>
        </is>
      </c>
      <c r="B6349" s="1" t="n">
        <v>44473</v>
      </c>
      <c r="C6349" s="1" t="n">
        <v>45353</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55011-2021</t>
        </is>
      </c>
      <c r="B6350" s="1" t="n">
        <v>44474</v>
      </c>
      <c r="C6350" s="1" t="n">
        <v>45353</v>
      </c>
      <c r="D6350" t="inlineStr">
        <is>
          <t>VÄRMLANDS LÄN</t>
        </is>
      </c>
      <c r="E6350" t="inlineStr">
        <is>
          <t>EDA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55059-2021</t>
        </is>
      </c>
      <c r="B6351" s="1" t="n">
        <v>44474</v>
      </c>
      <c r="C6351" s="1" t="n">
        <v>45353</v>
      </c>
      <c r="D6351" t="inlineStr">
        <is>
          <t>VÄRMLANDS LÄN</t>
        </is>
      </c>
      <c r="E6351" t="inlineStr">
        <is>
          <t>KIL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55003-2021</t>
        </is>
      </c>
      <c r="B6352" s="1" t="n">
        <v>44474</v>
      </c>
      <c r="C6352" s="1" t="n">
        <v>45353</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55070-2021</t>
        </is>
      </c>
      <c r="B6353" s="1" t="n">
        <v>44474</v>
      </c>
      <c r="C6353" s="1" t="n">
        <v>45353</v>
      </c>
      <c r="D6353" t="inlineStr">
        <is>
          <t>VÄRMLANDS LÄN</t>
        </is>
      </c>
      <c r="E6353" t="inlineStr">
        <is>
          <t>KIL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55111-2021</t>
        </is>
      </c>
      <c r="B6354" s="1" t="n">
        <v>44474</v>
      </c>
      <c r="C6354" s="1" t="n">
        <v>45353</v>
      </c>
      <c r="D6354" t="inlineStr">
        <is>
          <t>VÄRMLANDS LÄN</t>
        </is>
      </c>
      <c r="E6354" t="inlineStr">
        <is>
          <t>KARLSTAD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54849-2021</t>
        </is>
      </c>
      <c r="B6355" s="1" t="n">
        <v>44474</v>
      </c>
      <c r="C6355" s="1" t="n">
        <v>45353</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54865-2021</t>
        </is>
      </c>
      <c r="B6356" s="1" t="n">
        <v>44474</v>
      </c>
      <c r="C6356" s="1" t="n">
        <v>45353</v>
      </c>
      <c r="D6356" t="inlineStr">
        <is>
          <t>VÄRMLANDS LÄN</t>
        </is>
      </c>
      <c r="E6356" t="inlineStr">
        <is>
          <t>SUNNE</t>
        </is>
      </c>
      <c r="G6356" t="n">
        <v>15.2</v>
      </c>
      <c r="H6356" t="n">
        <v>0</v>
      </c>
      <c r="I6356" t="n">
        <v>0</v>
      </c>
      <c r="J6356" t="n">
        <v>0</v>
      </c>
      <c r="K6356" t="n">
        <v>0</v>
      </c>
      <c r="L6356" t="n">
        <v>0</v>
      </c>
      <c r="M6356" t="n">
        <v>0</v>
      </c>
      <c r="N6356" t="n">
        <v>0</v>
      </c>
      <c r="O6356" t="n">
        <v>0</v>
      </c>
      <c r="P6356" t="n">
        <v>0</v>
      </c>
      <c r="Q6356" t="n">
        <v>0</v>
      </c>
      <c r="R6356" s="2" t="inlineStr"/>
    </row>
    <row r="6357" ht="15" customHeight="1">
      <c r="A6357" t="inlineStr">
        <is>
          <t>A 55110-2021</t>
        </is>
      </c>
      <c r="B6357" s="1" t="n">
        <v>44474</v>
      </c>
      <c r="C6357" s="1" t="n">
        <v>45353</v>
      </c>
      <c r="D6357" t="inlineStr">
        <is>
          <t>VÄRMLANDS LÄN</t>
        </is>
      </c>
      <c r="E6357" t="inlineStr">
        <is>
          <t>KARLSTAD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54905-2021</t>
        </is>
      </c>
      <c r="B6358" s="1" t="n">
        <v>44474</v>
      </c>
      <c r="C6358" s="1" t="n">
        <v>45353</v>
      </c>
      <c r="D6358" t="inlineStr">
        <is>
          <t>VÄRMLANDS LÄN</t>
        </is>
      </c>
      <c r="E6358" t="inlineStr">
        <is>
          <t>SUNNE</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55256-2021</t>
        </is>
      </c>
      <c r="B6359" s="1" t="n">
        <v>44475</v>
      </c>
      <c r="C6359" s="1" t="n">
        <v>45353</v>
      </c>
      <c r="D6359" t="inlineStr">
        <is>
          <t>VÄRMLANDS LÄN</t>
        </is>
      </c>
      <c r="E6359" t="inlineStr">
        <is>
          <t>KARLSTAD</t>
        </is>
      </c>
      <c r="F6359" t="inlineStr">
        <is>
          <t>Kommuner</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55277-2021</t>
        </is>
      </c>
      <c r="B6360" s="1" t="n">
        <v>44475</v>
      </c>
      <c r="C6360" s="1" t="n">
        <v>45353</v>
      </c>
      <c r="D6360" t="inlineStr">
        <is>
          <t>VÄRMLANDS LÄN</t>
        </is>
      </c>
      <c r="E6360" t="inlineStr">
        <is>
          <t>KARLSTAD</t>
        </is>
      </c>
      <c r="F6360" t="inlineStr">
        <is>
          <t>Kommuner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55423-2021</t>
        </is>
      </c>
      <c r="B6361" s="1" t="n">
        <v>44475</v>
      </c>
      <c r="C6361" s="1" t="n">
        <v>45353</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55430-2021</t>
        </is>
      </c>
      <c r="B6362" s="1" t="n">
        <v>44475</v>
      </c>
      <c r="C6362" s="1" t="n">
        <v>45353</v>
      </c>
      <c r="D6362" t="inlineStr">
        <is>
          <t>VÄRMLANDS LÄN</t>
        </is>
      </c>
      <c r="E6362" t="inlineStr">
        <is>
          <t>SUNNE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55515-2021</t>
        </is>
      </c>
      <c r="B6363" s="1" t="n">
        <v>44475</v>
      </c>
      <c r="C6363" s="1" t="n">
        <v>45353</v>
      </c>
      <c r="D6363" t="inlineStr">
        <is>
          <t>VÄRMLANDS LÄN</t>
        </is>
      </c>
      <c r="E6363" t="inlineStr">
        <is>
          <t>ARVIKA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55548-2021</t>
        </is>
      </c>
      <c r="B6364" s="1" t="n">
        <v>44475</v>
      </c>
      <c r="C6364" s="1" t="n">
        <v>45353</v>
      </c>
      <c r="D6364" t="inlineStr">
        <is>
          <t>VÄRMLANDS LÄN</t>
        </is>
      </c>
      <c r="E6364" t="inlineStr">
        <is>
          <t>FILIPSTAD</t>
        </is>
      </c>
      <c r="F6364" t="inlineStr">
        <is>
          <t>Bergvik skog väst AB</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55518-2021</t>
        </is>
      </c>
      <c r="B6365" s="1" t="n">
        <v>44475</v>
      </c>
      <c r="C6365" s="1" t="n">
        <v>45353</v>
      </c>
      <c r="D6365" t="inlineStr">
        <is>
          <t>VÄRMLANDS LÄN</t>
        </is>
      </c>
      <c r="E6365" t="inlineStr">
        <is>
          <t>ARVIKA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55564-2021</t>
        </is>
      </c>
      <c r="B6366" s="1" t="n">
        <v>44475</v>
      </c>
      <c r="C6366" s="1" t="n">
        <v>45353</v>
      </c>
      <c r="D6366" t="inlineStr">
        <is>
          <t>VÄRMLANDS LÄN</t>
        </is>
      </c>
      <c r="E6366" t="inlineStr">
        <is>
          <t>KARLSTAD</t>
        </is>
      </c>
      <c r="F6366" t="inlineStr">
        <is>
          <t>Övriga statliga verk och myndigheter</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57431-2021</t>
        </is>
      </c>
      <c r="B6367" s="1" t="n">
        <v>44475</v>
      </c>
      <c r="C6367" s="1" t="n">
        <v>45353</v>
      </c>
      <c r="D6367" t="inlineStr">
        <is>
          <t>VÄRMLANDS LÄN</t>
        </is>
      </c>
      <c r="E6367" t="inlineStr">
        <is>
          <t>SÄFFLE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55642-2021</t>
        </is>
      </c>
      <c r="B6368" s="1" t="n">
        <v>44476</v>
      </c>
      <c r="C6368" s="1" t="n">
        <v>45353</v>
      </c>
      <c r="D6368" t="inlineStr">
        <is>
          <t>VÄRMLANDS LÄN</t>
        </is>
      </c>
      <c r="E6368" t="inlineStr">
        <is>
          <t>EDA</t>
        </is>
      </c>
      <c r="F6368" t="inlineStr">
        <is>
          <t>Kommuner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55668-2021</t>
        </is>
      </c>
      <c r="B6369" s="1" t="n">
        <v>44476</v>
      </c>
      <c r="C6369" s="1" t="n">
        <v>45353</v>
      </c>
      <c r="D6369" t="inlineStr">
        <is>
          <t>VÄRMLANDS LÄN</t>
        </is>
      </c>
      <c r="E6369" t="inlineStr">
        <is>
          <t>EDA</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55651-2021</t>
        </is>
      </c>
      <c r="B6370" s="1" t="n">
        <v>44476</v>
      </c>
      <c r="C6370" s="1" t="n">
        <v>45353</v>
      </c>
      <c r="D6370" t="inlineStr">
        <is>
          <t>VÄRMLANDS LÄN</t>
        </is>
      </c>
      <c r="E6370" t="inlineStr">
        <is>
          <t>EDA</t>
        </is>
      </c>
      <c r="F6370" t="inlineStr">
        <is>
          <t>Kommuner</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55664-2021</t>
        </is>
      </c>
      <c r="B6371" s="1" t="n">
        <v>44476</v>
      </c>
      <c r="C6371" s="1" t="n">
        <v>45353</v>
      </c>
      <c r="D6371" t="inlineStr">
        <is>
          <t>VÄRMLANDS LÄN</t>
        </is>
      </c>
      <c r="E6371" t="inlineStr">
        <is>
          <t>MUNKFORS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55784-2021</t>
        </is>
      </c>
      <c r="B6372" s="1" t="n">
        <v>44476</v>
      </c>
      <c r="C6372" s="1" t="n">
        <v>45353</v>
      </c>
      <c r="D6372" t="inlineStr">
        <is>
          <t>VÄRMLANDS LÄN</t>
        </is>
      </c>
      <c r="E6372" t="inlineStr">
        <is>
          <t>ÅRJÄNG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55791-2021</t>
        </is>
      </c>
      <c r="B6373" s="1" t="n">
        <v>44476</v>
      </c>
      <c r="C6373" s="1" t="n">
        <v>45353</v>
      </c>
      <c r="D6373" t="inlineStr">
        <is>
          <t>VÄRMLANDS LÄN</t>
        </is>
      </c>
      <c r="E6373" t="inlineStr">
        <is>
          <t>ARVIKA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55794-2021</t>
        </is>
      </c>
      <c r="B6374" s="1" t="n">
        <v>44476</v>
      </c>
      <c r="C6374" s="1" t="n">
        <v>45353</v>
      </c>
      <c r="D6374" t="inlineStr">
        <is>
          <t>VÄRMLANDS LÄN</t>
        </is>
      </c>
      <c r="E6374" t="inlineStr">
        <is>
          <t>TORSBY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55811-2021</t>
        </is>
      </c>
      <c r="B6375" s="1" t="n">
        <v>44476</v>
      </c>
      <c r="C6375" s="1" t="n">
        <v>45353</v>
      </c>
      <c r="D6375" t="inlineStr">
        <is>
          <t>VÄRMLANDS LÄN</t>
        </is>
      </c>
      <c r="E6375" t="inlineStr">
        <is>
          <t>TORSBY</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55902-2021</t>
        </is>
      </c>
      <c r="B6376" s="1" t="n">
        <v>44476</v>
      </c>
      <c r="C6376" s="1" t="n">
        <v>45353</v>
      </c>
      <c r="D6376" t="inlineStr">
        <is>
          <t>VÄRMLANDS LÄN</t>
        </is>
      </c>
      <c r="E6376" t="inlineStr">
        <is>
          <t>ARVIKA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55989-2021</t>
        </is>
      </c>
      <c r="B6377" s="1" t="n">
        <v>44477</v>
      </c>
      <c r="C6377" s="1" t="n">
        <v>45353</v>
      </c>
      <c r="D6377" t="inlineStr">
        <is>
          <t>VÄRMLANDS LÄN</t>
        </is>
      </c>
      <c r="E6377" t="inlineStr">
        <is>
          <t>EDA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56102-2021</t>
        </is>
      </c>
      <c r="B6378" s="1" t="n">
        <v>44477</v>
      </c>
      <c r="C6378" s="1" t="n">
        <v>45353</v>
      </c>
      <c r="D6378" t="inlineStr">
        <is>
          <t>VÄRMLANDS LÄN</t>
        </is>
      </c>
      <c r="E6378" t="inlineStr">
        <is>
          <t>TORSBY</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56037-2021</t>
        </is>
      </c>
      <c r="B6379" s="1" t="n">
        <v>44477</v>
      </c>
      <c r="C6379" s="1" t="n">
        <v>45353</v>
      </c>
      <c r="D6379" t="inlineStr">
        <is>
          <t>VÄRMLANDS LÄN</t>
        </is>
      </c>
      <c r="E6379" t="inlineStr">
        <is>
          <t>TORSBY</t>
        </is>
      </c>
      <c r="F6379" t="inlineStr">
        <is>
          <t>Bergvik skog väst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56062-2021</t>
        </is>
      </c>
      <c r="B6380" s="1" t="n">
        <v>44477</v>
      </c>
      <c r="C6380" s="1" t="n">
        <v>45353</v>
      </c>
      <c r="D6380" t="inlineStr">
        <is>
          <t>VÄRMLANDS LÄN</t>
        </is>
      </c>
      <c r="E6380" t="inlineStr">
        <is>
          <t>TORSBY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56254-2021</t>
        </is>
      </c>
      <c r="B6381" s="1" t="n">
        <v>44479</v>
      </c>
      <c r="C6381" s="1" t="n">
        <v>45353</v>
      </c>
      <c r="D6381" t="inlineStr">
        <is>
          <t>VÄRMLANDS LÄN</t>
        </is>
      </c>
      <c r="E6381" t="inlineStr">
        <is>
          <t>HAGFORS</t>
        </is>
      </c>
      <c r="F6381" t="inlineStr">
        <is>
          <t>Bergvik skog väst AB</t>
        </is>
      </c>
      <c r="G6381" t="n">
        <v>16.1</v>
      </c>
      <c r="H6381" t="n">
        <v>0</v>
      </c>
      <c r="I6381" t="n">
        <v>0</v>
      </c>
      <c r="J6381" t="n">
        <v>0</v>
      </c>
      <c r="K6381" t="n">
        <v>0</v>
      </c>
      <c r="L6381" t="n">
        <v>0</v>
      </c>
      <c r="M6381" t="n">
        <v>0</v>
      </c>
      <c r="N6381" t="n">
        <v>0</v>
      </c>
      <c r="O6381" t="n">
        <v>0</v>
      </c>
      <c r="P6381" t="n">
        <v>0</v>
      </c>
      <c r="Q6381" t="n">
        <v>0</v>
      </c>
      <c r="R6381" s="2" t="inlineStr"/>
    </row>
    <row r="6382" ht="15" customHeight="1">
      <c r="A6382" t="inlineStr">
        <is>
          <t>A 56272-2021</t>
        </is>
      </c>
      <c r="B6382" s="1" t="n">
        <v>44479</v>
      </c>
      <c r="C6382" s="1" t="n">
        <v>45353</v>
      </c>
      <c r="D6382" t="inlineStr">
        <is>
          <t>VÄRMLANDS LÄN</t>
        </is>
      </c>
      <c r="E6382" t="inlineStr">
        <is>
          <t>EDA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56273-2021</t>
        </is>
      </c>
      <c r="B6383" s="1" t="n">
        <v>44479</v>
      </c>
      <c r="C6383" s="1" t="n">
        <v>45353</v>
      </c>
      <c r="D6383" t="inlineStr">
        <is>
          <t>VÄRMLANDS LÄN</t>
        </is>
      </c>
      <c r="E6383" t="inlineStr">
        <is>
          <t>EDA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56522-2021</t>
        </is>
      </c>
      <c r="B6384" s="1" t="n">
        <v>44480</v>
      </c>
      <c r="C6384" s="1" t="n">
        <v>45353</v>
      </c>
      <c r="D6384" t="inlineStr">
        <is>
          <t>VÄRMLANDS LÄN</t>
        </is>
      </c>
      <c r="E6384" t="inlineStr">
        <is>
          <t>KRISTINEHAMN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56311-2021</t>
        </is>
      </c>
      <c r="B6385" s="1" t="n">
        <v>44480</v>
      </c>
      <c r="C6385" s="1" t="n">
        <v>45353</v>
      </c>
      <c r="D6385" t="inlineStr">
        <is>
          <t>VÄRMLANDS LÄN</t>
        </is>
      </c>
      <c r="E6385" t="inlineStr">
        <is>
          <t>ÅRJÄNG</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56532-2021</t>
        </is>
      </c>
      <c r="B6386" s="1" t="n">
        <v>44480</v>
      </c>
      <c r="C6386" s="1" t="n">
        <v>45353</v>
      </c>
      <c r="D6386" t="inlineStr">
        <is>
          <t>VÄRMLANDS LÄN</t>
        </is>
      </c>
      <c r="E6386" t="inlineStr">
        <is>
          <t>FORSHAGA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56559-2021</t>
        </is>
      </c>
      <c r="B6387" s="1" t="n">
        <v>44480</v>
      </c>
      <c r="C6387" s="1" t="n">
        <v>45353</v>
      </c>
      <c r="D6387" t="inlineStr">
        <is>
          <t>VÄRMLANDS LÄN</t>
        </is>
      </c>
      <c r="E6387" t="inlineStr">
        <is>
          <t>ÅRJÄNG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56583-2021</t>
        </is>
      </c>
      <c r="B6388" s="1" t="n">
        <v>44480</v>
      </c>
      <c r="C6388" s="1" t="n">
        <v>45353</v>
      </c>
      <c r="D6388" t="inlineStr">
        <is>
          <t>VÄRMLANDS LÄN</t>
        </is>
      </c>
      <c r="E6388" t="inlineStr">
        <is>
          <t>ÅRJÄNG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56697-2021</t>
        </is>
      </c>
      <c r="B6389" s="1" t="n">
        <v>44480</v>
      </c>
      <c r="C6389" s="1" t="n">
        <v>45353</v>
      </c>
      <c r="D6389" t="inlineStr">
        <is>
          <t>VÄRMLANDS LÄN</t>
        </is>
      </c>
      <c r="E6389" t="inlineStr">
        <is>
          <t>SÄFFLE</t>
        </is>
      </c>
      <c r="G6389" t="n">
        <v>10.2</v>
      </c>
      <c r="H6389" t="n">
        <v>0</v>
      </c>
      <c r="I6389" t="n">
        <v>0</v>
      </c>
      <c r="J6389" t="n">
        <v>0</v>
      </c>
      <c r="K6389" t="n">
        <v>0</v>
      </c>
      <c r="L6389" t="n">
        <v>0</v>
      </c>
      <c r="M6389" t="n">
        <v>0</v>
      </c>
      <c r="N6389" t="n">
        <v>0</v>
      </c>
      <c r="O6389" t="n">
        <v>0</v>
      </c>
      <c r="P6389" t="n">
        <v>0</v>
      </c>
      <c r="Q6389" t="n">
        <v>0</v>
      </c>
      <c r="R6389" s="2" t="inlineStr"/>
    </row>
    <row r="6390" ht="15" customHeight="1">
      <c r="A6390" t="inlineStr">
        <is>
          <t>A 56765-2021</t>
        </is>
      </c>
      <c r="B6390" s="1" t="n">
        <v>44481</v>
      </c>
      <c r="C6390" s="1" t="n">
        <v>45353</v>
      </c>
      <c r="D6390" t="inlineStr">
        <is>
          <t>VÄRMLANDS LÄN</t>
        </is>
      </c>
      <c r="E6390" t="inlineStr">
        <is>
          <t>KIL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56682-2021</t>
        </is>
      </c>
      <c r="B6391" s="1" t="n">
        <v>44481</v>
      </c>
      <c r="C6391" s="1" t="n">
        <v>45353</v>
      </c>
      <c r="D6391" t="inlineStr">
        <is>
          <t>VÄRMLANDS LÄN</t>
        </is>
      </c>
      <c r="E6391" t="inlineStr">
        <is>
          <t>ÅRJÄNG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56835-2021</t>
        </is>
      </c>
      <c r="B6392" s="1" t="n">
        <v>44481</v>
      </c>
      <c r="C6392" s="1" t="n">
        <v>45353</v>
      </c>
      <c r="D6392" t="inlineStr">
        <is>
          <t>VÄRMLANDS LÄN</t>
        </is>
      </c>
      <c r="E6392" t="inlineStr">
        <is>
          <t>HAMMARÖ</t>
        </is>
      </c>
      <c r="F6392" t="inlineStr">
        <is>
          <t>Kommuner</t>
        </is>
      </c>
      <c r="G6392" t="n">
        <v>18.8</v>
      </c>
      <c r="H6392" t="n">
        <v>0</v>
      </c>
      <c r="I6392" t="n">
        <v>0</v>
      </c>
      <c r="J6392" t="n">
        <v>0</v>
      </c>
      <c r="K6392" t="n">
        <v>0</v>
      </c>
      <c r="L6392" t="n">
        <v>0</v>
      </c>
      <c r="M6392" t="n">
        <v>0</v>
      </c>
      <c r="N6392" t="n">
        <v>0</v>
      </c>
      <c r="O6392" t="n">
        <v>0</v>
      </c>
      <c r="P6392" t="n">
        <v>0</v>
      </c>
      <c r="Q6392" t="n">
        <v>0</v>
      </c>
      <c r="R6392" s="2" t="inlineStr"/>
    </row>
    <row r="6393" ht="15" customHeight="1">
      <c r="A6393" t="inlineStr">
        <is>
          <t>A 56762-2021</t>
        </is>
      </c>
      <c r="B6393" s="1" t="n">
        <v>44481</v>
      </c>
      <c r="C6393" s="1" t="n">
        <v>45353</v>
      </c>
      <c r="D6393" t="inlineStr">
        <is>
          <t>VÄRMLANDS LÄN</t>
        </is>
      </c>
      <c r="E6393" t="inlineStr">
        <is>
          <t>KIL</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56886-2021</t>
        </is>
      </c>
      <c r="B6394" s="1" t="n">
        <v>44481</v>
      </c>
      <c r="C6394" s="1" t="n">
        <v>45353</v>
      </c>
      <c r="D6394" t="inlineStr">
        <is>
          <t>VÄRMLANDS LÄN</t>
        </is>
      </c>
      <c r="E6394" t="inlineStr">
        <is>
          <t>SUNNE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56928-2021</t>
        </is>
      </c>
      <c r="B6395" s="1" t="n">
        <v>44482</v>
      </c>
      <c r="C6395" s="1" t="n">
        <v>45353</v>
      </c>
      <c r="D6395" t="inlineStr">
        <is>
          <t>VÄRMLANDS LÄN</t>
        </is>
      </c>
      <c r="E6395" t="inlineStr">
        <is>
          <t>KARLSTAD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57065-2021</t>
        </is>
      </c>
      <c r="B6396" s="1" t="n">
        <v>44482</v>
      </c>
      <c r="C6396" s="1" t="n">
        <v>45353</v>
      </c>
      <c r="D6396" t="inlineStr">
        <is>
          <t>VÄRMLANDS LÄN</t>
        </is>
      </c>
      <c r="E6396" t="inlineStr">
        <is>
          <t>KIL</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57090-2021</t>
        </is>
      </c>
      <c r="B6397" s="1" t="n">
        <v>44482</v>
      </c>
      <c r="C6397" s="1" t="n">
        <v>45353</v>
      </c>
      <c r="D6397" t="inlineStr">
        <is>
          <t>VÄRMLANDS LÄN</t>
        </is>
      </c>
      <c r="E6397" t="inlineStr">
        <is>
          <t>FILIPSTAD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56981-2021</t>
        </is>
      </c>
      <c r="B6398" s="1" t="n">
        <v>44482</v>
      </c>
      <c r="C6398" s="1" t="n">
        <v>45353</v>
      </c>
      <c r="D6398" t="inlineStr">
        <is>
          <t>VÄRMLANDS LÄN</t>
        </is>
      </c>
      <c r="E6398" t="inlineStr">
        <is>
          <t>TORSBY</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56993-2021</t>
        </is>
      </c>
      <c r="B6399" s="1" t="n">
        <v>44482</v>
      </c>
      <c r="C6399" s="1" t="n">
        <v>45353</v>
      </c>
      <c r="D6399" t="inlineStr">
        <is>
          <t>VÄRMLANDS LÄN</t>
        </is>
      </c>
      <c r="E6399" t="inlineStr">
        <is>
          <t>ÅRJÄNG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57069-2021</t>
        </is>
      </c>
      <c r="B6400" s="1" t="n">
        <v>44482</v>
      </c>
      <c r="C6400" s="1" t="n">
        <v>45353</v>
      </c>
      <c r="D6400" t="inlineStr">
        <is>
          <t>VÄRMLANDS LÄN</t>
        </is>
      </c>
      <c r="E6400" t="inlineStr">
        <is>
          <t>KIL</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57087-2021</t>
        </is>
      </c>
      <c r="B6401" s="1" t="n">
        <v>44482</v>
      </c>
      <c r="C6401" s="1" t="n">
        <v>45353</v>
      </c>
      <c r="D6401" t="inlineStr">
        <is>
          <t>VÄRMLANDS LÄN</t>
        </is>
      </c>
      <c r="E6401" t="inlineStr">
        <is>
          <t>FILIPSTAD</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57253-2021</t>
        </is>
      </c>
      <c r="B6402" s="1" t="n">
        <v>44482</v>
      </c>
      <c r="C6402" s="1" t="n">
        <v>45353</v>
      </c>
      <c r="D6402" t="inlineStr">
        <is>
          <t>VÄRMLANDS LÄN</t>
        </is>
      </c>
      <c r="E6402" t="inlineStr">
        <is>
          <t>EDA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57287-2021</t>
        </is>
      </c>
      <c r="B6403" s="1" t="n">
        <v>44482</v>
      </c>
      <c r="C6403" s="1" t="n">
        <v>45353</v>
      </c>
      <c r="D6403" t="inlineStr">
        <is>
          <t>VÄRMLANDS LÄN</t>
        </is>
      </c>
      <c r="E6403" t="inlineStr">
        <is>
          <t>TORSBY</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57237-2021</t>
        </is>
      </c>
      <c r="B6404" s="1" t="n">
        <v>44482</v>
      </c>
      <c r="C6404" s="1" t="n">
        <v>45353</v>
      </c>
      <c r="D6404" t="inlineStr">
        <is>
          <t>VÄRMLANDS LÄN</t>
        </is>
      </c>
      <c r="E6404" t="inlineStr">
        <is>
          <t>KARLSTAD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57316-2021</t>
        </is>
      </c>
      <c r="B6405" s="1" t="n">
        <v>44483</v>
      </c>
      <c r="C6405" s="1" t="n">
        <v>45353</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57356-2021</t>
        </is>
      </c>
      <c r="B6406" s="1" t="n">
        <v>44483</v>
      </c>
      <c r="C6406" s="1" t="n">
        <v>45353</v>
      </c>
      <c r="D6406" t="inlineStr">
        <is>
          <t>VÄRMLANDS LÄN</t>
        </is>
      </c>
      <c r="E6406" t="inlineStr">
        <is>
          <t>EDA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57391-2021</t>
        </is>
      </c>
      <c r="B6407" s="1" t="n">
        <v>44483</v>
      </c>
      <c r="C6407" s="1" t="n">
        <v>45353</v>
      </c>
      <c r="D6407" t="inlineStr">
        <is>
          <t>VÄRMLANDS LÄN</t>
        </is>
      </c>
      <c r="E6407" t="inlineStr">
        <is>
          <t>KARLSTAD</t>
        </is>
      </c>
      <c r="F6407" t="inlineStr">
        <is>
          <t>Kommuner</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57314-2021</t>
        </is>
      </c>
      <c r="B6408" s="1" t="n">
        <v>44483</v>
      </c>
      <c r="C6408" s="1" t="n">
        <v>45353</v>
      </c>
      <c r="D6408" t="inlineStr">
        <is>
          <t>VÄRMLANDS LÄN</t>
        </is>
      </c>
      <c r="E6408" t="inlineStr">
        <is>
          <t>KIL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57382-2021</t>
        </is>
      </c>
      <c r="B6409" s="1" t="n">
        <v>44483</v>
      </c>
      <c r="C6409" s="1" t="n">
        <v>45353</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57469-2021</t>
        </is>
      </c>
      <c r="B6410" s="1" t="n">
        <v>44483</v>
      </c>
      <c r="C6410" s="1" t="n">
        <v>45353</v>
      </c>
      <c r="D6410" t="inlineStr">
        <is>
          <t>VÄRMLANDS LÄN</t>
        </is>
      </c>
      <c r="E6410" t="inlineStr">
        <is>
          <t>KARLSTAD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57476-2021</t>
        </is>
      </c>
      <c r="B6411" s="1" t="n">
        <v>44483</v>
      </c>
      <c r="C6411" s="1" t="n">
        <v>45353</v>
      </c>
      <c r="D6411" t="inlineStr">
        <is>
          <t>VÄRMLANDS LÄN</t>
        </is>
      </c>
      <c r="E6411" t="inlineStr">
        <is>
          <t>KARLSTAD</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57453-2021</t>
        </is>
      </c>
      <c r="B6412" s="1" t="n">
        <v>44483</v>
      </c>
      <c r="C6412" s="1" t="n">
        <v>45353</v>
      </c>
      <c r="D6412" t="inlineStr">
        <is>
          <t>VÄRMLANDS LÄN</t>
        </is>
      </c>
      <c r="E6412" t="inlineStr">
        <is>
          <t>KARLSTAD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57506-2021</t>
        </is>
      </c>
      <c r="B6413" s="1" t="n">
        <v>44483</v>
      </c>
      <c r="C6413" s="1" t="n">
        <v>45353</v>
      </c>
      <c r="D6413" t="inlineStr">
        <is>
          <t>VÄRMLANDS LÄN</t>
        </is>
      </c>
      <c r="E6413" t="inlineStr">
        <is>
          <t>FORSHAGA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57833-2021</t>
        </is>
      </c>
      <c r="B6414" s="1" t="n">
        <v>44484</v>
      </c>
      <c r="C6414" s="1" t="n">
        <v>45353</v>
      </c>
      <c r="D6414" t="inlineStr">
        <is>
          <t>VÄRMLANDS LÄN</t>
        </is>
      </c>
      <c r="E6414" t="inlineStr">
        <is>
          <t>ÅRJÄNG</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57743-2021</t>
        </is>
      </c>
      <c r="B6415" s="1" t="n">
        <v>44484</v>
      </c>
      <c r="C6415" s="1" t="n">
        <v>45353</v>
      </c>
      <c r="D6415" t="inlineStr">
        <is>
          <t>VÄRMLANDS LÄN</t>
        </is>
      </c>
      <c r="E6415" t="inlineStr">
        <is>
          <t>KIL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57734-2021</t>
        </is>
      </c>
      <c r="B6416" s="1" t="n">
        <v>44484</v>
      </c>
      <c r="C6416" s="1" t="n">
        <v>45353</v>
      </c>
      <c r="D6416" t="inlineStr">
        <is>
          <t>VÄRMLANDS LÄN</t>
        </is>
      </c>
      <c r="E6416" t="inlineStr">
        <is>
          <t>STORFORS</t>
        </is>
      </c>
      <c r="F6416" t="inlineStr">
        <is>
          <t>Naturvårdsverket</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57780-2021</t>
        </is>
      </c>
      <c r="B6417" s="1" t="n">
        <v>44484</v>
      </c>
      <c r="C6417" s="1" t="n">
        <v>45353</v>
      </c>
      <c r="D6417" t="inlineStr">
        <is>
          <t>VÄRMLANDS LÄN</t>
        </is>
      </c>
      <c r="E6417" t="inlineStr">
        <is>
          <t>KARLSTAD</t>
        </is>
      </c>
      <c r="F6417" t="inlineStr">
        <is>
          <t>Kommuner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58070-2021</t>
        </is>
      </c>
      <c r="B6418" s="1" t="n">
        <v>44487</v>
      </c>
      <c r="C6418" s="1" t="n">
        <v>45353</v>
      </c>
      <c r="D6418" t="inlineStr">
        <is>
          <t>VÄRMLANDS LÄN</t>
        </is>
      </c>
      <c r="E6418" t="inlineStr">
        <is>
          <t>SÄFFLE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58091-2021</t>
        </is>
      </c>
      <c r="B6419" s="1" t="n">
        <v>44487</v>
      </c>
      <c r="C6419" s="1" t="n">
        <v>45353</v>
      </c>
      <c r="D6419" t="inlineStr">
        <is>
          <t>VÄRMLANDS LÄN</t>
        </is>
      </c>
      <c r="E6419" t="inlineStr">
        <is>
          <t>SÄFFLE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57967-2021</t>
        </is>
      </c>
      <c r="B6420" s="1" t="n">
        <v>44487</v>
      </c>
      <c r="C6420" s="1" t="n">
        <v>45353</v>
      </c>
      <c r="D6420" t="inlineStr">
        <is>
          <t>VÄRMLANDS LÄN</t>
        </is>
      </c>
      <c r="E6420" t="inlineStr">
        <is>
          <t>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58105-2021</t>
        </is>
      </c>
      <c r="B6421" s="1" t="n">
        <v>44487</v>
      </c>
      <c r="C6421" s="1" t="n">
        <v>45353</v>
      </c>
      <c r="D6421" t="inlineStr">
        <is>
          <t>VÄRMLANDS LÄN</t>
        </is>
      </c>
      <c r="E6421" t="inlineStr">
        <is>
          <t>SÄFFLE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58152-2021</t>
        </is>
      </c>
      <c r="B6422" s="1" t="n">
        <v>44487</v>
      </c>
      <c r="C6422" s="1" t="n">
        <v>45353</v>
      </c>
      <c r="D6422" t="inlineStr">
        <is>
          <t>VÄRMLANDS LÄN</t>
        </is>
      </c>
      <c r="E6422" t="inlineStr">
        <is>
          <t>ARVIKA</t>
        </is>
      </c>
      <c r="F6422" t="inlineStr">
        <is>
          <t>Bergvik skog väst AB</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58062-2021</t>
        </is>
      </c>
      <c r="B6423" s="1" t="n">
        <v>44487</v>
      </c>
      <c r="C6423" s="1" t="n">
        <v>45353</v>
      </c>
      <c r="D6423" t="inlineStr">
        <is>
          <t>VÄRMLANDS LÄN</t>
        </is>
      </c>
      <c r="E6423" t="inlineStr">
        <is>
          <t>TORSBY</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58460-2021</t>
        </is>
      </c>
      <c r="B6424" s="1" t="n">
        <v>44488</v>
      </c>
      <c r="C6424" s="1" t="n">
        <v>45353</v>
      </c>
      <c r="D6424" t="inlineStr">
        <is>
          <t>VÄRMLANDS LÄN</t>
        </is>
      </c>
      <c r="E6424" t="inlineStr">
        <is>
          <t>SÄFFLE</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58292-2021</t>
        </is>
      </c>
      <c r="B6425" s="1" t="n">
        <v>44488</v>
      </c>
      <c r="C6425" s="1" t="n">
        <v>45353</v>
      </c>
      <c r="D6425" t="inlineStr">
        <is>
          <t>VÄRMLANDS LÄN</t>
        </is>
      </c>
      <c r="E6425" t="inlineStr">
        <is>
          <t>FORSHAGA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58367-2021</t>
        </is>
      </c>
      <c r="B6426" s="1" t="n">
        <v>44488</v>
      </c>
      <c r="C6426" s="1" t="n">
        <v>45353</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58288-2021</t>
        </is>
      </c>
      <c r="B6427" s="1" t="n">
        <v>44488</v>
      </c>
      <c r="C6427" s="1" t="n">
        <v>45353</v>
      </c>
      <c r="D6427" t="inlineStr">
        <is>
          <t>VÄRMLANDS LÄN</t>
        </is>
      </c>
      <c r="E6427" t="inlineStr">
        <is>
          <t>ARVIKA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58383-2021</t>
        </is>
      </c>
      <c r="B6428" s="1" t="n">
        <v>44488</v>
      </c>
      <c r="C6428" s="1" t="n">
        <v>45353</v>
      </c>
      <c r="D6428" t="inlineStr">
        <is>
          <t>VÄRMLANDS LÄN</t>
        </is>
      </c>
      <c r="E6428" t="inlineStr">
        <is>
          <t>SÄFFLE</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58479-2021</t>
        </is>
      </c>
      <c r="B6429" s="1" t="n">
        <v>44488</v>
      </c>
      <c r="C6429" s="1" t="n">
        <v>45353</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58493-2021</t>
        </is>
      </c>
      <c r="B6430" s="1" t="n">
        <v>44488</v>
      </c>
      <c r="C6430" s="1" t="n">
        <v>45353</v>
      </c>
      <c r="D6430" t="inlineStr">
        <is>
          <t>VÄRMLANDS LÄN</t>
        </is>
      </c>
      <c r="E6430" t="inlineStr">
        <is>
          <t>HAGFORS</t>
        </is>
      </c>
      <c r="F6430" t="inlineStr">
        <is>
          <t>Bergvik skog väst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58501-2021</t>
        </is>
      </c>
      <c r="B6431" s="1" t="n">
        <v>44488</v>
      </c>
      <c r="C6431" s="1" t="n">
        <v>45353</v>
      </c>
      <c r="D6431" t="inlineStr">
        <is>
          <t>VÄRMLANDS LÄN</t>
        </is>
      </c>
      <c r="E6431" t="inlineStr">
        <is>
          <t>KARLSTAD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58507-2021</t>
        </is>
      </c>
      <c r="B6432" s="1" t="n">
        <v>44488</v>
      </c>
      <c r="C6432" s="1" t="n">
        <v>45353</v>
      </c>
      <c r="D6432" t="inlineStr">
        <is>
          <t>VÄRMLANDS LÄN</t>
        </is>
      </c>
      <c r="E6432" t="inlineStr">
        <is>
          <t>KARLSTAD</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58476-2021</t>
        </is>
      </c>
      <c r="B6433" s="1" t="n">
        <v>44488</v>
      </c>
      <c r="C6433" s="1" t="n">
        <v>45353</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58543-2021</t>
        </is>
      </c>
      <c r="B6434" s="1" t="n">
        <v>44488</v>
      </c>
      <c r="C6434" s="1" t="n">
        <v>45353</v>
      </c>
      <c r="D6434" t="inlineStr">
        <is>
          <t>VÄRMLANDS LÄN</t>
        </is>
      </c>
      <c r="E6434" t="inlineStr">
        <is>
          <t>TORSBY</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58627-2021</t>
        </is>
      </c>
      <c r="B6435" s="1" t="n">
        <v>44489</v>
      </c>
      <c r="C6435" s="1" t="n">
        <v>45353</v>
      </c>
      <c r="D6435" t="inlineStr">
        <is>
          <t>VÄRMLANDS LÄN</t>
        </is>
      </c>
      <c r="E6435" t="inlineStr">
        <is>
          <t>SUNNE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58630-2021</t>
        </is>
      </c>
      <c r="B6436" s="1" t="n">
        <v>44489</v>
      </c>
      <c r="C6436" s="1" t="n">
        <v>45353</v>
      </c>
      <c r="D6436" t="inlineStr">
        <is>
          <t>VÄRMLANDS LÄN</t>
        </is>
      </c>
      <c r="E6436" t="inlineStr">
        <is>
          <t>SUNNE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58714-2021</t>
        </is>
      </c>
      <c r="B6437" s="1" t="n">
        <v>44489</v>
      </c>
      <c r="C6437" s="1" t="n">
        <v>45353</v>
      </c>
      <c r="D6437" t="inlineStr">
        <is>
          <t>VÄRMLANDS LÄN</t>
        </is>
      </c>
      <c r="E6437" t="inlineStr">
        <is>
          <t>FORSHAGA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58679-2021</t>
        </is>
      </c>
      <c r="B6438" s="1" t="n">
        <v>44489</v>
      </c>
      <c r="C6438" s="1" t="n">
        <v>45353</v>
      </c>
      <c r="D6438" t="inlineStr">
        <is>
          <t>VÄRMLANDS LÄN</t>
        </is>
      </c>
      <c r="E6438" t="inlineStr">
        <is>
          <t>KIL</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58616-2021</t>
        </is>
      </c>
      <c r="B6439" s="1" t="n">
        <v>44489</v>
      </c>
      <c r="C6439" s="1" t="n">
        <v>45353</v>
      </c>
      <c r="D6439" t="inlineStr">
        <is>
          <t>VÄRMLANDS LÄN</t>
        </is>
      </c>
      <c r="E6439" t="inlineStr">
        <is>
          <t>KRISTINEHAMN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58718-2021</t>
        </is>
      </c>
      <c r="B6440" s="1" t="n">
        <v>44489</v>
      </c>
      <c r="C6440" s="1" t="n">
        <v>45353</v>
      </c>
      <c r="D6440" t="inlineStr">
        <is>
          <t>VÄRMLANDS LÄN</t>
        </is>
      </c>
      <c r="E6440" t="inlineStr">
        <is>
          <t>FILIPSTAD</t>
        </is>
      </c>
      <c r="F6440" t="inlineStr">
        <is>
          <t>Bergvik skog väst AB</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58878-2021</t>
        </is>
      </c>
      <c r="B6441" s="1" t="n">
        <v>44489</v>
      </c>
      <c r="C6441" s="1" t="n">
        <v>45353</v>
      </c>
      <c r="D6441" t="inlineStr">
        <is>
          <t>VÄRMLANDS LÄN</t>
        </is>
      </c>
      <c r="E6441" t="inlineStr">
        <is>
          <t>SÄFFLE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58728-2021</t>
        </is>
      </c>
      <c r="B6442" s="1" t="n">
        <v>44489</v>
      </c>
      <c r="C6442" s="1" t="n">
        <v>45353</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58757-2021</t>
        </is>
      </c>
      <c r="B6443" s="1" t="n">
        <v>44489</v>
      </c>
      <c r="C6443" s="1" t="n">
        <v>45353</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59084-2021</t>
        </is>
      </c>
      <c r="B6444" s="1" t="n">
        <v>44490</v>
      </c>
      <c r="C6444" s="1" t="n">
        <v>45353</v>
      </c>
      <c r="D6444" t="inlineStr">
        <is>
          <t>VÄRMLANDS LÄN</t>
        </is>
      </c>
      <c r="E6444" t="inlineStr">
        <is>
          <t>STORFORS</t>
        </is>
      </c>
      <c r="F6444" t="inlineStr">
        <is>
          <t>Naturvårdsverket</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59009-2021</t>
        </is>
      </c>
      <c r="B6445" s="1" t="n">
        <v>44490</v>
      </c>
      <c r="C6445" s="1" t="n">
        <v>45353</v>
      </c>
      <c r="D6445" t="inlineStr">
        <is>
          <t>VÄRMLANDS LÄN</t>
        </is>
      </c>
      <c r="E6445" t="inlineStr">
        <is>
          <t>ÅRJÄNG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59143-2021</t>
        </is>
      </c>
      <c r="B6446" s="1" t="n">
        <v>44490</v>
      </c>
      <c r="C6446" s="1" t="n">
        <v>45353</v>
      </c>
      <c r="D6446" t="inlineStr">
        <is>
          <t>VÄRMLANDS LÄN</t>
        </is>
      </c>
      <c r="E6446" t="inlineStr">
        <is>
          <t>ÅRJÄNG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59144-2021</t>
        </is>
      </c>
      <c r="B6447" s="1" t="n">
        <v>44490</v>
      </c>
      <c r="C6447" s="1" t="n">
        <v>45353</v>
      </c>
      <c r="D6447" t="inlineStr">
        <is>
          <t>VÄRMLANDS LÄN</t>
        </is>
      </c>
      <c r="E6447" t="inlineStr">
        <is>
          <t>KRISTINEHAMN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59195-2021</t>
        </is>
      </c>
      <c r="B6448" s="1" t="n">
        <v>44490</v>
      </c>
      <c r="C6448" s="1" t="n">
        <v>45353</v>
      </c>
      <c r="D6448" t="inlineStr">
        <is>
          <t>VÄRMLANDS LÄN</t>
        </is>
      </c>
      <c r="E6448" t="inlineStr">
        <is>
          <t>ARVIKA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59224-2021</t>
        </is>
      </c>
      <c r="B6449" s="1" t="n">
        <v>44490</v>
      </c>
      <c r="C6449" s="1" t="n">
        <v>45353</v>
      </c>
      <c r="D6449" t="inlineStr">
        <is>
          <t>VÄRMLANDS LÄN</t>
        </is>
      </c>
      <c r="E6449" t="inlineStr">
        <is>
          <t>SÄFFLE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59255-2021</t>
        </is>
      </c>
      <c r="B6450" s="1" t="n">
        <v>44490</v>
      </c>
      <c r="C6450" s="1" t="n">
        <v>45353</v>
      </c>
      <c r="D6450" t="inlineStr">
        <is>
          <t>VÄRMLANDS LÄN</t>
        </is>
      </c>
      <c r="E6450" t="inlineStr">
        <is>
          <t>SÄFFLE</t>
        </is>
      </c>
      <c r="G6450" t="n">
        <v>14.6</v>
      </c>
      <c r="H6450" t="n">
        <v>0</v>
      </c>
      <c r="I6450" t="n">
        <v>0</v>
      </c>
      <c r="J6450" t="n">
        <v>0</v>
      </c>
      <c r="K6450" t="n">
        <v>0</v>
      </c>
      <c r="L6450" t="n">
        <v>0</v>
      </c>
      <c r="M6450" t="n">
        <v>0</v>
      </c>
      <c r="N6450" t="n">
        <v>0</v>
      </c>
      <c r="O6450" t="n">
        <v>0</v>
      </c>
      <c r="P6450" t="n">
        <v>0</v>
      </c>
      <c r="Q6450" t="n">
        <v>0</v>
      </c>
      <c r="R6450" s="2" t="inlineStr"/>
    </row>
    <row r="6451" ht="15" customHeight="1">
      <c r="A6451" t="inlineStr">
        <is>
          <t>A 59370-2021</t>
        </is>
      </c>
      <c r="B6451" s="1" t="n">
        <v>44491</v>
      </c>
      <c r="C6451" s="1" t="n">
        <v>45353</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59341-2021</t>
        </is>
      </c>
      <c r="B6452" s="1" t="n">
        <v>44491</v>
      </c>
      <c r="C6452" s="1" t="n">
        <v>45353</v>
      </c>
      <c r="D6452" t="inlineStr">
        <is>
          <t>VÄRMLANDS LÄN</t>
        </is>
      </c>
      <c r="E6452" t="inlineStr">
        <is>
          <t>ÅRJÄNG</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59375-2021</t>
        </is>
      </c>
      <c r="B6453" s="1" t="n">
        <v>44491</v>
      </c>
      <c r="C6453" s="1" t="n">
        <v>45353</v>
      </c>
      <c r="D6453" t="inlineStr">
        <is>
          <t>VÄRMLANDS LÄN</t>
        </is>
      </c>
      <c r="E6453" t="inlineStr">
        <is>
          <t>EDA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59425-2021</t>
        </is>
      </c>
      <c r="B6454" s="1" t="n">
        <v>44491</v>
      </c>
      <c r="C6454" s="1" t="n">
        <v>45353</v>
      </c>
      <c r="D6454" t="inlineStr">
        <is>
          <t>VÄRMLANDS LÄN</t>
        </is>
      </c>
      <c r="E6454" t="inlineStr">
        <is>
          <t>TORSBY</t>
        </is>
      </c>
      <c r="F6454" t="inlineStr">
        <is>
          <t>Bergvik skog väst AB</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59453-2021</t>
        </is>
      </c>
      <c r="B6455" s="1" t="n">
        <v>44491</v>
      </c>
      <c r="C6455" s="1" t="n">
        <v>45353</v>
      </c>
      <c r="D6455" t="inlineStr">
        <is>
          <t>VÄRMLANDS LÄN</t>
        </is>
      </c>
      <c r="E6455" t="inlineStr">
        <is>
          <t>ÅRJÄNG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59508-2021</t>
        </is>
      </c>
      <c r="B6456" s="1" t="n">
        <v>44491</v>
      </c>
      <c r="C6456" s="1" t="n">
        <v>45353</v>
      </c>
      <c r="D6456" t="inlineStr">
        <is>
          <t>VÄRMLANDS LÄN</t>
        </is>
      </c>
      <c r="E6456" t="inlineStr">
        <is>
          <t>HAGFORS</t>
        </is>
      </c>
      <c r="F6456" t="inlineStr">
        <is>
          <t>Bergvik skog väst AB</t>
        </is>
      </c>
      <c r="G6456" t="n">
        <v>19.7</v>
      </c>
      <c r="H6456" t="n">
        <v>0</v>
      </c>
      <c r="I6456" t="n">
        <v>0</v>
      </c>
      <c r="J6456" t="n">
        <v>0</v>
      </c>
      <c r="K6456" t="n">
        <v>0</v>
      </c>
      <c r="L6456" t="n">
        <v>0</v>
      </c>
      <c r="M6456" t="n">
        <v>0</v>
      </c>
      <c r="N6456" t="n">
        <v>0</v>
      </c>
      <c r="O6456" t="n">
        <v>0</v>
      </c>
      <c r="P6456" t="n">
        <v>0</v>
      </c>
      <c r="Q6456" t="n">
        <v>0</v>
      </c>
      <c r="R6456" s="2" t="inlineStr"/>
    </row>
    <row r="6457" ht="15" customHeight="1">
      <c r="A6457" t="inlineStr">
        <is>
          <t>A 59466-2021</t>
        </is>
      </c>
      <c r="B6457" s="1" t="n">
        <v>44491</v>
      </c>
      <c r="C6457" s="1" t="n">
        <v>45353</v>
      </c>
      <c r="D6457" t="inlineStr">
        <is>
          <t>VÄRMLANDS LÄN</t>
        </is>
      </c>
      <c r="E6457" t="inlineStr">
        <is>
          <t>ÅRJÄNG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59531-2021</t>
        </is>
      </c>
      <c r="B6458" s="1" t="n">
        <v>44491</v>
      </c>
      <c r="C6458" s="1" t="n">
        <v>45353</v>
      </c>
      <c r="D6458" t="inlineStr">
        <is>
          <t>VÄRMLANDS LÄN</t>
        </is>
      </c>
      <c r="E6458" t="inlineStr">
        <is>
          <t>HAGFORS</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59535-2021</t>
        </is>
      </c>
      <c r="B6459" s="1" t="n">
        <v>44491</v>
      </c>
      <c r="C6459" s="1" t="n">
        <v>45353</v>
      </c>
      <c r="D6459" t="inlineStr">
        <is>
          <t>VÄRMLANDS LÄN</t>
        </is>
      </c>
      <c r="E6459" t="inlineStr">
        <is>
          <t>HAGFORS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59510-2021</t>
        </is>
      </c>
      <c r="B6460" s="1" t="n">
        <v>44491</v>
      </c>
      <c r="C6460" s="1" t="n">
        <v>45353</v>
      </c>
      <c r="D6460" t="inlineStr">
        <is>
          <t>VÄRMLANDS LÄN</t>
        </is>
      </c>
      <c r="E6460" t="inlineStr">
        <is>
          <t>SÄFFLE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59627-2021</t>
        </is>
      </c>
      <c r="B6461" s="1" t="n">
        <v>44491</v>
      </c>
      <c r="C6461" s="1" t="n">
        <v>45353</v>
      </c>
      <c r="D6461" t="inlineStr">
        <is>
          <t>VÄRMLANDS LÄN</t>
        </is>
      </c>
      <c r="E6461" t="inlineStr">
        <is>
          <t>KARLSTAD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59626-2021</t>
        </is>
      </c>
      <c r="B6462" s="1" t="n">
        <v>44491</v>
      </c>
      <c r="C6462" s="1" t="n">
        <v>45353</v>
      </c>
      <c r="D6462" t="inlineStr">
        <is>
          <t>VÄRMLANDS LÄN</t>
        </is>
      </c>
      <c r="E6462" t="inlineStr">
        <is>
          <t>KARLSTAD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59639-2021</t>
        </is>
      </c>
      <c r="B6463" s="1" t="n">
        <v>44493</v>
      </c>
      <c r="C6463" s="1" t="n">
        <v>45353</v>
      </c>
      <c r="D6463" t="inlineStr">
        <is>
          <t>VÄRMLANDS LÄN</t>
        </is>
      </c>
      <c r="E6463" t="inlineStr">
        <is>
          <t>KARLSTAD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59886-2021</t>
        </is>
      </c>
      <c r="B6464" s="1" t="n">
        <v>44493</v>
      </c>
      <c r="C6464" s="1" t="n">
        <v>45353</v>
      </c>
      <c r="D6464" t="inlineStr">
        <is>
          <t>VÄRMLANDS LÄN</t>
        </is>
      </c>
      <c r="E6464" t="inlineStr">
        <is>
          <t>ARVIKA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59641-2021</t>
        </is>
      </c>
      <c r="B6465" s="1" t="n">
        <v>44493</v>
      </c>
      <c r="C6465" s="1" t="n">
        <v>45353</v>
      </c>
      <c r="D6465" t="inlineStr">
        <is>
          <t>VÄRMLANDS LÄN</t>
        </is>
      </c>
      <c r="E6465" t="inlineStr">
        <is>
          <t>KARLSTAD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59760-2021</t>
        </is>
      </c>
      <c r="B6466" s="1" t="n">
        <v>44494</v>
      </c>
      <c r="C6466" s="1" t="n">
        <v>45353</v>
      </c>
      <c r="D6466" t="inlineStr">
        <is>
          <t>VÄRMLANDS LÄN</t>
        </is>
      </c>
      <c r="E6466" t="inlineStr">
        <is>
          <t>GRUMS</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59834-2021</t>
        </is>
      </c>
      <c r="B6467" s="1" t="n">
        <v>44494</v>
      </c>
      <c r="C6467" s="1" t="n">
        <v>45353</v>
      </c>
      <c r="D6467" t="inlineStr">
        <is>
          <t>VÄRMLANDS LÄN</t>
        </is>
      </c>
      <c r="E6467" t="inlineStr">
        <is>
          <t>SÄFFLE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59805-2021</t>
        </is>
      </c>
      <c r="B6468" s="1" t="n">
        <v>44494</v>
      </c>
      <c r="C6468" s="1" t="n">
        <v>45353</v>
      </c>
      <c r="D6468" t="inlineStr">
        <is>
          <t>VÄRMLANDS LÄN</t>
        </is>
      </c>
      <c r="E6468" t="inlineStr">
        <is>
          <t>EDA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59815-2021</t>
        </is>
      </c>
      <c r="B6469" s="1" t="n">
        <v>44494</v>
      </c>
      <c r="C6469" s="1" t="n">
        <v>45353</v>
      </c>
      <c r="D6469" t="inlineStr">
        <is>
          <t>VÄRMLANDS LÄN</t>
        </is>
      </c>
      <c r="E6469" t="inlineStr">
        <is>
          <t>EDA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59746-2021</t>
        </is>
      </c>
      <c r="B6470" s="1" t="n">
        <v>44494</v>
      </c>
      <c r="C6470" s="1" t="n">
        <v>45353</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59954-2021</t>
        </is>
      </c>
      <c r="B6471" s="1" t="n">
        <v>44494</v>
      </c>
      <c r="C6471" s="1" t="n">
        <v>45353</v>
      </c>
      <c r="D6471" t="inlineStr">
        <is>
          <t>VÄRMLANDS LÄN</t>
        </is>
      </c>
      <c r="E6471" t="inlineStr">
        <is>
          <t>FILIPSTAD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59863-2021</t>
        </is>
      </c>
      <c r="B6472" s="1" t="n">
        <v>44494</v>
      </c>
      <c r="C6472" s="1" t="n">
        <v>45353</v>
      </c>
      <c r="D6472" t="inlineStr">
        <is>
          <t>VÄRMLANDS LÄN</t>
        </is>
      </c>
      <c r="E6472" t="inlineStr">
        <is>
          <t>GRUMS</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60183-2021</t>
        </is>
      </c>
      <c r="B6473" s="1" t="n">
        <v>44495</v>
      </c>
      <c r="C6473" s="1" t="n">
        <v>45353</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60097-2021</t>
        </is>
      </c>
      <c r="B6474" s="1" t="n">
        <v>44495</v>
      </c>
      <c r="C6474" s="1" t="n">
        <v>45353</v>
      </c>
      <c r="D6474" t="inlineStr">
        <is>
          <t>VÄRMLANDS LÄN</t>
        </is>
      </c>
      <c r="E6474" t="inlineStr">
        <is>
          <t>ÅRJÄNG</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60289-2021</t>
        </is>
      </c>
      <c r="B6475" s="1" t="n">
        <v>44495</v>
      </c>
      <c r="C6475" s="1" t="n">
        <v>45353</v>
      </c>
      <c r="D6475" t="inlineStr">
        <is>
          <t>VÄRMLANDS LÄN</t>
        </is>
      </c>
      <c r="E6475" t="inlineStr">
        <is>
          <t>KARLSTAD</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61109-2021</t>
        </is>
      </c>
      <c r="B6476" s="1" t="n">
        <v>44495</v>
      </c>
      <c r="C6476" s="1" t="n">
        <v>45353</v>
      </c>
      <c r="D6476" t="inlineStr">
        <is>
          <t>VÄRMLANDS LÄN</t>
        </is>
      </c>
      <c r="E6476" t="inlineStr">
        <is>
          <t>KARLSTAD</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60508-2021</t>
        </is>
      </c>
      <c r="B6477" s="1" t="n">
        <v>44496</v>
      </c>
      <c r="C6477" s="1" t="n">
        <v>45353</v>
      </c>
      <c r="D6477" t="inlineStr">
        <is>
          <t>VÄRMLANDS LÄN</t>
        </is>
      </c>
      <c r="E6477" t="inlineStr">
        <is>
          <t>ARVIKA</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60374-2021</t>
        </is>
      </c>
      <c r="B6478" s="1" t="n">
        <v>44496</v>
      </c>
      <c r="C6478" s="1" t="n">
        <v>45353</v>
      </c>
      <c r="D6478" t="inlineStr">
        <is>
          <t>VÄRMLANDS LÄN</t>
        </is>
      </c>
      <c r="E6478" t="inlineStr">
        <is>
          <t>FILIPSTAD</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60428-2021</t>
        </is>
      </c>
      <c r="B6479" s="1" t="n">
        <v>44496</v>
      </c>
      <c r="C6479" s="1" t="n">
        <v>45353</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60377-2021</t>
        </is>
      </c>
      <c r="B6480" s="1" t="n">
        <v>44496</v>
      </c>
      <c r="C6480" s="1" t="n">
        <v>45353</v>
      </c>
      <c r="D6480" t="inlineStr">
        <is>
          <t>VÄRMLANDS LÄN</t>
        </is>
      </c>
      <c r="E6480" t="inlineStr">
        <is>
          <t>FILIPSTAD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60430-2021</t>
        </is>
      </c>
      <c r="B6481" s="1" t="n">
        <v>44496</v>
      </c>
      <c r="C6481" s="1" t="n">
        <v>45353</v>
      </c>
      <c r="D6481" t="inlineStr">
        <is>
          <t>VÄRMLANDS LÄN</t>
        </is>
      </c>
      <c r="E6481" t="inlineStr">
        <is>
          <t>TORSBY</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60502-2021</t>
        </is>
      </c>
      <c r="B6482" s="1" t="n">
        <v>44496</v>
      </c>
      <c r="C6482" s="1" t="n">
        <v>45353</v>
      </c>
      <c r="D6482" t="inlineStr">
        <is>
          <t>VÄRMLANDS LÄN</t>
        </is>
      </c>
      <c r="E6482" t="inlineStr">
        <is>
          <t>ARVIKA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60698-2021</t>
        </is>
      </c>
      <c r="B6483" s="1" t="n">
        <v>44496</v>
      </c>
      <c r="C6483" s="1" t="n">
        <v>45353</v>
      </c>
      <c r="D6483" t="inlineStr">
        <is>
          <t>VÄRMLANDS LÄN</t>
        </is>
      </c>
      <c r="E6483" t="inlineStr">
        <is>
          <t>TORSBY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60715-2021</t>
        </is>
      </c>
      <c r="B6484" s="1" t="n">
        <v>44496</v>
      </c>
      <c r="C6484" s="1" t="n">
        <v>45353</v>
      </c>
      <c r="D6484" t="inlineStr">
        <is>
          <t>VÄRMLANDS LÄN</t>
        </is>
      </c>
      <c r="E6484" t="inlineStr">
        <is>
          <t>ÅRJÄNG</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60682-2021</t>
        </is>
      </c>
      <c r="B6485" s="1" t="n">
        <v>44496</v>
      </c>
      <c r="C6485" s="1" t="n">
        <v>45353</v>
      </c>
      <c r="D6485" t="inlineStr">
        <is>
          <t>VÄRMLANDS LÄN</t>
        </is>
      </c>
      <c r="E6485" t="inlineStr">
        <is>
          <t>ÅRJÄNG</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60713-2021</t>
        </is>
      </c>
      <c r="B6486" s="1" t="n">
        <v>44496</v>
      </c>
      <c r="C6486" s="1" t="n">
        <v>45353</v>
      </c>
      <c r="D6486" t="inlineStr">
        <is>
          <t>VÄRMLANDS LÄN</t>
        </is>
      </c>
      <c r="E6486" t="inlineStr">
        <is>
          <t>ÅRJÄNG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61252-2021</t>
        </is>
      </c>
      <c r="B6487" s="1" t="n">
        <v>44496</v>
      </c>
      <c r="C6487" s="1" t="n">
        <v>45353</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61231-2021</t>
        </is>
      </c>
      <c r="B6488" s="1" t="n">
        <v>44496</v>
      </c>
      <c r="C6488" s="1" t="n">
        <v>45353</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60842-2021</t>
        </is>
      </c>
      <c r="B6489" s="1" t="n">
        <v>44496</v>
      </c>
      <c r="C6489" s="1" t="n">
        <v>45353</v>
      </c>
      <c r="D6489" t="inlineStr">
        <is>
          <t>VÄRMLANDS LÄN</t>
        </is>
      </c>
      <c r="E6489" t="inlineStr">
        <is>
          <t>ARVIKA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61240-2021</t>
        </is>
      </c>
      <c r="B6490" s="1" t="n">
        <v>44496</v>
      </c>
      <c r="C6490" s="1" t="n">
        <v>45353</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61254-2021</t>
        </is>
      </c>
      <c r="B6491" s="1" t="n">
        <v>44496</v>
      </c>
      <c r="C6491" s="1" t="n">
        <v>45353</v>
      </c>
      <c r="D6491" t="inlineStr">
        <is>
          <t>VÄRMLANDS LÄN</t>
        </is>
      </c>
      <c r="E6491" t="inlineStr">
        <is>
          <t>ÅRJÄNG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63627-2021</t>
        </is>
      </c>
      <c r="B6492" s="1" t="n">
        <v>44496</v>
      </c>
      <c r="C6492" s="1" t="n">
        <v>45353</v>
      </c>
      <c r="D6492" t="inlineStr">
        <is>
          <t>VÄRMLANDS LÄN</t>
        </is>
      </c>
      <c r="E6492" t="inlineStr">
        <is>
          <t>ARVIKA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61158-2021</t>
        </is>
      </c>
      <c r="B6493" s="1" t="n">
        <v>44497</v>
      </c>
      <c r="C6493" s="1" t="n">
        <v>45353</v>
      </c>
      <c r="D6493" t="inlineStr">
        <is>
          <t>VÄRMLANDS LÄN</t>
        </is>
      </c>
      <c r="E6493" t="inlineStr">
        <is>
          <t>ÅRJÄNG</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61034-2021</t>
        </is>
      </c>
      <c r="B6494" s="1" t="n">
        <v>44497</v>
      </c>
      <c r="C6494" s="1" t="n">
        <v>45353</v>
      </c>
      <c r="D6494" t="inlineStr">
        <is>
          <t>VÄRMLANDS LÄN</t>
        </is>
      </c>
      <c r="E6494" t="inlineStr">
        <is>
          <t>KRISTINEHAMN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61126-2021</t>
        </is>
      </c>
      <c r="B6495" s="1" t="n">
        <v>44497</v>
      </c>
      <c r="C6495" s="1" t="n">
        <v>45353</v>
      </c>
      <c r="D6495" t="inlineStr">
        <is>
          <t>VÄRMLANDS LÄN</t>
        </is>
      </c>
      <c r="E6495" t="inlineStr">
        <is>
          <t>ÅRJÄNG</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61154-2021</t>
        </is>
      </c>
      <c r="B6496" s="1" t="n">
        <v>44497</v>
      </c>
      <c r="C6496" s="1" t="n">
        <v>45353</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61036-2021</t>
        </is>
      </c>
      <c r="B6497" s="1" t="n">
        <v>44497</v>
      </c>
      <c r="C6497" s="1" t="n">
        <v>45353</v>
      </c>
      <c r="D6497" t="inlineStr">
        <is>
          <t>VÄRMLANDS LÄN</t>
        </is>
      </c>
      <c r="E6497" t="inlineStr">
        <is>
          <t>KRISTINEHAMN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61114-2021</t>
        </is>
      </c>
      <c r="B6498" s="1" t="n">
        <v>44497</v>
      </c>
      <c r="C6498" s="1" t="n">
        <v>45353</v>
      </c>
      <c r="D6498" t="inlineStr">
        <is>
          <t>VÄRMLANDS LÄN</t>
        </is>
      </c>
      <c r="E6498" t="inlineStr">
        <is>
          <t>ÅRJÄNG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60942-2021</t>
        </is>
      </c>
      <c r="B6499" s="1" t="n">
        <v>44497</v>
      </c>
      <c r="C6499" s="1" t="n">
        <v>45353</v>
      </c>
      <c r="D6499" t="inlineStr">
        <is>
          <t>VÄRMLANDS LÄN</t>
        </is>
      </c>
      <c r="E6499" t="inlineStr">
        <is>
          <t>ARVIKA</t>
        </is>
      </c>
      <c r="F6499" t="inlineStr">
        <is>
          <t>Kyrkan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60933-2021</t>
        </is>
      </c>
      <c r="B6500" s="1" t="n">
        <v>44497</v>
      </c>
      <c r="C6500" s="1" t="n">
        <v>45353</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60930-2021</t>
        </is>
      </c>
      <c r="B6501" s="1" t="n">
        <v>44497</v>
      </c>
      <c r="C6501" s="1" t="n">
        <v>45353</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61133-2021</t>
        </is>
      </c>
      <c r="B6502" s="1" t="n">
        <v>44498</v>
      </c>
      <c r="C6502" s="1" t="n">
        <v>45353</v>
      </c>
      <c r="D6502" t="inlineStr">
        <is>
          <t>VÄRMLANDS LÄN</t>
        </is>
      </c>
      <c r="E6502" t="inlineStr">
        <is>
          <t>KRISTINEHAMN</t>
        </is>
      </c>
      <c r="F6502" t="inlineStr">
        <is>
          <t>Naturvårdsverket</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61099-2021</t>
        </is>
      </c>
      <c r="B6503" s="1" t="n">
        <v>44498</v>
      </c>
      <c r="C6503" s="1" t="n">
        <v>45353</v>
      </c>
      <c r="D6503" t="inlineStr">
        <is>
          <t>VÄRMLANDS LÄN</t>
        </is>
      </c>
      <c r="E6503" t="inlineStr">
        <is>
          <t>KARLSTAD</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61143-2021</t>
        </is>
      </c>
      <c r="B6504" s="1" t="n">
        <v>44498</v>
      </c>
      <c r="C6504" s="1" t="n">
        <v>45353</v>
      </c>
      <c r="D6504" t="inlineStr">
        <is>
          <t>VÄRMLANDS LÄN</t>
        </is>
      </c>
      <c r="E6504" t="inlineStr">
        <is>
          <t>ÅRJÄNG</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61121-2021</t>
        </is>
      </c>
      <c r="B6505" s="1" t="n">
        <v>44498</v>
      </c>
      <c r="C6505" s="1" t="n">
        <v>45353</v>
      </c>
      <c r="D6505" t="inlineStr">
        <is>
          <t>VÄRMLANDS LÄN</t>
        </is>
      </c>
      <c r="E6505" t="inlineStr">
        <is>
          <t>ÅRJÄNG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61105-2021</t>
        </is>
      </c>
      <c r="B6506" s="1" t="n">
        <v>44498</v>
      </c>
      <c r="C6506" s="1" t="n">
        <v>45353</v>
      </c>
      <c r="D6506" t="inlineStr">
        <is>
          <t>VÄRMLANDS LÄN</t>
        </is>
      </c>
      <c r="E6506" t="inlineStr">
        <is>
          <t>KARLSTAD</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61129-2021</t>
        </is>
      </c>
      <c r="B6507" s="1" t="n">
        <v>44498</v>
      </c>
      <c r="C6507" s="1" t="n">
        <v>45353</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61160-2021</t>
        </is>
      </c>
      <c r="B6508" s="1" t="n">
        <v>44498</v>
      </c>
      <c r="C6508" s="1" t="n">
        <v>45353</v>
      </c>
      <c r="D6508" t="inlineStr">
        <is>
          <t>VÄRMLANDS LÄN</t>
        </is>
      </c>
      <c r="E6508" t="inlineStr">
        <is>
          <t>HAGFORS</t>
        </is>
      </c>
      <c r="F6508" t="inlineStr">
        <is>
          <t>Bergvik skog väst AB</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61272-2021</t>
        </is>
      </c>
      <c r="B6509" s="1" t="n">
        <v>44498</v>
      </c>
      <c r="C6509" s="1" t="n">
        <v>45353</v>
      </c>
      <c r="D6509" t="inlineStr">
        <is>
          <t>VÄRMLANDS LÄN</t>
        </is>
      </c>
      <c r="E6509" t="inlineStr">
        <is>
          <t>SUNNE</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61330-2021</t>
        </is>
      </c>
      <c r="B6510" s="1" t="n">
        <v>44498</v>
      </c>
      <c r="C6510" s="1" t="n">
        <v>45353</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61306-2021</t>
        </is>
      </c>
      <c r="B6511" s="1" t="n">
        <v>44498</v>
      </c>
      <c r="C6511" s="1" t="n">
        <v>45353</v>
      </c>
      <c r="D6511" t="inlineStr">
        <is>
          <t>VÄRMLANDS LÄN</t>
        </is>
      </c>
      <c r="E6511" t="inlineStr">
        <is>
          <t>GRUMS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61327-2021</t>
        </is>
      </c>
      <c r="B6512" s="1" t="n">
        <v>44498</v>
      </c>
      <c r="C6512" s="1" t="n">
        <v>45353</v>
      </c>
      <c r="D6512" t="inlineStr">
        <is>
          <t>VÄRMLANDS LÄN</t>
        </is>
      </c>
      <c r="E6512" t="inlineStr">
        <is>
          <t>GRUMS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61359-2021</t>
        </is>
      </c>
      <c r="B6513" s="1" t="n">
        <v>44499</v>
      </c>
      <c r="C6513" s="1" t="n">
        <v>45353</v>
      </c>
      <c r="D6513" t="inlineStr">
        <is>
          <t>VÄRMLANDS LÄN</t>
        </is>
      </c>
      <c r="E6513" t="inlineStr">
        <is>
          <t>HAGFORS</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61373-2021</t>
        </is>
      </c>
      <c r="B6514" s="1" t="n">
        <v>44499</v>
      </c>
      <c r="C6514" s="1" t="n">
        <v>45353</v>
      </c>
      <c r="D6514" t="inlineStr">
        <is>
          <t>VÄRMLANDS LÄN</t>
        </is>
      </c>
      <c r="E6514" t="inlineStr">
        <is>
          <t>SUNNE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61638-2021</t>
        </is>
      </c>
      <c r="B6515" s="1" t="n">
        <v>44501</v>
      </c>
      <c r="C6515" s="1" t="n">
        <v>45353</v>
      </c>
      <c r="D6515" t="inlineStr">
        <is>
          <t>VÄRMLANDS LÄN</t>
        </is>
      </c>
      <c r="E6515" t="inlineStr">
        <is>
          <t>KIL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61493-2021</t>
        </is>
      </c>
      <c r="B6516" s="1" t="n">
        <v>44501</v>
      </c>
      <c r="C6516" s="1" t="n">
        <v>45353</v>
      </c>
      <c r="D6516" t="inlineStr">
        <is>
          <t>VÄRMLANDS LÄN</t>
        </is>
      </c>
      <c r="E6516" t="inlineStr">
        <is>
          <t>KIL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61673-2021</t>
        </is>
      </c>
      <c r="B6517" s="1" t="n">
        <v>44501</v>
      </c>
      <c r="C6517" s="1" t="n">
        <v>45353</v>
      </c>
      <c r="D6517" t="inlineStr">
        <is>
          <t>VÄRMLANDS LÄN</t>
        </is>
      </c>
      <c r="E6517" t="inlineStr">
        <is>
          <t>FILIPSTAD</t>
        </is>
      </c>
      <c r="F6517" t="inlineStr">
        <is>
          <t>Bergvik skog väst AB</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61514-2021</t>
        </is>
      </c>
      <c r="B6518" s="1" t="n">
        <v>44501</v>
      </c>
      <c r="C6518" s="1" t="n">
        <v>45353</v>
      </c>
      <c r="D6518" t="inlineStr">
        <is>
          <t>VÄRMLANDS LÄN</t>
        </is>
      </c>
      <c r="E6518" t="inlineStr">
        <is>
          <t>KARLSTAD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61520-2021</t>
        </is>
      </c>
      <c r="B6519" s="1" t="n">
        <v>44501</v>
      </c>
      <c r="C6519" s="1" t="n">
        <v>45353</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61707-2021</t>
        </is>
      </c>
      <c r="B6520" s="1" t="n">
        <v>44501</v>
      </c>
      <c r="C6520" s="1" t="n">
        <v>45353</v>
      </c>
      <c r="D6520" t="inlineStr">
        <is>
          <t>VÄRMLANDS LÄN</t>
        </is>
      </c>
      <c r="E6520" t="inlineStr">
        <is>
          <t>KRISTINEHAMN</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61768-2021</t>
        </is>
      </c>
      <c r="B6521" s="1" t="n">
        <v>44501</v>
      </c>
      <c r="C6521" s="1" t="n">
        <v>45353</v>
      </c>
      <c r="D6521" t="inlineStr">
        <is>
          <t>VÄRMLANDS LÄN</t>
        </is>
      </c>
      <c r="E6521" t="inlineStr">
        <is>
          <t>KRISTINEHAMN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61812-2021</t>
        </is>
      </c>
      <c r="B6522" s="1" t="n">
        <v>44501</v>
      </c>
      <c r="C6522" s="1" t="n">
        <v>45353</v>
      </c>
      <c r="D6522" t="inlineStr">
        <is>
          <t>VÄRMLANDS LÄN</t>
        </is>
      </c>
      <c r="E6522" t="inlineStr">
        <is>
          <t>TORSBY</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61677-2021</t>
        </is>
      </c>
      <c r="B6523" s="1" t="n">
        <v>44501</v>
      </c>
      <c r="C6523" s="1" t="n">
        <v>45353</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61764-2021</t>
        </is>
      </c>
      <c r="B6524" s="1" t="n">
        <v>44501</v>
      </c>
      <c r="C6524" s="1" t="n">
        <v>45353</v>
      </c>
      <c r="D6524" t="inlineStr">
        <is>
          <t>VÄRMLANDS LÄN</t>
        </is>
      </c>
      <c r="E6524" t="inlineStr">
        <is>
          <t>HAGFORS</t>
        </is>
      </c>
      <c r="F6524" t="inlineStr">
        <is>
          <t>Bergvik skog väst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61663-2021</t>
        </is>
      </c>
      <c r="B6525" s="1" t="n">
        <v>44501</v>
      </c>
      <c r="C6525" s="1" t="n">
        <v>45353</v>
      </c>
      <c r="D6525" t="inlineStr">
        <is>
          <t>VÄRMLANDS LÄN</t>
        </is>
      </c>
      <c r="E6525" t="inlineStr">
        <is>
          <t>ARVIKA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61809-2021</t>
        </is>
      </c>
      <c r="B6526" s="1" t="n">
        <v>44501</v>
      </c>
      <c r="C6526" s="1" t="n">
        <v>45353</v>
      </c>
      <c r="D6526" t="inlineStr">
        <is>
          <t>VÄRMLANDS LÄN</t>
        </is>
      </c>
      <c r="E6526" t="inlineStr">
        <is>
          <t>TORSBY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61836-2021</t>
        </is>
      </c>
      <c r="B6527" s="1" t="n">
        <v>44501</v>
      </c>
      <c r="C6527" s="1" t="n">
        <v>45353</v>
      </c>
      <c r="D6527" t="inlineStr">
        <is>
          <t>VÄRMLANDS LÄN</t>
        </is>
      </c>
      <c r="E6527" t="inlineStr">
        <is>
          <t>KARLSTAD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61835-2021</t>
        </is>
      </c>
      <c r="B6528" s="1" t="n">
        <v>44501</v>
      </c>
      <c r="C6528" s="1" t="n">
        <v>45353</v>
      </c>
      <c r="D6528" t="inlineStr">
        <is>
          <t>VÄRMLANDS LÄN</t>
        </is>
      </c>
      <c r="E6528" t="inlineStr">
        <is>
          <t>ARVIKA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62310-2021</t>
        </is>
      </c>
      <c r="B6529" s="1" t="n">
        <v>44501</v>
      </c>
      <c r="C6529" s="1" t="n">
        <v>45353</v>
      </c>
      <c r="D6529" t="inlineStr">
        <is>
          <t>VÄRMLANDS LÄN</t>
        </is>
      </c>
      <c r="E6529" t="inlineStr">
        <is>
          <t>SUNNE</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62334-2021</t>
        </is>
      </c>
      <c r="B6530" s="1" t="n">
        <v>44501</v>
      </c>
      <c r="C6530" s="1" t="n">
        <v>45353</v>
      </c>
      <c r="D6530" t="inlineStr">
        <is>
          <t>VÄRMLANDS LÄN</t>
        </is>
      </c>
      <c r="E6530" t="inlineStr">
        <is>
          <t>SUNNE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61834-2021</t>
        </is>
      </c>
      <c r="B6531" s="1" t="n">
        <v>44501</v>
      </c>
      <c r="C6531" s="1" t="n">
        <v>45353</v>
      </c>
      <c r="D6531" t="inlineStr">
        <is>
          <t>VÄRMLANDS LÄN</t>
        </is>
      </c>
      <c r="E6531" t="inlineStr">
        <is>
          <t>ARVIKA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61902-2021</t>
        </is>
      </c>
      <c r="B6532" s="1" t="n">
        <v>44502</v>
      </c>
      <c r="C6532" s="1" t="n">
        <v>45353</v>
      </c>
      <c r="D6532" t="inlineStr">
        <is>
          <t>VÄRMLANDS LÄN</t>
        </is>
      </c>
      <c r="E6532" t="inlineStr">
        <is>
          <t>HAGFORS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62045-2021</t>
        </is>
      </c>
      <c r="B6533" s="1" t="n">
        <v>44502</v>
      </c>
      <c r="C6533" s="1" t="n">
        <v>45353</v>
      </c>
      <c r="D6533" t="inlineStr">
        <is>
          <t>VÄRMLANDS LÄN</t>
        </is>
      </c>
      <c r="E6533" t="inlineStr">
        <is>
          <t>TORSBY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62072-2021</t>
        </is>
      </c>
      <c r="B6534" s="1" t="n">
        <v>44502</v>
      </c>
      <c r="C6534" s="1" t="n">
        <v>45353</v>
      </c>
      <c r="D6534" t="inlineStr">
        <is>
          <t>VÄRMLANDS LÄN</t>
        </is>
      </c>
      <c r="E6534" t="inlineStr">
        <is>
          <t>EDA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62039-2021</t>
        </is>
      </c>
      <c r="B6535" s="1" t="n">
        <v>44502</v>
      </c>
      <c r="C6535" s="1" t="n">
        <v>45353</v>
      </c>
      <c r="D6535" t="inlineStr">
        <is>
          <t>VÄRMLANDS LÄN</t>
        </is>
      </c>
      <c r="E6535" t="inlineStr">
        <is>
          <t>TORSBY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62139-2021</t>
        </is>
      </c>
      <c r="B6536" s="1" t="n">
        <v>44502</v>
      </c>
      <c r="C6536" s="1" t="n">
        <v>45353</v>
      </c>
      <c r="D6536" t="inlineStr">
        <is>
          <t>VÄRMLANDS LÄN</t>
        </is>
      </c>
      <c r="E6536" t="inlineStr">
        <is>
          <t>KRISTINEHAMN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62135-2021</t>
        </is>
      </c>
      <c r="B6537" s="1" t="n">
        <v>44502</v>
      </c>
      <c r="C6537" s="1" t="n">
        <v>45353</v>
      </c>
      <c r="D6537" t="inlineStr">
        <is>
          <t>VÄRMLANDS LÄN</t>
        </is>
      </c>
      <c r="E6537" t="inlineStr">
        <is>
          <t>KIL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62110-2021</t>
        </is>
      </c>
      <c r="B6538" s="1" t="n">
        <v>44502</v>
      </c>
      <c r="C6538" s="1" t="n">
        <v>45353</v>
      </c>
      <c r="D6538" t="inlineStr">
        <is>
          <t>VÄRMLANDS LÄN</t>
        </is>
      </c>
      <c r="E6538" t="inlineStr">
        <is>
          <t>ÅRJÄNG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62576-2021</t>
        </is>
      </c>
      <c r="B6539" s="1" t="n">
        <v>44502</v>
      </c>
      <c r="C6539" s="1" t="n">
        <v>45353</v>
      </c>
      <c r="D6539" t="inlineStr">
        <is>
          <t>VÄRMLANDS LÄN</t>
        </is>
      </c>
      <c r="E6539" t="inlineStr">
        <is>
          <t>TORSBY</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62313-2021</t>
        </is>
      </c>
      <c r="B6540" s="1" t="n">
        <v>44503</v>
      </c>
      <c r="C6540" s="1" t="n">
        <v>45353</v>
      </c>
      <c r="D6540" t="inlineStr">
        <is>
          <t>VÄRMLANDS LÄN</t>
        </is>
      </c>
      <c r="E6540" t="inlineStr">
        <is>
          <t>FILIPSTAD</t>
        </is>
      </c>
      <c r="F6540" t="inlineStr">
        <is>
          <t>Bergvik skog väst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62591-2021</t>
        </is>
      </c>
      <c r="B6541" s="1" t="n">
        <v>44503</v>
      </c>
      <c r="C6541" s="1" t="n">
        <v>45353</v>
      </c>
      <c r="D6541" t="inlineStr">
        <is>
          <t>VÄRMLANDS LÄN</t>
        </is>
      </c>
      <c r="E6541" t="inlineStr">
        <is>
          <t>EDA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62603-2021</t>
        </is>
      </c>
      <c r="B6542" s="1" t="n">
        <v>44503</v>
      </c>
      <c r="C6542" s="1" t="n">
        <v>45353</v>
      </c>
      <c r="D6542" t="inlineStr">
        <is>
          <t>VÄRMLANDS LÄN</t>
        </is>
      </c>
      <c r="E6542" t="inlineStr">
        <is>
          <t>ARVIKA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62225-2021</t>
        </is>
      </c>
      <c r="B6543" s="1" t="n">
        <v>44503</v>
      </c>
      <c r="C6543" s="1" t="n">
        <v>45353</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62357-2021</t>
        </is>
      </c>
      <c r="B6544" s="1" t="n">
        <v>44503</v>
      </c>
      <c r="C6544" s="1" t="n">
        <v>45353</v>
      </c>
      <c r="D6544" t="inlineStr">
        <is>
          <t>VÄRMLANDS LÄN</t>
        </is>
      </c>
      <c r="E6544" t="inlineStr">
        <is>
          <t>ÅRJÄNG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62546-2021</t>
        </is>
      </c>
      <c r="B6545" s="1" t="n">
        <v>44503</v>
      </c>
      <c r="C6545" s="1" t="n">
        <v>45353</v>
      </c>
      <c r="D6545" t="inlineStr">
        <is>
          <t>VÄRMLANDS LÄN</t>
        </is>
      </c>
      <c r="E6545" t="inlineStr">
        <is>
          <t>KARLSTAD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62289-2021</t>
        </is>
      </c>
      <c r="B6546" s="1" t="n">
        <v>44503</v>
      </c>
      <c r="C6546" s="1" t="n">
        <v>45353</v>
      </c>
      <c r="D6546" t="inlineStr">
        <is>
          <t>VÄRMLANDS LÄN</t>
        </is>
      </c>
      <c r="E6546" t="inlineStr">
        <is>
          <t>ÅRJÄNG</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62626-2021</t>
        </is>
      </c>
      <c r="B6547" s="1" t="n">
        <v>44503</v>
      </c>
      <c r="C6547" s="1" t="n">
        <v>45353</v>
      </c>
      <c r="D6547" t="inlineStr">
        <is>
          <t>VÄRMLANDS LÄN</t>
        </is>
      </c>
      <c r="E6547" t="inlineStr">
        <is>
          <t>SUNNE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62845-2021</t>
        </is>
      </c>
      <c r="B6548" s="1" t="n">
        <v>44504</v>
      </c>
      <c r="C6548" s="1" t="n">
        <v>45353</v>
      </c>
      <c r="D6548" t="inlineStr">
        <is>
          <t>VÄRMLANDS LÄN</t>
        </is>
      </c>
      <c r="E6548" t="inlineStr">
        <is>
          <t>TORSBY</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62900-2021</t>
        </is>
      </c>
      <c r="B6549" s="1" t="n">
        <v>44504</v>
      </c>
      <c r="C6549" s="1" t="n">
        <v>45353</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62901-2021</t>
        </is>
      </c>
      <c r="B6550" s="1" t="n">
        <v>44504</v>
      </c>
      <c r="C6550" s="1" t="n">
        <v>45353</v>
      </c>
      <c r="D6550" t="inlineStr">
        <is>
          <t>VÄRMLANDS LÄN</t>
        </is>
      </c>
      <c r="E6550" t="inlineStr">
        <is>
          <t>ÅRJÄNG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63551-2021</t>
        </is>
      </c>
      <c r="B6551" s="1" t="n">
        <v>44504</v>
      </c>
      <c r="C6551" s="1" t="n">
        <v>45353</v>
      </c>
      <c r="D6551" t="inlineStr">
        <is>
          <t>VÄRMLANDS LÄN</t>
        </is>
      </c>
      <c r="E6551" t="inlineStr">
        <is>
          <t>KRISTINEHAMN</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62924-2021</t>
        </is>
      </c>
      <c r="B6552" s="1" t="n">
        <v>44504</v>
      </c>
      <c r="C6552" s="1" t="n">
        <v>45353</v>
      </c>
      <c r="D6552" t="inlineStr">
        <is>
          <t>VÄRMLANDS LÄN</t>
        </is>
      </c>
      <c r="E6552" t="inlineStr">
        <is>
          <t>KRISTINEHAMN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62984-2021</t>
        </is>
      </c>
      <c r="B6553" s="1" t="n">
        <v>44505</v>
      </c>
      <c r="C6553" s="1" t="n">
        <v>45353</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62965-2021</t>
        </is>
      </c>
      <c r="B6554" s="1" t="n">
        <v>44505</v>
      </c>
      <c r="C6554" s="1" t="n">
        <v>45353</v>
      </c>
      <c r="D6554" t="inlineStr">
        <is>
          <t>VÄRMLANDS LÄN</t>
        </is>
      </c>
      <c r="E6554" t="inlineStr">
        <is>
          <t>SUNNE</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63112-2021</t>
        </is>
      </c>
      <c r="B6555" s="1" t="n">
        <v>44505</v>
      </c>
      <c r="C6555" s="1" t="n">
        <v>45353</v>
      </c>
      <c r="D6555" t="inlineStr">
        <is>
          <t>VÄRMLANDS LÄN</t>
        </is>
      </c>
      <c r="E6555" t="inlineStr">
        <is>
          <t>SÄFFLE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63119-2021</t>
        </is>
      </c>
      <c r="B6556" s="1" t="n">
        <v>44505</v>
      </c>
      <c r="C6556" s="1" t="n">
        <v>45353</v>
      </c>
      <c r="D6556" t="inlineStr">
        <is>
          <t>VÄRMLANDS LÄN</t>
        </is>
      </c>
      <c r="E6556" t="inlineStr">
        <is>
          <t>EDA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63140-2021</t>
        </is>
      </c>
      <c r="B6557" s="1" t="n">
        <v>44505</v>
      </c>
      <c r="C6557" s="1" t="n">
        <v>45353</v>
      </c>
      <c r="D6557" t="inlineStr">
        <is>
          <t>VÄRMLANDS LÄN</t>
        </is>
      </c>
      <c r="E6557" t="inlineStr">
        <is>
          <t>FILIPSTAD</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63042-2021</t>
        </is>
      </c>
      <c r="B6558" s="1" t="n">
        <v>44505</v>
      </c>
      <c r="C6558" s="1" t="n">
        <v>45353</v>
      </c>
      <c r="D6558" t="inlineStr">
        <is>
          <t>VÄRMLANDS LÄN</t>
        </is>
      </c>
      <c r="E6558" t="inlineStr">
        <is>
          <t>SUNNE</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63111-2021</t>
        </is>
      </c>
      <c r="B6559" s="1" t="n">
        <v>44505</v>
      </c>
      <c r="C6559" s="1" t="n">
        <v>45353</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63122-2021</t>
        </is>
      </c>
      <c r="B6560" s="1" t="n">
        <v>44505</v>
      </c>
      <c r="C6560" s="1" t="n">
        <v>45353</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63144-2021</t>
        </is>
      </c>
      <c r="B6561" s="1" t="n">
        <v>44505</v>
      </c>
      <c r="C6561" s="1" t="n">
        <v>45353</v>
      </c>
      <c r="D6561" t="inlineStr">
        <is>
          <t>VÄRMLANDS LÄN</t>
        </is>
      </c>
      <c r="E6561" t="inlineStr">
        <is>
          <t>FILIPSTAD</t>
        </is>
      </c>
      <c r="G6561" t="n">
        <v>24.3</v>
      </c>
      <c r="H6561" t="n">
        <v>0</v>
      </c>
      <c r="I6561" t="n">
        <v>0</v>
      </c>
      <c r="J6561" t="n">
        <v>0</v>
      </c>
      <c r="K6561" t="n">
        <v>0</v>
      </c>
      <c r="L6561" t="n">
        <v>0</v>
      </c>
      <c r="M6561" t="n">
        <v>0</v>
      </c>
      <c r="N6561" t="n">
        <v>0</v>
      </c>
      <c r="O6561" t="n">
        <v>0</v>
      </c>
      <c r="P6561" t="n">
        <v>0</v>
      </c>
      <c r="Q6561" t="n">
        <v>0</v>
      </c>
      <c r="R6561" s="2" t="inlineStr"/>
    </row>
    <row r="6562" ht="15" customHeight="1">
      <c r="A6562" t="inlineStr">
        <is>
          <t>A 63714-2021</t>
        </is>
      </c>
      <c r="B6562" s="1" t="n">
        <v>44505</v>
      </c>
      <c r="C6562" s="1" t="n">
        <v>45353</v>
      </c>
      <c r="D6562" t="inlineStr">
        <is>
          <t>VÄRMLANDS LÄN</t>
        </is>
      </c>
      <c r="E6562" t="inlineStr">
        <is>
          <t>FILIPSTAD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63199-2021</t>
        </is>
      </c>
      <c r="B6563" s="1" t="n">
        <v>44507</v>
      </c>
      <c r="C6563" s="1" t="n">
        <v>45353</v>
      </c>
      <c r="D6563" t="inlineStr">
        <is>
          <t>VÄRMLANDS LÄN</t>
        </is>
      </c>
      <c r="E6563" t="inlineStr">
        <is>
          <t>ÅRJÄNG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63205-2021</t>
        </is>
      </c>
      <c r="B6564" s="1" t="n">
        <v>44507</v>
      </c>
      <c r="C6564" s="1" t="n">
        <v>45353</v>
      </c>
      <c r="D6564" t="inlineStr">
        <is>
          <t>VÄRMLANDS LÄN</t>
        </is>
      </c>
      <c r="E6564" t="inlineStr">
        <is>
          <t>ÅRJÄNG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63203-2021</t>
        </is>
      </c>
      <c r="B6565" s="1" t="n">
        <v>44507</v>
      </c>
      <c r="C6565" s="1" t="n">
        <v>45353</v>
      </c>
      <c r="D6565" t="inlineStr">
        <is>
          <t>VÄRMLANDS LÄN</t>
        </is>
      </c>
      <c r="E6565" t="inlineStr">
        <is>
          <t>ÅRJÄNG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63251-2021</t>
        </is>
      </c>
      <c r="B6566" s="1" t="n">
        <v>44508</v>
      </c>
      <c r="C6566" s="1" t="n">
        <v>45353</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63369-2021</t>
        </is>
      </c>
      <c r="B6567" s="1" t="n">
        <v>44508</v>
      </c>
      <c r="C6567" s="1" t="n">
        <v>45353</v>
      </c>
      <c r="D6567" t="inlineStr">
        <is>
          <t>VÄRMLANDS LÄN</t>
        </is>
      </c>
      <c r="E6567" t="inlineStr">
        <is>
          <t>GRUMS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63356-2021</t>
        </is>
      </c>
      <c r="B6568" s="1" t="n">
        <v>44508</v>
      </c>
      <c r="C6568" s="1" t="n">
        <v>45353</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63482-2021</t>
        </is>
      </c>
      <c r="B6569" s="1" t="n">
        <v>44508</v>
      </c>
      <c r="C6569" s="1" t="n">
        <v>45353</v>
      </c>
      <c r="D6569" t="inlineStr">
        <is>
          <t>VÄRMLANDS LÄN</t>
        </is>
      </c>
      <c r="E6569" t="inlineStr">
        <is>
          <t>FILIPSTAD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63520-2021</t>
        </is>
      </c>
      <c r="B6570" s="1" t="n">
        <v>44508</v>
      </c>
      <c r="C6570" s="1" t="n">
        <v>45353</v>
      </c>
      <c r="D6570" t="inlineStr">
        <is>
          <t>VÄRMLANDS LÄN</t>
        </is>
      </c>
      <c r="E6570" t="inlineStr">
        <is>
          <t>SÄFFLE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63574-2021</t>
        </is>
      </c>
      <c r="B6571" s="1" t="n">
        <v>44508</v>
      </c>
      <c r="C6571" s="1" t="n">
        <v>45353</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63828-2021</t>
        </is>
      </c>
      <c r="B6572" s="1" t="n">
        <v>44508</v>
      </c>
      <c r="C6572" s="1" t="n">
        <v>45353</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63527-2021</t>
        </is>
      </c>
      <c r="B6573" s="1" t="n">
        <v>44508</v>
      </c>
      <c r="C6573" s="1" t="n">
        <v>45353</v>
      </c>
      <c r="D6573" t="inlineStr">
        <is>
          <t>VÄRMLANDS LÄN</t>
        </is>
      </c>
      <c r="E6573" t="inlineStr">
        <is>
          <t>TORSBY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63847-2021</t>
        </is>
      </c>
      <c r="B6574" s="1" t="n">
        <v>44508</v>
      </c>
      <c r="C6574" s="1" t="n">
        <v>45353</v>
      </c>
      <c r="D6574" t="inlineStr">
        <is>
          <t>VÄRMLANDS LÄN</t>
        </is>
      </c>
      <c r="E6574" t="inlineStr">
        <is>
          <t>ARVIKA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63739-2021</t>
        </is>
      </c>
      <c r="B6575" s="1" t="n">
        <v>44509</v>
      </c>
      <c r="C6575" s="1" t="n">
        <v>45353</v>
      </c>
      <c r="D6575" t="inlineStr">
        <is>
          <t>VÄRMLANDS LÄN</t>
        </is>
      </c>
      <c r="E6575" t="inlineStr">
        <is>
          <t>FORSHAGA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63617-2021</t>
        </is>
      </c>
      <c r="B6576" s="1" t="n">
        <v>44509</v>
      </c>
      <c r="C6576" s="1" t="n">
        <v>45353</v>
      </c>
      <c r="D6576" t="inlineStr">
        <is>
          <t>VÄRMLANDS LÄN</t>
        </is>
      </c>
      <c r="E6576" t="inlineStr">
        <is>
          <t>SÄFFLE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63673-2021</t>
        </is>
      </c>
      <c r="B6577" s="1" t="n">
        <v>44509</v>
      </c>
      <c r="C6577" s="1" t="n">
        <v>45353</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63745-2021</t>
        </is>
      </c>
      <c r="B6578" s="1" t="n">
        <v>44509</v>
      </c>
      <c r="C6578" s="1" t="n">
        <v>45353</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63766-2021</t>
        </is>
      </c>
      <c r="B6579" s="1" t="n">
        <v>44509</v>
      </c>
      <c r="C6579" s="1" t="n">
        <v>45353</v>
      </c>
      <c r="D6579" t="inlineStr">
        <is>
          <t>VÄRMLANDS LÄN</t>
        </is>
      </c>
      <c r="E6579" t="inlineStr">
        <is>
          <t>FILIPSTAD</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63787-2021</t>
        </is>
      </c>
      <c r="B6580" s="1" t="n">
        <v>44509</v>
      </c>
      <c r="C6580" s="1" t="n">
        <v>45353</v>
      </c>
      <c r="D6580" t="inlineStr">
        <is>
          <t>VÄRMLANDS LÄN</t>
        </is>
      </c>
      <c r="E6580" t="inlineStr">
        <is>
          <t>SÄFFLE</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63881-2021</t>
        </is>
      </c>
      <c r="B6581" s="1" t="n">
        <v>44509</v>
      </c>
      <c r="C6581" s="1" t="n">
        <v>45353</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63858-2021</t>
        </is>
      </c>
      <c r="B6582" s="1" t="n">
        <v>44509</v>
      </c>
      <c r="C6582" s="1" t="n">
        <v>45353</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63919-2021</t>
        </is>
      </c>
      <c r="B6583" s="1" t="n">
        <v>44509</v>
      </c>
      <c r="C6583" s="1" t="n">
        <v>45353</v>
      </c>
      <c r="D6583" t="inlineStr">
        <is>
          <t>VÄRMLANDS LÄN</t>
        </is>
      </c>
      <c r="E6583" t="inlineStr">
        <is>
          <t>GRUMS</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63962-2021</t>
        </is>
      </c>
      <c r="B6584" s="1" t="n">
        <v>44509</v>
      </c>
      <c r="C6584" s="1" t="n">
        <v>45353</v>
      </c>
      <c r="D6584" t="inlineStr">
        <is>
          <t>VÄRMLANDS LÄN</t>
        </is>
      </c>
      <c r="E6584" t="inlineStr">
        <is>
          <t>GRUMS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63796-2021</t>
        </is>
      </c>
      <c r="B6585" s="1" t="n">
        <v>44509</v>
      </c>
      <c r="C6585" s="1" t="n">
        <v>45353</v>
      </c>
      <c r="D6585" t="inlineStr">
        <is>
          <t>VÄRMLANDS LÄN</t>
        </is>
      </c>
      <c r="E6585" t="inlineStr">
        <is>
          <t>ÅRJÄNG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63885-2021</t>
        </is>
      </c>
      <c r="B6586" s="1" t="n">
        <v>44509</v>
      </c>
      <c r="C6586" s="1" t="n">
        <v>45353</v>
      </c>
      <c r="D6586" t="inlineStr">
        <is>
          <t>VÄRMLANDS LÄN</t>
        </is>
      </c>
      <c r="E6586" t="inlineStr">
        <is>
          <t>ÅRJÄNG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64061-2021</t>
        </is>
      </c>
      <c r="B6587" s="1" t="n">
        <v>44509</v>
      </c>
      <c r="C6587" s="1" t="n">
        <v>45353</v>
      </c>
      <c r="D6587" t="inlineStr">
        <is>
          <t>VÄRMLANDS LÄN</t>
        </is>
      </c>
      <c r="E6587" t="inlineStr">
        <is>
          <t>SÄFFLE</t>
        </is>
      </c>
      <c r="F6587" t="inlineStr">
        <is>
          <t>Bergvik skog väst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63922-2021</t>
        </is>
      </c>
      <c r="B6588" s="1" t="n">
        <v>44509</v>
      </c>
      <c r="C6588" s="1" t="n">
        <v>45353</v>
      </c>
      <c r="D6588" t="inlineStr">
        <is>
          <t>VÄRMLANDS LÄN</t>
        </is>
      </c>
      <c r="E6588" t="inlineStr">
        <is>
          <t>FORSHAGA</t>
        </is>
      </c>
      <c r="F6588" t="inlineStr">
        <is>
          <t>Bergvik skog väst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63964-2021</t>
        </is>
      </c>
      <c r="B6589" s="1" t="n">
        <v>44509</v>
      </c>
      <c r="C6589" s="1" t="n">
        <v>45353</v>
      </c>
      <c r="D6589" t="inlineStr">
        <is>
          <t>VÄRMLANDS LÄN</t>
        </is>
      </c>
      <c r="E6589" t="inlineStr">
        <is>
          <t>GRUMS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63899-2021</t>
        </is>
      </c>
      <c r="B6590" s="1" t="n">
        <v>44509</v>
      </c>
      <c r="C6590" s="1" t="n">
        <v>45353</v>
      </c>
      <c r="D6590" t="inlineStr">
        <is>
          <t>VÄRMLANDS LÄN</t>
        </is>
      </c>
      <c r="E6590" t="inlineStr">
        <is>
          <t>SUNNE</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63914-2021</t>
        </is>
      </c>
      <c r="B6591" s="1" t="n">
        <v>44509</v>
      </c>
      <c r="C6591" s="1" t="n">
        <v>45353</v>
      </c>
      <c r="D6591" t="inlineStr">
        <is>
          <t>VÄRMLANDS LÄN</t>
        </is>
      </c>
      <c r="E6591" t="inlineStr">
        <is>
          <t>SÄFFLE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63963-2021</t>
        </is>
      </c>
      <c r="B6592" s="1" t="n">
        <v>44509</v>
      </c>
      <c r="C6592" s="1" t="n">
        <v>45353</v>
      </c>
      <c r="D6592" t="inlineStr">
        <is>
          <t>VÄRMLANDS LÄN</t>
        </is>
      </c>
      <c r="E6592" t="inlineStr">
        <is>
          <t>GRUMS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64048-2021</t>
        </is>
      </c>
      <c r="B6593" s="1" t="n">
        <v>44510</v>
      </c>
      <c r="C6593" s="1" t="n">
        <v>45353</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64051-2021</t>
        </is>
      </c>
      <c r="B6594" s="1" t="n">
        <v>44510</v>
      </c>
      <c r="C6594" s="1" t="n">
        <v>45353</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64082-2021</t>
        </is>
      </c>
      <c r="B6595" s="1" t="n">
        <v>44510</v>
      </c>
      <c r="C6595" s="1" t="n">
        <v>45353</v>
      </c>
      <c r="D6595" t="inlineStr">
        <is>
          <t>VÄRMLANDS LÄN</t>
        </is>
      </c>
      <c r="E6595" t="inlineStr">
        <is>
          <t>ÅRJÄNG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64193-2021</t>
        </is>
      </c>
      <c r="B6596" s="1" t="n">
        <v>44510</v>
      </c>
      <c r="C6596" s="1" t="n">
        <v>45353</v>
      </c>
      <c r="D6596" t="inlineStr">
        <is>
          <t>VÄRMLANDS LÄN</t>
        </is>
      </c>
      <c r="E6596" t="inlineStr">
        <is>
          <t>KIL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64202-2021</t>
        </is>
      </c>
      <c r="B6597" s="1" t="n">
        <v>44510</v>
      </c>
      <c r="C6597" s="1" t="n">
        <v>45353</v>
      </c>
      <c r="D6597" t="inlineStr">
        <is>
          <t>VÄRMLANDS LÄN</t>
        </is>
      </c>
      <c r="E6597" t="inlineStr">
        <is>
          <t>EDA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64331-2021</t>
        </is>
      </c>
      <c r="B6598" s="1" t="n">
        <v>44510</v>
      </c>
      <c r="C6598" s="1" t="n">
        <v>45353</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64333-2021</t>
        </is>
      </c>
      <c r="B6599" s="1" t="n">
        <v>44510</v>
      </c>
      <c r="C6599" s="1" t="n">
        <v>45353</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64508-2021</t>
        </is>
      </c>
      <c r="B6600" s="1" t="n">
        <v>44511</v>
      </c>
      <c r="C6600" s="1" t="n">
        <v>45353</v>
      </c>
      <c r="D6600" t="inlineStr">
        <is>
          <t>VÄRMLANDS LÄN</t>
        </is>
      </c>
      <c r="E6600" t="inlineStr">
        <is>
          <t>KIL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64442-2021</t>
        </is>
      </c>
      <c r="B6601" s="1" t="n">
        <v>44511</v>
      </c>
      <c r="C6601" s="1" t="n">
        <v>45353</v>
      </c>
      <c r="D6601" t="inlineStr">
        <is>
          <t>VÄRMLANDS LÄN</t>
        </is>
      </c>
      <c r="E6601" t="inlineStr">
        <is>
          <t>SÄFFLE</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64531-2021</t>
        </is>
      </c>
      <c r="B6602" s="1" t="n">
        <v>44511</v>
      </c>
      <c r="C6602" s="1" t="n">
        <v>45353</v>
      </c>
      <c r="D6602" t="inlineStr">
        <is>
          <t>VÄRMLANDS LÄN</t>
        </is>
      </c>
      <c r="E6602" t="inlineStr">
        <is>
          <t>KIL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64547-2021</t>
        </is>
      </c>
      <c r="B6603" s="1" t="n">
        <v>44511</v>
      </c>
      <c r="C6603" s="1" t="n">
        <v>45353</v>
      </c>
      <c r="D6603" t="inlineStr">
        <is>
          <t>VÄRMLANDS LÄN</t>
        </is>
      </c>
      <c r="E6603" t="inlineStr">
        <is>
          <t>KIL</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64585-2021</t>
        </is>
      </c>
      <c r="B6604" s="1" t="n">
        <v>44511</v>
      </c>
      <c r="C6604" s="1" t="n">
        <v>45353</v>
      </c>
      <c r="D6604" t="inlineStr">
        <is>
          <t>VÄRMLANDS LÄN</t>
        </is>
      </c>
      <c r="E6604" t="inlineStr">
        <is>
          <t>ARVIKA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64518-2021</t>
        </is>
      </c>
      <c r="B6605" s="1" t="n">
        <v>44511</v>
      </c>
      <c r="C6605" s="1" t="n">
        <v>45353</v>
      </c>
      <c r="D6605" t="inlineStr">
        <is>
          <t>VÄRMLANDS LÄN</t>
        </is>
      </c>
      <c r="E6605" t="inlineStr">
        <is>
          <t>KIL</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64526-2021</t>
        </is>
      </c>
      <c r="B6606" s="1" t="n">
        <v>44511</v>
      </c>
      <c r="C6606" s="1" t="n">
        <v>45353</v>
      </c>
      <c r="D6606" t="inlineStr">
        <is>
          <t>VÄRMLANDS LÄN</t>
        </is>
      </c>
      <c r="E6606" t="inlineStr">
        <is>
          <t>FILIPSTAD</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64543-2021</t>
        </is>
      </c>
      <c r="B6607" s="1" t="n">
        <v>44511</v>
      </c>
      <c r="C6607" s="1" t="n">
        <v>45353</v>
      </c>
      <c r="D6607" t="inlineStr">
        <is>
          <t>VÄRMLANDS LÄN</t>
        </is>
      </c>
      <c r="E6607" t="inlineStr">
        <is>
          <t>KIL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64553-2021</t>
        </is>
      </c>
      <c r="B6608" s="1" t="n">
        <v>44511</v>
      </c>
      <c r="C6608" s="1" t="n">
        <v>45353</v>
      </c>
      <c r="D6608" t="inlineStr">
        <is>
          <t>VÄRMLANDS LÄN</t>
        </is>
      </c>
      <c r="E6608" t="inlineStr">
        <is>
          <t>KIL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64590-2021</t>
        </is>
      </c>
      <c r="B6609" s="1" t="n">
        <v>44511</v>
      </c>
      <c r="C6609" s="1" t="n">
        <v>45353</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64576-2021</t>
        </is>
      </c>
      <c r="B6610" s="1" t="n">
        <v>44511</v>
      </c>
      <c r="C6610" s="1" t="n">
        <v>45353</v>
      </c>
      <c r="D6610" t="inlineStr">
        <is>
          <t>VÄRMLANDS LÄN</t>
        </is>
      </c>
      <c r="E6610" t="inlineStr">
        <is>
          <t>ARVIKA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64589-2021</t>
        </is>
      </c>
      <c r="B6611" s="1" t="n">
        <v>44511</v>
      </c>
      <c r="C6611" s="1" t="n">
        <v>45353</v>
      </c>
      <c r="D6611" t="inlineStr">
        <is>
          <t>VÄRMLANDS LÄN</t>
        </is>
      </c>
      <c r="E6611" t="inlineStr">
        <is>
          <t>ARVIKA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64524-2021</t>
        </is>
      </c>
      <c r="B6612" s="1" t="n">
        <v>44511</v>
      </c>
      <c r="C6612" s="1" t="n">
        <v>45353</v>
      </c>
      <c r="D6612" t="inlineStr">
        <is>
          <t>VÄRMLANDS LÄN</t>
        </is>
      </c>
      <c r="E6612" t="inlineStr">
        <is>
          <t>KIL</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64578-2021</t>
        </is>
      </c>
      <c r="B6613" s="1" t="n">
        <v>44511</v>
      </c>
      <c r="C6613" s="1" t="n">
        <v>45353</v>
      </c>
      <c r="D6613" t="inlineStr">
        <is>
          <t>VÄRMLANDS LÄN</t>
        </is>
      </c>
      <c r="E6613" t="inlineStr">
        <is>
          <t>ARVIKA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64552-2021</t>
        </is>
      </c>
      <c r="B6614" s="1" t="n">
        <v>44511</v>
      </c>
      <c r="C6614" s="1" t="n">
        <v>45353</v>
      </c>
      <c r="D6614" t="inlineStr">
        <is>
          <t>VÄRMLANDS LÄN</t>
        </is>
      </c>
      <c r="E6614" t="inlineStr">
        <is>
          <t>KIL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64559-2021</t>
        </is>
      </c>
      <c r="B6615" s="1" t="n">
        <v>44511</v>
      </c>
      <c r="C6615" s="1" t="n">
        <v>45353</v>
      </c>
      <c r="D6615" t="inlineStr">
        <is>
          <t>VÄRMLANDS LÄN</t>
        </is>
      </c>
      <c r="E6615" t="inlineStr">
        <is>
          <t>KIL</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64587-2021</t>
        </is>
      </c>
      <c r="B6616" s="1" t="n">
        <v>44511</v>
      </c>
      <c r="C6616" s="1" t="n">
        <v>45353</v>
      </c>
      <c r="D6616" t="inlineStr">
        <is>
          <t>VÄRMLANDS LÄN</t>
        </is>
      </c>
      <c r="E6616" t="inlineStr">
        <is>
          <t>ARVIKA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64785-2021</t>
        </is>
      </c>
      <c r="B6617" s="1" t="n">
        <v>44512</v>
      </c>
      <c r="C6617" s="1" t="n">
        <v>45353</v>
      </c>
      <c r="D6617" t="inlineStr">
        <is>
          <t>VÄRMLANDS LÄN</t>
        </is>
      </c>
      <c r="E6617" t="inlineStr">
        <is>
          <t>ÅRJÄNG</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64805-2021</t>
        </is>
      </c>
      <c r="B6618" s="1" t="n">
        <v>44512</v>
      </c>
      <c r="C6618" s="1" t="n">
        <v>45353</v>
      </c>
      <c r="D6618" t="inlineStr">
        <is>
          <t>VÄRMLANDS LÄN</t>
        </is>
      </c>
      <c r="E6618" t="inlineStr">
        <is>
          <t>SÄFFLE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64815-2021</t>
        </is>
      </c>
      <c r="B6619" s="1" t="n">
        <v>44512</v>
      </c>
      <c r="C6619" s="1" t="n">
        <v>45353</v>
      </c>
      <c r="D6619" t="inlineStr">
        <is>
          <t>VÄRMLANDS LÄN</t>
        </is>
      </c>
      <c r="E6619" t="inlineStr">
        <is>
          <t>STORFORS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64780-2021</t>
        </is>
      </c>
      <c r="B6620" s="1" t="n">
        <v>44512</v>
      </c>
      <c r="C6620" s="1" t="n">
        <v>45353</v>
      </c>
      <c r="D6620" t="inlineStr">
        <is>
          <t>VÄRMLANDS LÄN</t>
        </is>
      </c>
      <c r="E6620" t="inlineStr">
        <is>
          <t>TORSBY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64801-2021</t>
        </is>
      </c>
      <c r="B6621" s="1" t="n">
        <v>44512</v>
      </c>
      <c r="C6621" s="1" t="n">
        <v>45353</v>
      </c>
      <c r="D6621" t="inlineStr">
        <is>
          <t>VÄRMLANDS LÄN</t>
        </is>
      </c>
      <c r="E6621" t="inlineStr">
        <is>
          <t>SÄFFLE</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64673-2021</t>
        </is>
      </c>
      <c r="B6622" s="1" t="n">
        <v>44512</v>
      </c>
      <c r="C6622" s="1" t="n">
        <v>45353</v>
      </c>
      <c r="D6622" t="inlineStr">
        <is>
          <t>VÄRMLANDS LÄN</t>
        </is>
      </c>
      <c r="E6622" t="inlineStr">
        <is>
          <t>STORFORS</t>
        </is>
      </c>
      <c r="F6622" t="inlineStr">
        <is>
          <t>Bergvik skog väst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64803-2021</t>
        </is>
      </c>
      <c r="B6623" s="1" t="n">
        <v>44512</v>
      </c>
      <c r="C6623" s="1" t="n">
        <v>45353</v>
      </c>
      <c r="D6623" t="inlineStr">
        <is>
          <t>VÄRMLANDS LÄN</t>
        </is>
      </c>
      <c r="E6623" t="inlineStr">
        <is>
          <t>SÄFFLE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64814-2021</t>
        </is>
      </c>
      <c r="B6624" s="1" t="n">
        <v>44512</v>
      </c>
      <c r="C6624" s="1" t="n">
        <v>45353</v>
      </c>
      <c r="D6624" t="inlineStr">
        <is>
          <t>VÄRMLANDS LÄN</t>
        </is>
      </c>
      <c r="E6624" t="inlineStr">
        <is>
          <t>STORFORS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64664-2021</t>
        </is>
      </c>
      <c r="B6625" s="1" t="n">
        <v>44512</v>
      </c>
      <c r="C6625" s="1" t="n">
        <v>45353</v>
      </c>
      <c r="D6625" t="inlineStr">
        <is>
          <t>VÄRMLANDS LÄN</t>
        </is>
      </c>
      <c r="E6625" t="inlineStr">
        <is>
          <t>ARVIKA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64798-2021</t>
        </is>
      </c>
      <c r="B6626" s="1" t="n">
        <v>44512</v>
      </c>
      <c r="C6626" s="1" t="n">
        <v>45353</v>
      </c>
      <c r="D6626" t="inlineStr">
        <is>
          <t>VÄRMLANDS LÄN</t>
        </is>
      </c>
      <c r="E6626" t="inlineStr">
        <is>
          <t>SÄFFLE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64902-2021</t>
        </is>
      </c>
      <c r="B6627" s="1" t="n">
        <v>44512</v>
      </c>
      <c r="C6627" s="1" t="n">
        <v>45353</v>
      </c>
      <c r="D6627" t="inlineStr">
        <is>
          <t>VÄRMLANDS LÄN</t>
        </is>
      </c>
      <c r="E6627" t="inlineStr">
        <is>
          <t>TORSBY</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65013-2021</t>
        </is>
      </c>
      <c r="B6628" s="1" t="n">
        <v>44514</v>
      </c>
      <c r="C6628" s="1" t="n">
        <v>45353</v>
      </c>
      <c r="D6628" t="inlineStr">
        <is>
          <t>VÄRMLANDS LÄN</t>
        </is>
      </c>
      <c r="E6628" t="inlineStr">
        <is>
          <t>SUNNE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65102-2021</t>
        </is>
      </c>
      <c r="B6629" s="1" t="n">
        <v>44514</v>
      </c>
      <c r="C6629" s="1" t="n">
        <v>45353</v>
      </c>
      <c r="D6629" t="inlineStr">
        <is>
          <t>VÄRMLANDS LÄN</t>
        </is>
      </c>
      <c r="E6629" t="inlineStr">
        <is>
          <t>ARVIKA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65012-2021</t>
        </is>
      </c>
      <c r="B6630" s="1" t="n">
        <v>44515</v>
      </c>
      <c r="C6630" s="1" t="n">
        <v>45353</v>
      </c>
      <c r="D6630" t="inlineStr">
        <is>
          <t>VÄRMLANDS LÄN</t>
        </is>
      </c>
      <c r="E6630" t="inlineStr">
        <is>
          <t>SUNNE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65060-2021</t>
        </is>
      </c>
      <c r="B6631" s="1" t="n">
        <v>44515</v>
      </c>
      <c r="C6631" s="1" t="n">
        <v>45353</v>
      </c>
      <c r="D6631" t="inlineStr">
        <is>
          <t>VÄRMLANDS LÄN</t>
        </is>
      </c>
      <c r="E6631" t="inlineStr">
        <is>
          <t>EDA</t>
        </is>
      </c>
      <c r="F6631" t="inlineStr">
        <is>
          <t>Bergvik skog väst AB</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65174-2021</t>
        </is>
      </c>
      <c r="B6632" s="1" t="n">
        <v>44515</v>
      </c>
      <c r="C6632" s="1" t="n">
        <v>45353</v>
      </c>
      <c r="D6632" t="inlineStr">
        <is>
          <t>VÄRMLANDS LÄN</t>
        </is>
      </c>
      <c r="E6632" t="inlineStr">
        <is>
          <t>FILIPSTAD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65183-2021</t>
        </is>
      </c>
      <c r="B6633" s="1" t="n">
        <v>44515</v>
      </c>
      <c r="C6633" s="1" t="n">
        <v>45353</v>
      </c>
      <c r="D6633" t="inlineStr">
        <is>
          <t>VÄRMLANDS LÄN</t>
        </is>
      </c>
      <c r="E6633" t="inlineStr">
        <is>
          <t>FILIPSTAD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65208-2021</t>
        </is>
      </c>
      <c r="B6634" s="1" t="n">
        <v>44515</v>
      </c>
      <c r="C6634" s="1" t="n">
        <v>45353</v>
      </c>
      <c r="D6634" t="inlineStr">
        <is>
          <t>VÄRMLANDS LÄN</t>
        </is>
      </c>
      <c r="E6634" t="inlineStr">
        <is>
          <t>ARVIKA</t>
        </is>
      </c>
      <c r="F6634" t="inlineStr">
        <is>
          <t>Bergvik skog väst AB</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65271-2021</t>
        </is>
      </c>
      <c r="B6635" s="1" t="n">
        <v>44515</v>
      </c>
      <c r="C6635" s="1" t="n">
        <v>45353</v>
      </c>
      <c r="D6635" t="inlineStr">
        <is>
          <t>VÄRMLANDS LÄN</t>
        </is>
      </c>
      <c r="E6635" t="inlineStr">
        <is>
          <t>KIL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65074-2021</t>
        </is>
      </c>
      <c r="B6636" s="1" t="n">
        <v>44515</v>
      </c>
      <c r="C6636" s="1" t="n">
        <v>45353</v>
      </c>
      <c r="D6636" t="inlineStr">
        <is>
          <t>VÄRMLANDS LÄN</t>
        </is>
      </c>
      <c r="E6636" t="inlineStr">
        <is>
          <t>SUNNE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65167-2021</t>
        </is>
      </c>
      <c r="B6637" s="1" t="n">
        <v>44515</v>
      </c>
      <c r="C6637" s="1" t="n">
        <v>45353</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65015-2021</t>
        </is>
      </c>
      <c r="B6638" s="1" t="n">
        <v>44515</v>
      </c>
      <c r="C6638" s="1" t="n">
        <v>45353</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65182-2021</t>
        </is>
      </c>
      <c r="B6639" s="1" t="n">
        <v>44515</v>
      </c>
      <c r="C6639" s="1" t="n">
        <v>45353</v>
      </c>
      <c r="D6639" t="inlineStr">
        <is>
          <t>VÄRMLANDS LÄN</t>
        </is>
      </c>
      <c r="E6639" t="inlineStr">
        <is>
          <t>TORSBY</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65284-2021</t>
        </is>
      </c>
      <c r="B6640" s="1" t="n">
        <v>44515</v>
      </c>
      <c r="C6640" s="1" t="n">
        <v>45353</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65299-2021</t>
        </is>
      </c>
      <c r="B6641" s="1" t="n">
        <v>44515</v>
      </c>
      <c r="C6641" s="1" t="n">
        <v>45353</v>
      </c>
      <c r="D6641" t="inlineStr">
        <is>
          <t>VÄRMLANDS LÄN</t>
        </is>
      </c>
      <c r="E6641" t="inlineStr">
        <is>
          <t>HAGFORS</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65358-2021</t>
        </is>
      </c>
      <c r="B6642" s="1" t="n">
        <v>44515</v>
      </c>
      <c r="C6642" s="1" t="n">
        <v>45353</v>
      </c>
      <c r="D6642" t="inlineStr">
        <is>
          <t>VÄRMLANDS LÄN</t>
        </is>
      </c>
      <c r="E6642" t="inlineStr">
        <is>
          <t>ARVIKA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65273-2021</t>
        </is>
      </c>
      <c r="B6643" s="1" t="n">
        <v>44515</v>
      </c>
      <c r="C6643" s="1" t="n">
        <v>45353</v>
      </c>
      <c r="D6643" t="inlineStr">
        <is>
          <t>VÄRMLANDS LÄN</t>
        </is>
      </c>
      <c r="E6643" t="inlineStr">
        <is>
          <t>EDA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65295-2021</t>
        </is>
      </c>
      <c r="B6644" s="1" t="n">
        <v>44515</v>
      </c>
      <c r="C6644" s="1" t="n">
        <v>45353</v>
      </c>
      <c r="D6644" t="inlineStr">
        <is>
          <t>VÄRMLANDS LÄN</t>
        </is>
      </c>
      <c r="E6644" t="inlineStr">
        <is>
          <t>HAGFORS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65301-2021</t>
        </is>
      </c>
      <c r="B6645" s="1" t="n">
        <v>44515</v>
      </c>
      <c r="C6645" s="1" t="n">
        <v>45353</v>
      </c>
      <c r="D6645" t="inlineStr">
        <is>
          <t>VÄRMLANDS LÄN</t>
        </is>
      </c>
      <c r="E6645" t="inlineStr">
        <is>
          <t>TORSBY</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65354-2021</t>
        </is>
      </c>
      <c r="B6646" s="1" t="n">
        <v>44515</v>
      </c>
      <c r="C6646" s="1" t="n">
        <v>45353</v>
      </c>
      <c r="D6646" t="inlineStr">
        <is>
          <t>VÄRMLANDS LÄN</t>
        </is>
      </c>
      <c r="E6646" t="inlineStr">
        <is>
          <t>FILIPSTAD</t>
        </is>
      </c>
      <c r="F6646" t="inlineStr">
        <is>
          <t>Bergvik skog väst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65298-2021</t>
        </is>
      </c>
      <c r="B6647" s="1" t="n">
        <v>44515</v>
      </c>
      <c r="C6647" s="1" t="n">
        <v>45353</v>
      </c>
      <c r="D6647" t="inlineStr">
        <is>
          <t>VÄRMLANDS LÄN</t>
        </is>
      </c>
      <c r="E6647" t="inlineStr">
        <is>
          <t>FILIPSTAD</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65357-2021</t>
        </is>
      </c>
      <c r="B6648" s="1" t="n">
        <v>44515</v>
      </c>
      <c r="C6648" s="1" t="n">
        <v>45353</v>
      </c>
      <c r="D6648" t="inlineStr">
        <is>
          <t>VÄRMLANDS LÄN</t>
        </is>
      </c>
      <c r="E6648" t="inlineStr">
        <is>
          <t>ARVIKA</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65476-2021</t>
        </is>
      </c>
      <c r="B6649" s="1" t="n">
        <v>44516</v>
      </c>
      <c r="C6649" s="1" t="n">
        <v>45353</v>
      </c>
      <c r="D6649" t="inlineStr">
        <is>
          <t>VÄRMLANDS LÄN</t>
        </is>
      </c>
      <c r="E6649" t="inlineStr">
        <is>
          <t>ÅRJÄNG</t>
        </is>
      </c>
      <c r="F6649" t="inlineStr">
        <is>
          <t>Kyrkan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65537-2021</t>
        </is>
      </c>
      <c r="B6650" s="1" t="n">
        <v>44516</v>
      </c>
      <c r="C6650" s="1" t="n">
        <v>45353</v>
      </c>
      <c r="D6650" t="inlineStr">
        <is>
          <t>VÄRMLANDS LÄN</t>
        </is>
      </c>
      <c r="E6650" t="inlineStr">
        <is>
          <t>TORSBY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65551-2021</t>
        </is>
      </c>
      <c r="B6651" s="1" t="n">
        <v>44516</v>
      </c>
      <c r="C6651" s="1" t="n">
        <v>45353</v>
      </c>
      <c r="D6651" t="inlineStr">
        <is>
          <t>VÄRMLANDS LÄN</t>
        </is>
      </c>
      <c r="E6651" t="inlineStr">
        <is>
          <t>HAGFORS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65565-2021</t>
        </is>
      </c>
      <c r="B6652" s="1" t="n">
        <v>44516</v>
      </c>
      <c r="C6652" s="1" t="n">
        <v>45353</v>
      </c>
      <c r="D6652" t="inlineStr">
        <is>
          <t>VÄRMLANDS LÄN</t>
        </is>
      </c>
      <c r="E6652" t="inlineStr">
        <is>
          <t>HAGFORS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65556-2021</t>
        </is>
      </c>
      <c r="B6653" s="1" t="n">
        <v>44516</v>
      </c>
      <c r="C6653" s="1" t="n">
        <v>45353</v>
      </c>
      <c r="D6653" t="inlineStr">
        <is>
          <t>VÄRMLANDS LÄN</t>
        </is>
      </c>
      <c r="E6653" t="inlineStr">
        <is>
          <t>HAGFORS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65630-2021</t>
        </is>
      </c>
      <c r="B6654" s="1" t="n">
        <v>44516</v>
      </c>
      <c r="C6654" s="1" t="n">
        <v>45353</v>
      </c>
      <c r="D6654" t="inlineStr">
        <is>
          <t>VÄRMLANDS LÄN</t>
        </is>
      </c>
      <c r="E6654" t="inlineStr">
        <is>
          <t>KARLSTAD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65754-2021</t>
        </is>
      </c>
      <c r="B6655" s="1" t="n">
        <v>44516</v>
      </c>
      <c r="C6655" s="1" t="n">
        <v>45353</v>
      </c>
      <c r="D6655" t="inlineStr">
        <is>
          <t>VÄRMLANDS LÄN</t>
        </is>
      </c>
      <c r="E6655" t="inlineStr">
        <is>
          <t>MUNKFORS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65625-2021</t>
        </is>
      </c>
      <c r="B6656" s="1" t="n">
        <v>44516</v>
      </c>
      <c r="C6656" s="1" t="n">
        <v>45353</v>
      </c>
      <c r="D6656" t="inlineStr">
        <is>
          <t>VÄRMLANDS LÄN</t>
        </is>
      </c>
      <c r="E6656" t="inlineStr">
        <is>
          <t>KARLSTAD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65679-2021</t>
        </is>
      </c>
      <c r="B6657" s="1" t="n">
        <v>44516</v>
      </c>
      <c r="C6657" s="1" t="n">
        <v>45353</v>
      </c>
      <c r="D6657" t="inlineStr">
        <is>
          <t>VÄRMLANDS LÄN</t>
        </is>
      </c>
      <c r="E6657" t="inlineStr">
        <is>
          <t>GRUMS</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65713-2021</t>
        </is>
      </c>
      <c r="B6658" s="1" t="n">
        <v>44516</v>
      </c>
      <c r="C6658" s="1" t="n">
        <v>45353</v>
      </c>
      <c r="D6658" t="inlineStr">
        <is>
          <t>VÄRMLANDS LÄN</t>
        </is>
      </c>
      <c r="E6658" t="inlineStr">
        <is>
          <t>TORSBY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65705-2021</t>
        </is>
      </c>
      <c r="B6659" s="1" t="n">
        <v>44516</v>
      </c>
      <c r="C6659" s="1" t="n">
        <v>45353</v>
      </c>
      <c r="D6659" t="inlineStr">
        <is>
          <t>VÄRMLANDS LÄN</t>
        </is>
      </c>
      <c r="E6659" t="inlineStr">
        <is>
          <t>TORSBY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65837-2021</t>
        </is>
      </c>
      <c r="B6660" s="1" t="n">
        <v>44517</v>
      </c>
      <c r="C6660" s="1" t="n">
        <v>45353</v>
      </c>
      <c r="D6660" t="inlineStr">
        <is>
          <t>VÄRMLANDS LÄN</t>
        </is>
      </c>
      <c r="E6660" t="inlineStr">
        <is>
          <t>ÅRJÄNG</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65854-2021</t>
        </is>
      </c>
      <c r="B6661" s="1" t="n">
        <v>44517</v>
      </c>
      <c r="C6661" s="1" t="n">
        <v>45353</v>
      </c>
      <c r="D6661" t="inlineStr">
        <is>
          <t>VÄRMLANDS LÄN</t>
        </is>
      </c>
      <c r="E6661" t="inlineStr">
        <is>
          <t>ÅRJÄNG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65844-2021</t>
        </is>
      </c>
      <c r="B6662" s="1" t="n">
        <v>44517</v>
      </c>
      <c r="C6662" s="1" t="n">
        <v>45353</v>
      </c>
      <c r="D6662" t="inlineStr">
        <is>
          <t>VÄRMLANDS LÄN</t>
        </is>
      </c>
      <c r="E6662" t="inlineStr">
        <is>
          <t>ÅRJÄNG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65900-2021</t>
        </is>
      </c>
      <c r="B6663" s="1" t="n">
        <v>44517</v>
      </c>
      <c r="C6663" s="1" t="n">
        <v>45353</v>
      </c>
      <c r="D6663" t="inlineStr">
        <is>
          <t>VÄRMLANDS LÄN</t>
        </is>
      </c>
      <c r="E6663" t="inlineStr">
        <is>
          <t>KIL</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65915-2021</t>
        </is>
      </c>
      <c r="B6664" s="1" t="n">
        <v>44517</v>
      </c>
      <c r="C6664" s="1" t="n">
        <v>45353</v>
      </c>
      <c r="D6664" t="inlineStr">
        <is>
          <t>VÄRMLANDS LÄN</t>
        </is>
      </c>
      <c r="E6664" t="inlineStr">
        <is>
          <t>FORSHAGA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65849-2021</t>
        </is>
      </c>
      <c r="B6665" s="1" t="n">
        <v>44517</v>
      </c>
      <c r="C6665" s="1" t="n">
        <v>45353</v>
      </c>
      <c r="D6665" t="inlineStr">
        <is>
          <t>VÄRMLANDS LÄN</t>
        </is>
      </c>
      <c r="E6665" t="inlineStr">
        <is>
          <t>ÅRJÄNG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65891-2021</t>
        </is>
      </c>
      <c r="B6666" s="1" t="n">
        <v>44517</v>
      </c>
      <c r="C6666" s="1" t="n">
        <v>45353</v>
      </c>
      <c r="D6666" t="inlineStr">
        <is>
          <t>VÄRMLANDS LÄN</t>
        </is>
      </c>
      <c r="E6666" t="inlineStr">
        <is>
          <t>KIL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65910-2021</t>
        </is>
      </c>
      <c r="B6667" s="1" t="n">
        <v>44517</v>
      </c>
      <c r="C6667" s="1" t="n">
        <v>45353</v>
      </c>
      <c r="D6667" t="inlineStr">
        <is>
          <t>VÄRMLANDS LÄN</t>
        </is>
      </c>
      <c r="E6667" t="inlineStr">
        <is>
          <t>SUNNE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65862-2021</t>
        </is>
      </c>
      <c r="B6668" s="1" t="n">
        <v>44517</v>
      </c>
      <c r="C6668" s="1" t="n">
        <v>45353</v>
      </c>
      <c r="D6668" t="inlineStr">
        <is>
          <t>VÄRMLANDS LÄN</t>
        </is>
      </c>
      <c r="E6668" t="inlineStr">
        <is>
          <t>ÅRJÄNG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65904-2021</t>
        </is>
      </c>
      <c r="B6669" s="1" t="n">
        <v>44517</v>
      </c>
      <c r="C6669" s="1" t="n">
        <v>45353</v>
      </c>
      <c r="D6669" t="inlineStr">
        <is>
          <t>VÄRMLANDS LÄN</t>
        </is>
      </c>
      <c r="E6669" t="inlineStr">
        <is>
          <t>KIL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65959-2021</t>
        </is>
      </c>
      <c r="B6670" s="1" t="n">
        <v>44517</v>
      </c>
      <c r="C6670" s="1" t="n">
        <v>45353</v>
      </c>
      <c r="D6670" t="inlineStr">
        <is>
          <t>VÄRMLANDS LÄN</t>
        </is>
      </c>
      <c r="E6670" t="inlineStr">
        <is>
          <t>TORSBY</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65950-2021</t>
        </is>
      </c>
      <c r="B6671" s="1" t="n">
        <v>44517</v>
      </c>
      <c r="C6671" s="1" t="n">
        <v>45353</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65979-2021</t>
        </is>
      </c>
      <c r="B6672" s="1" t="n">
        <v>44517</v>
      </c>
      <c r="C6672" s="1" t="n">
        <v>45353</v>
      </c>
      <c r="D6672" t="inlineStr">
        <is>
          <t>VÄRMLANDS LÄN</t>
        </is>
      </c>
      <c r="E6672" t="inlineStr">
        <is>
          <t>ÅRJÄNG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65998-2021</t>
        </is>
      </c>
      <c r="B6673" s="1" t="n">
        <v>44517</v>
      </c>
      <c r="C6673" s="1" t="n">
        <v>45353</v>
      </c>
      <c r="D6673" t="inlineStr">
        <is>
          <t>VÄRMLANDS LÄN</t>
        </is>
      </c>
      <c r="E6673" t="inlineStr">
        <is>
          <t>TORSBY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66035-2021</t>
        </is>
      </c>
      <c r="B6674" s="1" t="n">
        <v>44517</v>
      </c>
      <c r="C6674" s="1" t="n">
        <v>45353</v>
      </c>
      <c r="D6674" t="inlineStr">
        <is>
          <t>VÄRMLANDS LÄN</t>
        </is>
      </c>
      <c r="E6674" t="inlineStr">
        <is>
          <t>FORSHAGA</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66053-2021</t>
        </is>
      </c>
      <c r="B6675" s="1" t="n">
        <v>44517</v>
      </c>
      <c r="C6675" s="1" t="n">
        <v>45353</v>
      </c>
      <c r="D6675" t="inlineStr">
        <is>
          <t>VÄRMLANDS LÄN</t>
        </is>
      </c>
      <c r="E6675" t="inlineStr">
        <is>
          <t>GRUMS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66056-2021</t>
        </is>
      </c>
      <c r="B6676" s="1" t="n">
        <v>44517</v>
      </c>
      <c r="C6676" s="1" t="n">
        <v>45353</v>
      </c>
      <c r="D6676" t="inlineStr">
        <is>
          <t>VÄRMLANDS LÄN</t>
        </is>
      </c>
      <c r="E6676" t="inlineStr">
        <is>
          <t>GRUMS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66103-2021</t>
        </is>
      </c>
      <c r="B6677" s="1" t="n">
        <v>44517</v>
      </c>
      <c r="C6677" s="1" t="n">
        <v>45353</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66090-2021</t>
        </is>
      </c>
      <c r="B6678" s="1" t="n">
        <v>44517</v>
      </c>
      <c r="C6678" s="1" t="n">
        <v>45353</v>
      </c>
      <c r="D6678" t="inlineStr">
        <is>
          <t>VÄRMLANDS LÄN</t>
        </is>
      </c>
      <c r="E6678" t="inlineStr">
        <is>
          <t>SUNNE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66019-2021</t>
        </is>
      </c>
      <c r="B6679" s="1" t="n">
        <v>44517</v>
      </c>
      <c r="C6679" s="1" t="n">
        <v>45353</v>
      </c>
      <c r="D6679" t="inlineStr">
        <is>
          <t>VÄRMLANDS LÄN</t>
        </is>
      </c>
      <c r="E6679" t="inlineStr">
        <is>
          <t>HAGFORS</t>
        </is>
      </c>
      <c r="F6679" t="inlineStr">
        <is>
          <t>Bergvik skog väst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66039-2021</t>
        </is>
      </c>
      <c r="B6680" s="1" t="n">
        <v>44517</v>
      </c>
      <c r="C6680" s="1" t="n">
        <v>45353</v>
      </c>
      <c r="D6680" t="inlineStr">
        <is>
          <t>VÄRMLANDS LÄN</t>
        </is>
      </c>
      <c r="E6680" t="inlineStr">
        <is>
          <t>EDA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66111-2021</t>
        </is>
      </c>
      <c r="B6681" s="1" t="n">
        <v>44517</v>
      </c>
      <c r="C6681" s="1" t="n">
        <v>45353</v>
      </c>
      <c r="D6681" t="inlineStr">
        <is>
          <t>VÄRMLANDS LÄN</t>
        </is>
      </c>
      <c r="E6681" t="inlineStr">
        <is>
          <t>FORSHAGA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66034-2021</t>
        </is>
      </c>
      <c r="B6682" s="1" t="n">
        <v>44517</v>
      </c>
      <c r="C6682" s="1" t="n">
        <v>45353</v>
      </c>
      <c r="D6682" t="inlineStr">
        <is>
          <t>VÄRMLANDS LÄN</t>
        </is>
      </c>
      <c r="E6682" t="inlineStr">
        <is>
          <t>EDA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66133-2021</t>
        </is>
      </c>
      <c r="B6683" s="1" t="n">
        <v>44517</v>
      </c>
      <c r="C6683" s="1" t="n">
        <v>45353</v>
      </c>
      <c r="D6683" t="inlineStr">
        <is>
          <t>VÄRMLANDS LÄN</t>
        </is>
      </c>
      <c r="E6683" t="inlineStr">
        <is>
          <t>TORSBY</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66226-2021</t>
        </is>
      </c>
      <c r="B6684" s="1" t="n">
        <v>44518</v>
      </c>
      <c r="C6684" s="1" t="n">
        <v>45353</v>
      </c>
      <c r="D6684" t="inlineStr">
        <is>
          <t>VÄRMLANDS LÄN</t>
        </is>
      </c>
      <c r="E6684" t="inlineStr">
        <is>
          <t>ARVIKA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66222-2021</t>
        </is>
      </c>
      <c r="B6685" s="1" t="n">
        <v>44518</v>
      </c>
      <c r="C6685" s="1" t="n">
        <v>45353</v>
      </c>
      <c r="D6685" t="inlineStr">
        <is>
          <t>VÄRMLANDS LÄN</t>
        </is>
      </c>
      <c r="E6685" t="inlineStr">
        <is>
          <t>EDA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66327-2021</t>
        </is>
      </c>
      <c r="B6686" s="1" t="n">
        <v>44518</v>
      </c>
      <c r="C6686" s="1" t="n">
        <v>45353</v>
      </c>
      <c r="D6686" t="inlineStr">
        <is>
          <t>VÄRMLANDS LÄN</t>
        </is>
      </c>
      <c r="E6686" t="inlineStr">
        <is>
          <t>KARLSTAD</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66322-2021</t>
        </is>
      </c>
      <c r="B6687" s="1" t="n">
        <v>44518</v>
      </c>
      <c r="C6687" s="1" t="n">
        <v>45353</v>
      </c>
      <c r="D6687" t="inlineStr">
        <is>
          <t>VÄRMLANDS LÄN</t>
        </is>
      </c>
      <c r="E6687" t="inlineStr">
        <is>
          <t>KARLSTAD</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66323-2021</t>
        </is>
      </c>
      <c r="B6688" s="1" t="n">
        <v>44518</v>
      </c>
      <c r="C6688" s="1" t="n">
        <v>45353</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66329-2021</t>
        </is>
      </c>
      <c r="B6689" s="1" t="n">
        <v>44518</v>
      </c>
      <c r="C6689" s="1" t="n">
        <v>45353</v>
      </c>
      <c r="D6689" t="inlineStr">
        <is>
          <t>VÄRMLANDS LÄN</t>
        </is>
      </c>
      <c r="E6689" t="inlineStr">
        <is>
          <t>KARLSTAD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66385-2021</t>
        </is>
      </c>
      <c r="B6690" s="1" t="n">
        <v>44518</v>
      </c>
      <c r="C6690" s="1" t="n">
        <v>45353</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66442-2021</t>
        </is>
      </c>
      <c r="B6691" s="1" t="n">
        <v>44518</v>
      </c>
      <c r="C6691" s="1" t="n">
        <v>45353</v>
      </c>
      <c r="D6691" t="inlineStr">
        <is>
          <t>VÄRMLANDS LÄN</t>
        </is>
      </c>
      <c r="E6691" t="inlineStr">
        <is>
          <t>KRISTINEHAMN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66438-2021</t>
        </is>
      </c>
      <c r="B6692" s="1" t="n">
        <v>44518</v>
      </c>
      <c r="C6692" s="1" t="n">
        <v>45353</v>
      </c>
      <c r="D6692" t="inlineStr">
        <is>
          <t>VÄRMLANDS LÄN</t>
        </is>
      </c>
      <c r="E6692" t="inlineStr">
        <is>
          <t>KRISTINEHAMN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66376-2021</t>
        </is>
      </c>
      <c r="B6693" s="1" t="n">
        <v>44518</v>
      </c>
      <c r="C6693" s="1" t="n">
        <v>45353</v>
      </c>
      <c r="D6693" t="inlineStr">
        <is>
          <t>VÄRMLANDS LÄN</t>
        </is>
      </c>
      <c r="E6693" t="inlineStr">
        <is>
          <t>FILIPSTAD</t>
        </is>
      </c>
      <c r="F6693" t="inlineStr">
        <is>
          <t>Bergvik skog väst AB</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66439-2021</t>
        </is>
      </c>
      <c r="B6694" s="1" t="n">
        <v>44518</v>
      </c>
      <c r="C6694" s="1" t="n">
        <v>45353</v>
      </c>
      <c r="D6694" t="inlineStr">
        <is>
          <t>VÄRMLANDS LÄN</t>
        </is>
      </c>
      <c r="E6694" t="inlineStr">
        <is>
          <t>KRISTINEHAMN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66553-2021</t>
        </is>
      </c>
      <c r="B6695" s="1" t="n">
        <v>44519</v>
      </c>
      <c r="C6695" s="1" t="n">
        <v>45353</v>
      </c>
      <c r="D6695" t="inlineStr">
        <is>
          <t>VÄRMLANDS LÄN</t>
        </is>
      </c>
      <c r="E6695" t="inlineStr">
        <is>
          <t>ARVIKA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66635-2021</t>
        </is>
      </c>
      <c r="B6696" s="1" t="n">
        <v>44519</v>
      </c>
      <c r="C6696" s="1" t="n">
        <v>45353</v>
      </c>
      <c r="D6696" t="inlineStr">
        <is>
          <t>VÄRMLANDS LÄN</t>
        </is>
      </c>
      <c r="E6696" t="inlineStr">
        <is>
          <t>KARLSTAD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66642-2021</t>
        </is>
      </c>
      <c r="B6697" s="1" t="n">
        <v>44519</v>
      </c>
      <c r="C6697" s="1" t="n">
        <v>45353</v>
      </c>
      <c r="D6697" t="inlineStr">
        <is>
          <t>VÄRMLANDS LÄN</t>
        </is>
      </c>
      <c r="E6697" t="inlineStr">
        <is>
          <t>KARLSTAD</t>
        </is>
      </c>
      <c r="G6697" t="n">
        <v>18.2</v>
      </c>
      <c r="H6697" t="n">
        <v>0</v>
      </c>
      <c r="I6697" t="n">
        <v>0</v>
      </c>
      <c r="J6697" t="n">
        <v>0</v>
      </c>
      <c r="K6697" t="n">
        <v>0</v>
      </c>
      <c r="L6697" t="n">
        <v>0</v>
      </c>
      <c r="M6697" t="n">
        <v>0</v>
      </c>
      <c r="N6697" t="n">
        <v>0</v>
      </c>
      <c r="O6697" t="n">
        <v>0</v>
      </c>
      <c r="P6697" t="n">
        <v>0</v>
      </c>
      <c r="Q6697" t="n">
        <v>0</v>
      </c>
      <c r="R6697" s="2" t="inlineStr"/>
    </row>
    <row r="6698" ht="15" customHeight="1">
      <c r="A6698" t="inlineStr">
        <is>
          <t>A 66599-2021</t>
        </is>
      </c>
      <c r="B6698" s="1" t="n">
        <v>44519</v>
      </c>
      <c r="C6698" s="1" t="n">
        <v>45353</v>
      </c>
      <c r="D6698" t="inlineStr">
        <is>
          <t>VÄRMLANDS LÄN</t>
        </is>
      </c>
      <c r="E6698" t="inlineStr">
        <is>
          <t>ÅRJÄNG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66667-2021</t>
        </is>
      </c>
      <c r="B6699" s="1" t="n">
        <v>44519</v>
      </c>
      <c r="C6699" s="1" t="n">
        <v>45353</v>
      </c>
      <c r="D6699" t="inlineStr">
        <is>
          <t>VÄRMLANDS LÄN</t>
        </is>
      </c>
      <c r="E6699" t="inlineStr">
        <is>
          <t>ARVIKA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66919-2021</t>
        </is>
      </c>
      <c r="B6700" s="1" t="n">
        <v>44519</v>
      </c>
      <c r="C6700" s="1" t="n">
        <v>45353</v>
      </c>
      <c r="D6700" t="inlineStr">
        <is>
          <t>VÄRMLANDS LÄN</t>
        </is>
      </c>
      <c r="E6700" t="inlineStr">
        <is>
          <t>GRUMS</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66898-2021</t>
        </is>
      </c>
      <c r="B6701" s="1" t="n">
        <v>44522</v>
      </c>
      <c r="C6701" s="1" t="n">
        <v>45353</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66883-2021</t>
        </is>
      </c>
      <c r="B6702" s="1" t="n">
        <v>44522</v>
      </c>
      <c r="C6702" s="1" t="n">
        <v>45353</v>
      </c>
      <c r="D6702" t="inlineStr">
        <is>
          <t>VÄRMLANDS LÄN</t>
        </is>
      </c>
      <c r="E6702" t="inlineStr">
        <is>
          <t>ÅRJÄNG</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66903-2021</t>
        </is>
      </c>
      <c r="B6703" s="1" t="n">
        <v>44522</v>
      </c>
      <c r="C6703" s="1" t="n">
        <v>45353</v>
      </c>
      <c r="D6703" t="inlineStr">
        <is>
          <t>VÄRMLANDS LÄN</t>
        </is>
      </c>
      <c r="E6703" t="inlineStr">
        <is>
          <t>ÅRJÄNG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66846-2021</t>
        </is>
      </c>
      <c r="B6704" s="1" t="n">
        <v>44522</v>
      </c>
      <c r="C6704" s="1" t="n">
        <v>45353</v>
      </c>
      <c r="D6704" t="inlineStr">
        <is>
          <t>VÄRMLANDS LÄN</t>
        </is>
      </c>
      <c r="E6704" t="inlineStr">
        <is>
          <t>ÅRJÄNG</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66892-2021</t>
        </is>
      </c>
      <c r="B6705" s="1" t="n">
        <v>44522</v>
      </c>
      <c r="C6705" s="1" t="n">
        <v>45353</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66809-2021</t>
        </is>
      </c>
      <c r="B6706" s="1" t="n">
        <v>44522</v>
      </c>
      <c r="C6706" s="1" t="n">
        <v>45353</v>
      </c>
      <c r="D6706" t="inlineStr">
        <is>
          <t>VÄRMLANDS LÄN</t>
        </is>
      </c>
      <c r="E6706" t="inlineStr">
        <is>
          <t>KIL</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66910-2021</t>
        </is>
      </c>
      <c r="B6707" s="1" t="n">
        <v>44522</v>
      </c>
      <c r="C6707" s="1" t="n">
        <v>45353</v>
      </c>
      <c r="D6707" t="inlineStr">
        <is>
          <t>VÄRMLANDS LÄN</t>
        </is>
      </c>
      <c r="E6707" t="inlineStr">
        <is>
          <t>ÅRJÄNG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66978-2021</t>
        </is>
      </c>
      <c r="B6708" s="1" t="n">
        <v>44522</v>
      </c>
      <c r="C6708" s="1" t="n">
        <v>45353</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67006-2021</t>
        </is>
      </c>
      <c r="B6709" s="1" t="n">
        <v>44522</v>
      </c>
      <c r="C6709" s="1" t="n">
        <v>45353</v>
      </c>
      <c r="D6709" t="inlineStr">
        <is>
          <t>VÄRMLANDS LÄN</t>
        </is>
      </c>
      <c r="E6709" t="inlineStr">
        <is>
          <t>TORSBY</t>
        </is>
      </c>
      <c r="F6709" t="inlineStr">
        <is>
          <t>Kommuner</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67015-2021</t>
        </is>
      </c>
      <c r="B6710" s="1" t="n">
        <v>44522</v>
      </c>
      <c r="C6710" s="1" t="n">
        <v>45353</v>
      </c>
      <c r="D6710" t="inlineStr">
        <is>
          <t>VÄRMLANDS LÄN</t>
        </is>
      </c>
      <c r="E6710" t="inlineStr">
        <is>
          <t>ÅRJÄNG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67023-2021</t>
        </is>
      </c>
      <c r="B6711" s="1" t="n">
        <v>44522</v>
      </c>
      <c r="C6711" s="1" t="n">
        <v>45353</v>
      </c>
      <c r="D6711" t="inlineStr">
        <is>
          <t>VÄRMLANDS LÄN</t>
        </is>
      </c>
      <c r="E6711" t="inlineStr">
        <is>
          <t>ÅRJÄNG</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67170-2021</t>
        </is>
      </c>
      <c r="B6712" s="1" t="n">
        <v>44523</v>
      </c>
      <c r="C6712" s="1" t="n">
        <v>45353</v>
      </c>
      <c r="D6712" t="inlineStr">
        <is>
          <t>VÄRMLANDS LÄN</t>
        </is>
      </c>
      <c r="E6712" t="inlineStr">
        <is>
          <t>SÄFFLE</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67176-2021</t>
        </is>
      </c>
      <c r="B6713" s="1" t="n">
        <v>44523</v>
      </c>
      <c r="C6713" s="1" t="n">
        <v>45353</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67175-2021</t>
        </is>
      </c>
      <c r="B6714" s="1" t="n">
        <v>44523</v>
      </c>
      <c r="C6714" s="1" t="n">
        <v>45353</v>
      </c>
      <c r="D6714" t="inlineStr">
        <is>
          <t>VÄRMLANDS LÄN</t>
        </is>
      </c>
      <c r="E6714" t="inlineStr">
        <is>
          <t>SÄFFLE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67196-2021</t>
        </is>
      </c>
      <c r="B6715" s="1" t="n">
        <v>44523</v>
      </c>
      <c r="C6715" s="1" t="n">
        <v>45353</v>
      </c>
      <c r="D6715" t="inlineStr">
        <is>
          <t>VÄRMLANDS LÄN</t>
        </is>
      </c>
      <c r="E6715" t="inlineStr">
        <is>
          <t>ARVIKA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67147-2021</t>
        </is>
      </c>
      <c r="B6716" s="1" t="n">
        <v>44523</v>
      </c>
      <c r="C6716" s="1" t="n">
        <v>45353</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67164-2021</t>
        </is>
      </c>
      <c r="B6717" s="1" t="n">
        <v>44523</v>
      </c>
      <c r="C6717" s="1" t="n">
        <v>45353</v>
      </c>
      <c r="D6717" t="inlineStr">
        <is>
          <t>VÄRMLANDS LÄN</t>
        </is>
      </c>
      <c r="E6717" t="inlineStr">
        <is>
          <t>EDA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67174-2021</t>
        </is>
      </c>
      <c r="B6718" s="1" t="n">
        <v>44523</v>
      </c>
      <c r="C6718" s="1" t="n">
        <v>45353</v>
      </c>
      <c r="D6718" t="inlineStr">
        <is>
          <t>VÄRMLANDS LÄN</t>
        </is>
      </c>
      <c r="E6718" t="inlineStr">
        <is>
          <t>SÄFFLE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67193-2021</t>
        </is>
      </c>
      <c r="B6719" s="1" t="n">
        <v>44523</v>
      </c>
      <c r="C6719" s="1" t="n">
        <v>45353</v>
      </c>
      <c r="D6719" t="inlineStr">
        <is>
          <t>VÄRMLANDS LÄN</t>
        </is>
      </c>
      <c r="E6719" t="inlineStr">
        <is>
          <t>SUNNE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67203-2021</t>
        </is>
      </c>
      <c r="B6720" s="1" t="n">
        <v>44523</v>
      </c>
      <c r="C6720" s="1" t="n">
        <v>45353</v>
      </c>
      <c r="D6720" t="inlineStr">
        <is>
          <t>VÄRMLANDS LÄN</t>
        </is>
      </c>
      <c r="E6720" t="inlineStr">
        <is>
          <t>SÄFFLE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67264-2021</t>
        </is>
      </c>
      <c r="B6721" s="1" t="n">
        <v>44523</v>
      </c>
      <c r="C6721" s="1" t="n">
        <v>45353</v>
      </c>
      <c r="D6721" t="inlineStr">
        <is>
          <t>VÄRMLANDS LÄN</t>
        </is>
      </c>
      <c r="E6721" t="inlineStr">
        <is>
          <t>EDA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67172-2021</t>
        </is>
      </c>
      <c r="B6722" s="1" t="n">
        <v>44523</v>
      </c>
      <c r="C6722" s="1" t="n">
        <v>45353</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67179-2021</t>
        </is>
      </c>
      <c r="B6723" s="1" t="n">
        <v>44523</v>
      </c>
      <c r="C6723" s="1" t="n">
        <v>45353</v>
      </c>
      <c r="D6723" t="inlineStr">
        <is>
          <t>VÄRMLANDS LÄN</t>
        </is>
      </c>
      <c r="E6723" t="inlineStr">
        <is>
          <t>FORSHAGA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67198-2021</t>
        </is>
      </c>
      <c r="B6724" s="1" t="n">
        <v>44523</v>
      </c>
      <c r="C6724" s="1" t="n">
        <v>45353</v>
      </c>
      <c r="D6724" t="inlineStr">
        <is>
          <t>VÄRMLANDS LÄN</t>
        </is>
      </c>
      <c r="E6724" t="inlineStr">
        <is>
          <t>FORSHAGA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67286-2021</t>
        </is>
      </c>
      <c r="B6725" s="1" t="n">
        <v>44523</v>
      </c>
      <c r="C6725" s="1" t="n">
        <v>45353</v>
      </c>
      <c r="D6725" t="inlineStr">
        <is>
          <t>VÄRMLANDS LÄN</t>
        </is>
      </c>
      <c r="E6725" t="inlineStr">
        <is>
          <t>SUNNE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67270-2021</t>
        </is>
      </c>
      <c r="B6726" s="1" t="n">
        <v>44523</v>
      </c>
      <c r="C6726" s="1" t="n">
        <v>45353</v>
      </c>
      <c r="D6726" t="inlineStr">
        <is>
          <t>VÄRMLANDS LÄN</t>
        </is>
      </c>
      <c r="E6726" t="inlineStr">
        <is>
          <t>EDA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67321-2021</t>
        </is>
      </c>
      <c r="B6727" s="1" t="n">
        <v>44523</v>
      </c>
      <c r="C6727" s="1" t="n">
        <v>45353</v>
      </c>
      <c r="D6727" t="inlineStr">
        <is>
          <t>VÄRMLANDS LÄN</t>
        </is>
      </c>
      <c r="E6727" t="inlineStr">
        <is>
          <t>FORSHAGA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67567-2021</t>
        </is>
      </c>
      <c r="B6728" s="1" t="n">
        <v>44524</v>
      </c>
      <c r="C6728" s="1" t="n">
        <v>45353</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67457-2021</t>
        </is>
      </c>
      <c r="B6729" s="1" t="n">
        <v>44524</v>
      </c>
      <c r="C6729" s="1" t="n">
        <v>45353</v>
      </c>
      <c r="D6729" t="inlineStr">
        <is>
          <t>VÄRMLANDS LÄN</t>
        </is>
      </c>
      <c r="E6729" t="inlineStr">
        <is>
          <t>TORSBY</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67561-2021</t>
        </is>
      </c>
      <c r="B6730" s="1" t="n">
        <v>44524</v>
      </c>
      <c r="C6730" s="1" t="n">
        <v>45353</v>
      </c>
      <c r="D6730" t="inlineStr">
        <is>
          <t>VÄRMLANDS LÄN</t>
        </is>
      </c>
      <c r="E6730" t="inlineStr">
        <is>
          <t>SÄFFLE</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67445-2021</t>
        </is>
      </c>
      <c r="B6731" s="1" t="n">
        <v>44524</v>
      </c>
      <c r="C6731" s="1" t="n">
        <v>45353</v>
      </c>
      <c r="D6731" t="inlineStr">
        <is>
          <t>VÄRMLANDS LÄN</t>
        </is>
      </c>
      <c r="E6731" t="inlineStr">
        <is>
          <t>FILIPSTAD</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67633-2021</t>
        </is>
      </c>
      <c r="B6732" s="1" t="n">
        <v>44524</v>
      </c>
      <c r="C6732" s="1" t="n">
        <v>45353</v>
      </c>
      <c r="D6732" t="inlineStr">
        <is>
          <t>VÄRMLANDS LÄN</t>
        </is>
      </c>
      <c r="E6732" t="inlineStr">
        <is>
          <t>FORSHAGA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67654-2021</t>
        </is>
      </c>
      <c r="B6733" s="1" t="n">
        <v>44524</v>
      </c>
      <c r="C6733" s="1" t="n">
        <v>45353</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67617-2021</t>
        </is>
      </c>
      <c r="B6734" s="1" t="n">
        <v>44524</v>
      </c>
      <c r="C6734" s="1" t="n">
        <v>45353</v>
      </c>
      <c r="D6734" t="inlineStr">
        <is>
          <t>VÄRMLANDS LÄN</t>
        </is>
      </c>
      <c r="E6734" t="inlineStr">
        <is>
          <t>FORSHAGA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67770-2021</t>
        </is>
      </c>
      <c r="B6735" s="1" t="n">
        <v>44524</v>
      </c>
      <c r="C6735" s="1" t="n">
        <v>45353</v>
      </c>
      <c r="D6735" t="inlineStr">
        <is>
          <t>VÄRMLANDS LÄN</t>
        </is>
      </c>
      <c r="E6735" t="inlineStr">
        <is>
          <t>FORSHAGA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67734-2021</t>
        </is>
      </c>
      <c r="B6736" s="1" t="n">
        <v>44525</v>
      </c>
      <c r="C6736" s="1" t="n">
        <v>45353</v>
      </c>
      <c r="D6736" t="inlineStr">
        <is>
          <t>VÄRMLANDS LÄN</t>
        </is>
      </c>
      <c r="E6736" t="inlineStr">
        <is>
          <t>FILIPSTAD</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67811-2021</t>
        </is>
      </c>
      <c r="B6737" s="1" t="n">
        <v>44525</v>
      </c>
      <c r="C6737" s="1" t="n">
        <v>45353</v>
      </c>
      <c r="D6737" t="inlineStr">
        <is>
          <t>VÄRMLANDS LÄN</t>
        </is>
      </c>
      <c r="E6737" t="inlineStr">
        <is>
          <t>ARVIKA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67818-2021</t>
        </is>
      </c>
      <c r="B6738" s="1" t="n">
        <v>44525</v>
      </c>
      <c r="C6738" s="1" t="n">
        <v>45353</v>
      </c>
      <c r="D6738" t="inlineStr">
        <is>
          <t>VÄRMLANDS LÄN</t>
        </is>
      </c>
      <c r="E6738" t="inlineStr">
        <is>
          <t>SUNNE</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67933-2021</t>
        </is>
      </c>
      <c r="B6739" s="1" t="n">
        <v>44525</v>
      </c>
      <c r="C6739" s="1" t="n">
        <v>45353</v>
      </c>
      <c r="D6739" t="inlineStr">
        <is>
          <t>VÄRMLANDS LÄN</t>
        </is>
      </c>
      <c r="E6739" t="inlineStr">
        <is>
          <t>TORSBY</t>
        </is>
      </c>
      <c r="F6739" t="inlineStr">
        <is>
          <t>Bergvik skog väst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68002-2021</t>
        </is>
      </c>
      <c r="B6740" s="1" t="n">
        <v>44525</v>
      </c>
      <c r="C6740" s="1" t="n">
        <v>45353</v>
      </c>
      <c r="D6740" t="inlineStr">
        <is>
          <t>VÄRMLANDS LÄN</t>
        </is>
      </c>
      <c r="E6740" t="inlineStr">
        <is>
          <t>SUNNE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67913-2021</t>
        </is>
      </c>
      <c r="B6741" s="1" t="n">
        <v>44525</v>
      </c>
      <c r="C6741" s="1" t="n">
        <v>45353</v>
      </c>
      <c r="D6741" t="inlineStr">
        <is>
          <t>VÄRMLANDS LÄN</t>
        </is>
      </c>
      <c r="E6741" t="inlineStr">
        <is>
          <t>TORSBY</t>
        </is>
      </c>
      <c r="F6741" t="inlineStr">
        <is>
          <t>Bergvik skog väst AB</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68011-2021</t>
        </is>
      </c>
      <c r="B6742" s="1" t="n">
        <v>44525</v>
      </c>
      <c r="C6742" s="1" t="n">
        <v>45353</v>
      </c>
      <c r="D6742" t="inlineStr">
        <is>
          <t>VÄRMLANDS LÄN</t>
        </is>
      </c>
      <c r="E6742" t="inlineStr">
        <is>
          <t>KARLSTAD</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68490-2021</t>
        </is>
      </c>
      <c r="B6743" s="1" t="n">
        <v>44525</v>
      </c>
      <c r="C6743" s="1" t="n">
        <v>45353</v>
      </c>
      <c r="D6743" t="inlineStr">
        <is>
          <t>VÄRMLANDS LÄN</t>
        </is>
      </c>
      <c r="E6743" t="inlineStr">
        <is>
          <t>KRISTINEHAMN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68505-2021</t>
        </is>
      </c>
      <c r="B6744" s="1" t="n">
        <v>44525</v>
      </c>
      <c r="C6744" s="1" t="n">
        <v>45353</v>
      </c>
      <c r="D6744" t="inlineStr">
        <is>
          <t>VÄRMLANDS LÄN</t>
        </is>
      </c>
      <c r="E6744" t="inlineStr">
        <is>
          <t>KRISTINEHAMN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68000-2021</t>
        </is>
      </c>
      <c r="B6745" s="1" t="n">
        <v>44525</v>
      </c>
      <c r="C6745" s="1" t="n">
        <v>45353</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68014-2021</t>
        </is>
      </c>
      <c r="B6746" s="1" t="n">
        <v>44525</v>
      </c>
      <c r="C6746" s="1" t="n">
        <v>45353</v>
      </c>
      <c r="D6746" t="inlineStr">
        <is>
          <t>VÄRMLANDS LÄN</t>
        </is>
      </c>
      <c r="E6746" t="inlineStr">
        <is>
          <t>SUNNE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68497-2021</t>
        </is>
      </c>
      <c r="B6747" s="1" t="n">
        <v>44525</v>
      </c>
      <c r="C6747" s="1" t="n">
        <v>45353</v>
      </c>
      <c r="D6747" t="inlineStr">
        <is>
          <t>VÄRMLANDS LÄN</t>
        </is>
      </c>
      <c r="E6747" t="inlineStr">
        <is>
          <t>KRISTINEHAMN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68180-2021</t>
        </is>
      </c>
      <c r="B6748" s="1" t="n">
        <v>44526</v>
      </c>
      <c r="C6748" s="1" t="n">
        <v>45353</v>
      </c>
      <c r="D6748" t="inlineStr">
        <is>
          <t>VÄRMLANDS LÄN</t>
        </is>
      </c>
      <c r="E6748" t="inlineStr">
        <is>
          <t>ÅRJÄNG</t>
        </is>
      </c>
      <c r="F6748" t="inlineStr">
        <is>
          <t>Kyrkan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69279-2021</t>
        </is>
      </c>
      <c r="B6749" s="1" t="n">
        <v>44526</v>
      </c>
      <c r="C6749" s="1" t="n">
        <v>45353</v>
      </c>
      <c r="D6749" t="inlineStr">
        <is>
          <t>VÄRMLANDS LÄN</t>
        </is>
      </c>
      <c r="E6749" t="inlineStr">
        <is>
          <t>TORSBY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68530-2021</t>
        </is>
      </c>
      <c r="B6750" s="1" t="n">
        <v>44526</v>
      </c>
      <c r="C6750" s="1" t="n">
        <v>45353</v>
      </c>
      <c r="D6750" t="inlineStr">
        <is>
          <t>VÄRMLANDS LÄN</t>
        </is>
      </c>
      <c r="E6750" t="inlineStr">
        <is>
          <t>KRISTINEHAMN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69265-2021</t>
        </is>
      </c>
      <c r="B6751" s="1" t="n">
        <v>44526</v>
      </c>
      <c r="C6751" s="1" t="n">
        <v>45353</v>
      </c>
      <c r="D6751" t="inlineStr">
        <is>
          <t>VÄRMLANDS LÄN</t>
        </is>
      </c>
      <c r="E6751" t="inlineStr">
        <is>
          <t>TORSBY</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68209-2021</t>
        </is>
      </c>
      <c r="B6752" s="1" t="n">
        <v>44526</v>
      </c>
      <c r="C6752" s="1" t="n">
        <v>45353</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69275-2021</t>
        </is>
      </c>
      <c r="B6753" s="1" t="n">
        <v>44526</v>
      </c>
      <c r="C6753" s="1" t="n">
        <v>45353</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68153-2021</t>
        </is>
      </c>
      <c r="B6754" s="1" t="n">
        <v>44526</v>
      </c>
      <c r="C6754" s="1" t="n">
        <v>45353</v>
      </c>
      <c r="D6754" t="inlineStr">
        <is>
          <t>VÄRMLANDS LÄN</t>
        </is>
      </c>
      <c r="E6754" t="inlineStr">
        <is>
          <t>TORSBY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68252-2021</t>
        </is>
      </c>
      <c r="B6755" s="1" t="n">
        <v>44526</v>
      </c>
      <c r="C6755" s="1" t="n">
        <v>45353</v>
      </c>
      <c r="D6755" t="inlineStr">
        <is>
          <t>VÄRMLANDS LÄN</t>
        </is>
      </c>
      <c r="E6755" t="inlineStr">
        <is>
          <t>HAGFORS</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68526-2021</t>
        </is>
      </c>
      <c r="B6756" s="1" t="n">
        <v>44526</v>
      </c>
      <c r="C6756" s="1" t="n">
        <v>45353</v>
      </c>
      <c r="D6756" t="inlineStr">
        <is>
          <t>VÄRMLANDS LÄN</t>
        </is>
      </c>
      <c r="E6756" t="inlineStr">
        <is>
          <t>KRISTINEHAMN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69281-2021</t>
        </is>
      </c>
      <c r="B6757" s="1" t="n">
        <v>44526</v>
      </c>
      <c r="C6757" s="1" t="n">
        <v>45353</v>
      </c>
      <c r="D6757" t="inlineStr">
        <is>
          <t>VÄRMLANDS LÄN</t>
        </is>
      </c>
      <c r="E6757" t="inlineStr">
        <is>
          <t>TORSBY</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68148-2021</t>
        </is>
      </c>
      <c r="B6758" s="1" t="n">
        <v>44526</v>
      </c>
      <c r="C6758" s="1" t="n">
        <v>45353</v>
      </c>
      <c r="D6758" t="inlineStr">
        <is>
          <t>VÄRMLANDS LÄN</t>
        </is>
      </c>
      <c r="E6758" t="inlineStr">
        <is>
          <t>HAGFORS</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68155-2021</t>
        </is>
      </c>
      <c r="B6759" s="1" t="n">
        <v>44526</v>
      </c>
      <c r="C6759" s="1" t="n">
        <v>45353</v>
      </c>
      <c r="D6759" t="inlineStr">
        <is>
          <t>VÄRMLANDS LÄN</t>
        </is>
      </c>
      <c r="E6759" t="inlineStr">
        <is>
          <t>SÄFFLE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68266-2021</t>
        </is>
      </c>
      <c r="B6760" s="1" t="n">
        <v>44526</v>
      </c>
      <c r="C6760" s="1" t="n">
        <v>45353</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68136-2021</t>
        </is>
      </c>
      <c r="B6761" s="1" t="n">
        <v>44526</v>
      </c>
      <c r="C6761" s="1" t="n">
        <v>45353</v>
      </c>
      <c r="D6761" t="inlineStr">
        <is>
          <t>VÄRMLANDS LÄN</t>
        </is>
      </c>
      <c r="E6761" t="inlineStr">
        <is>
          <t>TORSBY</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68328-2021</t>
        </is>
      </c>
      <c r="B6762" s="1" t="n">
        <v>44527</v>
      </c>
      <c r="C6762" s="1" t="n">
        <v>45353</v>
      </c>
      <c r="D6762" t="inlineStr">
        <is>
          <t>VÄRMLANDS LÄN</t>
        </is>
      </c>
      <c r="E6762" t="inlineStr">
        <is>
          <t>ÅRJÄNG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68349-2021</t>
        </is>
      </c>
      <c r="B6763" s="1" t="n">
        <v>44528</v>
      </c>
      <c r="C6763" s="1" t="n">
        <v>45353</v>
      </c>
      <c r="D6763" t="inlineStr">
        <is>
          <t>VÄRMLANDS LÄN</t>
        </is>
      </c>
      <c r="E6763" t="inlineStr">
        <is>
          <t>SÄFFLE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68374-2021</t>
        </is>
      </c>
      <c r="B6764" s="1" t="n">
        <v>44529</v>
      </c>
      <c r="C6764" s="1" t="n">
        <v>45353</v>
      </c>
      <c r="D6764" t="inlineStr">
        <is>
          <t>VÄRMLANDS LÄN</t>
        </is>
      </c>
      <c r="E6764" t="inlineStr">
        <is>
          <t>HAGFORS</t>
        </is>
      </c>
      <c r="F6764" t="inlineStr">
        <is>
          <t>Bergvik skog väst AB</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68622-2021</t>
        </is>
      </c>
      <c r="B6765" s="1" t="n">
        <v>44529</v>
      </c>
      <c r="C6765" s="1" t="n">
        <v>45353</v>
      </c>
      <c r="D6765" t="inlineStr">
        <is>
          <t>VÄRMLANDS LÄN</t>
        </is>
      </c>
      <c r="E6765" t="inlineStr">
        <is>
          <t>HAMMARÖ</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45353</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45353</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45353</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45353</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45353</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45353</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45353</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45353</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45353</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45353</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45353</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45353</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45353</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45353</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45353</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45353</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45353</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45353</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45353</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45353</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45353</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45353</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45353</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45353</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45353</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45353</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45353</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45353</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45353</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45353</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45353</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45353</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45353</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45353</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45353</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45353</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45353</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45353</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45353</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45353</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45353</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45353</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45353</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45353</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45353</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45353</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45353</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45353</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45353</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45353</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45353</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45353</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45353</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45353</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45353</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45353</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45353</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45353</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45353</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45353</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45353</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45353</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45353</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45353</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45353</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45353</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45353</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45353</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45353</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45353</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45353</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45353</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45353</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45353</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45353</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45353</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45353</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45353</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45353</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45353</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45353</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45353</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45353</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45353</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45353</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45353</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45353</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45353</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45353</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45353</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45353</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45353</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45353</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45353</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45353</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45353</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45353</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45353</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45353</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45353</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45353</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45353</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45353</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45353</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45353</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45353</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45353</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45353</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45353</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45353</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45353</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45353</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45353</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45353</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45353</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45353</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45353</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45353</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45353</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45353</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45353</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45353</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45353</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45353</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45353</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45353</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45353</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45353</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45353</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45353</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45353</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45353</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45353</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45353</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45353</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45353</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45353</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45353</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45353</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45353</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45353</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45353</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45353</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45353</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45353</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45353</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45353</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45353</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45353</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45353</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45353</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45353</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45353</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45353</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45353</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45353</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45353</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45353</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45353</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45353</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45353</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45353</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45353</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45353</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45353</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45353</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45353</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45353</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45353</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45353</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45353</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45353</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45353</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45353</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45353</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45353</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45353</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45353</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45353</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45353</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45353</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45353</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45353</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45353</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45353</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45353</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45353</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45353</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45353</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45353</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45353</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45353</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45353</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45353</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45353</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45353</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45353</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45353</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45353</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45353</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45353</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45353</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45353</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45353</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45353</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45353</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45353</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45353</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45353</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45353</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45353</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45353</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45353</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45353</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45353</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45353</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45353</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45353</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45353</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45353</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45353</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45353</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45353</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45353</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45353</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45353</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45353</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45353</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45353</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45353</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45353</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45353</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45353</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45353</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45353</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45353</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45353</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45353</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45353</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45353</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45353</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45353</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45353</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45353</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45353</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45353</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45353</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45353</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45353</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45353</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45353</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45353</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45353</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45353</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45353</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45353</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45353</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45353</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45353</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45353</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45353</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45353</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45353</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45353</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45353</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45353</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45353</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45353</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45353</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45353</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45353</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45353</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45353</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45353</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45353</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45353</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45353</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45353</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45353</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45353</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45353</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45353</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45353</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45353</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45353</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45353</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45353</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45353</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45353</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45353</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45353</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45353</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45353</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45353</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45353</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45353</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45353</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45353</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45353</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45353</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45353</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45353</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45353</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45353</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45353</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45353</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45353</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45353</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45353</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45353</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45353</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45353</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45353</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45353</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45353</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45353</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45353</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45353</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45353</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45353</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45353</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45353</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45353</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45353</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45353</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45353</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45353</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45353</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45353</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45353</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45353</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45353</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45353</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45353</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45353</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45353</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45353</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45353</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45353</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45353</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45353</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45353</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45353</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45353</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45353</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45353</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45353</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45353</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45353</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45353</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45353</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45353</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45353</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45353</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45353</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45353</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45353</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45353</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45353</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45353</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45353</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45353</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45353</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45353</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45353</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45353</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45353</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45353</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45353</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45353</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45353</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45353</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45353</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45353</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45353</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45353</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45353</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45353</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45353</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45353</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45353</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45353</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45353</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45353</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45353</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45353</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45353</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45353</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45353</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45353</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45353</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45353</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45353</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45353</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45353</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45353</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45353</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45353</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45353</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45353</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45353</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45353</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45353</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45353</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45353</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45353</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45353</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45353</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45353</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45353</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45353</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45353</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45353</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45353</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45353</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45353</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45353</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45353</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45353</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45353</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45353</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45353</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45353</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45353</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45353</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45353</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45353</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45353</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45353</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45353</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45353</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45353</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45353</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45353</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45353</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45353</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45353</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45353</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45353</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45353</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45353</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45353</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45353</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45353</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45353</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45353</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45353</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45353</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45353</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45353</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45353</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45353</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45353</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45353</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45353</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45353</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45353</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45353</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45353</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45353</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45353</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45353</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45353</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45353</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45353</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45353</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45353</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45353</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45353</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45353</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45353</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45353</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45353</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45353</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45353</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45353</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45353</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45353</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45353</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45353</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45353</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45353</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45353</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45353</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45353</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45353</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45353</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45353</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45353</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45353</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45353</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45353</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45353</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45353</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45353</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45353</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45353</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45353</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45353</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45353</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45353</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45353</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45353</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45353</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45353</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45353</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45353</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45353</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45353</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45353</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45353</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45353</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45353</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45353</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45353</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45353</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45353</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45353</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45353</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45353</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45353</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45353</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45353</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45353</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45353</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45353</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45353</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45353</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45353</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45353</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45353</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45353</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45353</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45353</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45353</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45353</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45353</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45353</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45353</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45353</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45353</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45353</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45353</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45353</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45353</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45353</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45353</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45353</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45353</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45353</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45353</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45353</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45353</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45353</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45353</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45353</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45353</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45353</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45353</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45353</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45353</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45353</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45353</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45353</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45353</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45353</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45353</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45353</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45353</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45353</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45353</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45353</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45353</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45353</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45353</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45353</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45353</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45353</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45353</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45353</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45353</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45353</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45353</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45353</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45353</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45353</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45353</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45353</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45353</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45353</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45353</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45353</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45353</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45353</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45353</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45353</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45353</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45353</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45353</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45353</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45353</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45353</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45353</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45353</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45353</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45353</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45353</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45353</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45353</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45353</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45353</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45353</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45353</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45353</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45353</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45353</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45353</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45353</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45353</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45353</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45353</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45353</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45353</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45353</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45353</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45353</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45353</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45353</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45353</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45353</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45353</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45353</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45353</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45353</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45353</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45353</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45353</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45353</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45353</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45353</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45353</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45353</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45353</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45353</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45353</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45353</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45353</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45353</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45353</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45353</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45353</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45353</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45353</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45353</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45353</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45353</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45353</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45353</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45353</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45353</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45353</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45353</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45353</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45353</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45353</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45353</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45353</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45353</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45353</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45353</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45353</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45353</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45353</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45353</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45353</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45353</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45353</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45353</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45353</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45353</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45353</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45353</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45353</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45353</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45353</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45353</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45353</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45353</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45353</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45353</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45353</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45353</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45353</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45353</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45353</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45353</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45353</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45353</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45353</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45353</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45353</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45353</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45353</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45353</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45353</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45353</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45353</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45353</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45353</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45353</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45353</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45353</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45353</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45353</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45353</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45353</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45353</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45353</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45353</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45353</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45353</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45353</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45353</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45353</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45353</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45353</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45353</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45353</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45353</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45353</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45353</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45353</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45353</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45353</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45353</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45353</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45353</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45353</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45353</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45353</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45353</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45353</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45353</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45353</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45353</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45353</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45353</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45353</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45353</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45353</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45353</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45353</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45353</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45353</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45353</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45353</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45353</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45353</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45353</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45353</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45353</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45353</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45353</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45353</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45353</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45353</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45353</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45353</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45353</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45353</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45353</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45353</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45353</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45353</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45353</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45353</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45353</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45353</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45353</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45353</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45353</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45353</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45353</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45353</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45353</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45353</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45353</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45353</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45353</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45353</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45353</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45353</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45353</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45353</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45353</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45353</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45353</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45353</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45353</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45353</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45353</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45353</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45353</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45353</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45353</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45353</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45353</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45353</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45353</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45353</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45353</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45353</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45353</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45353</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45353</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45353</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45353</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45353</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45353</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45353</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45353</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45353</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45353</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45353</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45353</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45353</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45353</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45353</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45353</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45353</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45353</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45353</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45353</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45353</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45353</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45353</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45353</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45353</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45353</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45353</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45353</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45353</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45353</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45353</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45353</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45353</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45353</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45353</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45353</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45353</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45353</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45353</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45353</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45353</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45353</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45353</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45353</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45353</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45353</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45353</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45353</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45353</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45353</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45353</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45353</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45353</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45353</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45353</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45353</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45353</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45353</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45353</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45353</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45353</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45353</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45353</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45353</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45353</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45353</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45353</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45353</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45353</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45353</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45353</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45353</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45353</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45353</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45353</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45353</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45353</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45353</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45353</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45353</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45353</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45353</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45353</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45353</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45353</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45353</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45353</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45353</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45353</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45353</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45353</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45353</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45353</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45353</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45353</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45353</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45353</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45353</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45353</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45353</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45353</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45353</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45353</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45353</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45353</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45353</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45353</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45353</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45353</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45353</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45353</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45353</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45353</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45353</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45353</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45353</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45353</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45353</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45353</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45353</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45353</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45353</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45353</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45353</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45353</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45353</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45353</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45353</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45353</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45353</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45353</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45353</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45353</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45353</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45353</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45353</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45353</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45353</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45353</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45353</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45353</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45353</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45353</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45353</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45353</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45353</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45353</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45353</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45353</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45353</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45353</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45353</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45353</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45353</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45353</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45353</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45353</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45353</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45353</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45353</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45353</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45353</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45353</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45353</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45353</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45353</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45353</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45353</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45353</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45353</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45353</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45353</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45353</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45353</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45353</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45353</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45353</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45353</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45353</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45353</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45353</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45353</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45353</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45353</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45353</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45353</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45353</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45353</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45353</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45353</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45353</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45353</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45353</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45353</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45353</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45353</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45353</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45353</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45353</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45353</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45353</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45353</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45353</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45353</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45353</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45353</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45353</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45353</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45353</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45353</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45353</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45353</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45353</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45353</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45353</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45353</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45353</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45353</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45353</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45353</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45353</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45353</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45353</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45353</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45353</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45353</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45353</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45353</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45353</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45353</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45353</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45353</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45353</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45353</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45353</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45353</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45353</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45353</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45353</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45353</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45353</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45353</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45353</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45353</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45353</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45353</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45353</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45353</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45353</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45353</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45353</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45353</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45353</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45353</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45353</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45353</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45353</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45353</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45353</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45353</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45353</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45353</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45353</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45353</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45353</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45353</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45353</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45353</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45353</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45353</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45353</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45353</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45353</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45353</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45353</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45353</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45353</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45353</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45353</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45353</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45353</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45353</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45353</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45353</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45353</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45353</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45353</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45353</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45353</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45353</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45353</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45353</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45353</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45353</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45353</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45353</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45353</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45353</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45353</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45353</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45353</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45353</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45353</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45353</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45353</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45353</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45353</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45353</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45353</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45353</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45353</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45353</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45353</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45353</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45353</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45353</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45353</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45353</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45353</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45353</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45353</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45353</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45353</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45353</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45353</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45353</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45353</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45353</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45353</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45353</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45353</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45353</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45353</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45353</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45353</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45353</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45353</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45353</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45353</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45353</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45353</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45353</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45353</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45353</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45353</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45353</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45353</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45353</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45353</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45353</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45353</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45353</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45353</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45353</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45353</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45353</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45353</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45353</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45353</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45353</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45353</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45353</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45353</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45353</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45353</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45353</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45353</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45353</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45353</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45353</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45353</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45353</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45353</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45353</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45353</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45353</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45353</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45353</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45353</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45353</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45353</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45353</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45353</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45353</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45353</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45353</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45353</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45353</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45353</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45353</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45353</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45353</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45353</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45353</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45353</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45353</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45353</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45353</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45353</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45353</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45353</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45353</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45353</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45353</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45353</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45353</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45353</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45353</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45353</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45353</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45353</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45353</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45353</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45353</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45353</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45353</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45353</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45353</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45353</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45353</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45353</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45353</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45353</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45353</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45353</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45353</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45353</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45353</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45353</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45353</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45353</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45353</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45353</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45353</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45353</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45353</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45353</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45353</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45353</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45353</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45353</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45353</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45353</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45353</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45353</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45353</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45353</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45353</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45353</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45353</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45353</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45353</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45353</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45353</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45353</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45353</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45353</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45353</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45353</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45353</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45353</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45353</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45353</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45353</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45353</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45353</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45353</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45353</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45353</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45353</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45353</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45353</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45353</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45353</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45353</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45353</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45353</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45353</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45353</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45353</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45353</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45353</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45353</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45353</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45353</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45353</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45353</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45353</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45353</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45353</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45353</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45353</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45353</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45353</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45353</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45353</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45353</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45353</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45353</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45353</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45353</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45353</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45353</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45353</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45353</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45353</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45353</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45353</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45353</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45353</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45353</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45353</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45353</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45353</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45353</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45353</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45353</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45353</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45353</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45353</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45353</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45353</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45353</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45353</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45353</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45353</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45353</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45353</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45353</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45353</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45353</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45353</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45353</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45353</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45353</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45353</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45353</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45353</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45353</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45353</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45353</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45353</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45353</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45353</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45353</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45353</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45353</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45353</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45353</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45353</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45353</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45353</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45353</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45353</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45353</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45353</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45353</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45353</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45353</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45353</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45353</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45353</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45353</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45353</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45353</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45353</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45353</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45353</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45353</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45353</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45353</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45353</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45353</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45353</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45353</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45353</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45353</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45353</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45353</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45353</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45353</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45353</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45353</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45353</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45353</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45353</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45353</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45353</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45353</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45353</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45353</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45353</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45353</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45353</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45353</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45353</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45353</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45353</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45353</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45353</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45353</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45353</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45353</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45353</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45353</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45353</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45353</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45353</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45353</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45353</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45353</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45353</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45353</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45353</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45353</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45353</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45353</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45353</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45353</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45353</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45353</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45353</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45353</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45353</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45353</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45353</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45353</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45353</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45353</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45353</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45353</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45353</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45353</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45353</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45353</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45353</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45353</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45353</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45353</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45353</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45353</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45353</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45353</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45353</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45353</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45353</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45353</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45353</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45353</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45353</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45353</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45353</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45353</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45353</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45353</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45353</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45353</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45353</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45353</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45353</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45353</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45353</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45353</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45353</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45353</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45353</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45353</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45353</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45353</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45353</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45353</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45353</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45353</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45353</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45353</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45353</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45353</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45353</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45353</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45353</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45353</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45353</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45353</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45353</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45353</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45353</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45353</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45353</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45353</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45353</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45353</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45353</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45353</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45353</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45353</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45353</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45353</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45353</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45353</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45353</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45353</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45353</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45353</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45353</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45353</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45353</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45353</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45353</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45353</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45353</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45353</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45353</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45353</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45353</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45353</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45353</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45353</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45353</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45353</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45353</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45353</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45353</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45353</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45353</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45353</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45353</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45353</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45353</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45353</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45353</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45353</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45353</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45353</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45353</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45353</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45353</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45353</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45353</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45353</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45353</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45353</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45353</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45353</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45353</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45353</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45353</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45353</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45353</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45353</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45353</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45353</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45353</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45353</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45353</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45353</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45353</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45353</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45353</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45353</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45353</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45353</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45353</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45353</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45353</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45353</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45353</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45353</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45353</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45353</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45353</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45353</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45353</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45353</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45353</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45353</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45353</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45353</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45353</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45353</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45353</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45353</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45353</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45353</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45353</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45353</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45353</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45353</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45353</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45353</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45353</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45353</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45353</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45353</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45353</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45353</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45353</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45353</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45353</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45353</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45353</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45353</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45353</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45353</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45353</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45353</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45353</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45353</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45353</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45353</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45353</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45353</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45353</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45353</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45353</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45353</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45353</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45353</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45353</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45353</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45353</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45353</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45353</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45353</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45353</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45353</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45353</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45353</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45353</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45353</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45353</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45353</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45353</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45353</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45353</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45353</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45353</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45353</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45353</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45353</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45353</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45353</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45353</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45353</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45353</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45353</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45353</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45353</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45353</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45353</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45353</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45353</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45353</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45353</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45353</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45353</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45353</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45353</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45353</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45353</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45353</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45353</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45353</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45353</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45353</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45353</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45353</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45353</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45353</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45353</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45353</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45353</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45353</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45353</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45353</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45353</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45353</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45353</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45353</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45353</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45353</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45353</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45353</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45353</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45353</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45353</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45353</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45353</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45353</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45353</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45353</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45353</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45353</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45353</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45353</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45353</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45353</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45353</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45353</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45353</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45353</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45353</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45353</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45353</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45353</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45353</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45353</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45353</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45353</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45353</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45353</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45353</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45353</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45353</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45353</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45353</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45353</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45353</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45353</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45353</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45353</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45353</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45353</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45353</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45353</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45353</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45353</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45353</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45353</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45353</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45353</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45353</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45353</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45353</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45353</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45353</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45353</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45353</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45353</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45353</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45353</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45353</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45353</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45353</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45353</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45353</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45353</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45353</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45353</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45353</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45353</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45353</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45353</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45353</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45353</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45353</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45353</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45353</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45353</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45353</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45353</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45353</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45353</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45353</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45353</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45353</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45353</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45353</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45353</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45353</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45353</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45353</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45353</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45353</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45353</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45353</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45353</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45353</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45353</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45353</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45353</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45353</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45353</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45353</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45353</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45353</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45353</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45353</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45353</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45353</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45353</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45353</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45353</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45353</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45353</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45353</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45353</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45353</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45353</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45353</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45353</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45353</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45353</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45353</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45353</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45353</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45353</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45353</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45353</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45353</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45353</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45353</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45353</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45353</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45353</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45353</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45353</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45353</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45353</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45353</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45353</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45353</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45353</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45353</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45353</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45353</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45353</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45353</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45353</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45353</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45353</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45353</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45353</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45353</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45353</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45353</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45353</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45353</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45353</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45353</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45353</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45353</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45353</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45353</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45353</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45353</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45353</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45353</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45353</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45353</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45353</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45353</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45353</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45353</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45353</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45353</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45353</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45353</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45353</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45353</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45353</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45353</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45353</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45353</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45353</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45353</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45353</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45353</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45353</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45353</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45353</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45353</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45353</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45353</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45353</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45353</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45353</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45353</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45353</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45353</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45353</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45353</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45353</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45353</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45353</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45353</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45353</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45353</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45353</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45353</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45353</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45353</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45353</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45353</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45353</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45353</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45353</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45353</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45353</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45353</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45353</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45353</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45353</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45353</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45353</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45353</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45353</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45353</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45353</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45353</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45353</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45353</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45353</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45353</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45353</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45353</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45353</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45353</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45353</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45353</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45353</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45353</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45353</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45353</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45353</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45353</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45353</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45353</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45353</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45353</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45353</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45353</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45353</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45353</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45353</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45353</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45353</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45353</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45353</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45353</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45353</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45353</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45353</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45353</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45353</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45353</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45353</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45353</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45353</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45353</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45353</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45353</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45353</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45353</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45353</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45353</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45353</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45353</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45353</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45353</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45353</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45353</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45353</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45353</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45353</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45353</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45353</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45353</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45353</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45353</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45353</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45353</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45353</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45353</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45353</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45353</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45353</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45353</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45353</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45353</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45353</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45353</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45353</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45353</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45353</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45353</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45353</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45353</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45353</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45353</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45353</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45353</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45353</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45353</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45353</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45353</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45353</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45353</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45353</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45353</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45353</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45353</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45353</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45353</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45353</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45353</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45353</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45353</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45353</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45353</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45353</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45353</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45353</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45353</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45353</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45353</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45353</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45353</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45353</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45353</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45353</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45353</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45353</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45353</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45353</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45353</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45353</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45353</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45353</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45353</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45353</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45353</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45353</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45353</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45353</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45353</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45353</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45353</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45353</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45353</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45353</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45353</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45353</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45353</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45353</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45353</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45353</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45353</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45353</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45353</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45353</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45353</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45353</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45353</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45353</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45353</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45353</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45353</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45353</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45353</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45353</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45353</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45353</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45353</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45353</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45353</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45353</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45353</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45353</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45353</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45353</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45353</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45353</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45353</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45353</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45353</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45353</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45353</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45353</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45353</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45353</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45353</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45353</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45353</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45353</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45353</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45353</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45353</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45353</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45353</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45353</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45353</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45353</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45353</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45353</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45353</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45353</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45353</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45353</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45353</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45353</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45353</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45353</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45353</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45353</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45353</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45353</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45353</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45353</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45353</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45353</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45353</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45353</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45353</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45353</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45353</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45353</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45353</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45353</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45353</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45353</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45353</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45353</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45353</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45353</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45353</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45353</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45353</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45353</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45353</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45353</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45353</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45353</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45353</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45353</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45353</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45353</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45353</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45353</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45353</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45353</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45353</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45353</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45353</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45353</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45353</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45353</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45353</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45353</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45353</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45353</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45353</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45353</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45353</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45353</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45353</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45353</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45353</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45353</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45353</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45353</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45353</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45353</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45353</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45353</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45353</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45353</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45353</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45353</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45353</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45353</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45353</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45353</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45353</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45353</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45353</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45353</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45353</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45353</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45353</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45353</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45353</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45353</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45353</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45353</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45353</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45353</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45353</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45353</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45353</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45353</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45353</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45353</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45353</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45353</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45353</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45353</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45353</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45353</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45353</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45353</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45353</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45353</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45353</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45353</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45353</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45353</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45353</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45353</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45353</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45353</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45353</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45353</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45353</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45353</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45353</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45353</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45353</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45353</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45353</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45353</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45353</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45353</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45353</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45353</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45353</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45353</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45353</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45353</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45353</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45353</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45353</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45353</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45353</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45353</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45353</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45353</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45353</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45353</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45353</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45353</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45353</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45353</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45353</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45353</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45353</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45353</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45353</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45353</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45353</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45353</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45353</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45353</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45353</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45353</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45353</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45353</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45353</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45353</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45353</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45353</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45353</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45353</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45353</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45353</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45353</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45353</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45353</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45353</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45353</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45353</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45353</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45353</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45353</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45353</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45353</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45353</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45353</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45353</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45353</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45353</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45353</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45353</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45353</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45353</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45353</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45353</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45353</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45353</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45353</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45353</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45353</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45353</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45353</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45353</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45353</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45353</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45353</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45353</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45353</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45353</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45353</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45353</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45353</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45353</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45353</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45353</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45353</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45353</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45353</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45353</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45353</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45353</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45353</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45353</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45353</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45353</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45353</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45353</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45353</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45353</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45353</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45353</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45353</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45353</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45353</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45353</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45353</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45353</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45353</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45353</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45353</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45353</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45353</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45353</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45353</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45353</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45353</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45353</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45353</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45353</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45353</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45353</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45353</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45353</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45353</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45353</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45353</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45353</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45353</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45353</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45353</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45353</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45353</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45353</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45353</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45353</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45353</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45353</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45353</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45353</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45353</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45353</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45353</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45353</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45353</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45353</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45353</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45353</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45353</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45353</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45353</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45353</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45353</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45353</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45353</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45353</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45353</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45353</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45353</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45353</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45353</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45353</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45353</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45353</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45353</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45353</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45353</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45353</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45353</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45353</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45353</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45353</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45353</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45353</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45353</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45353</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45353</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45353</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45353</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45353</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45353</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45353</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45353</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45353</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45353</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45353</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45353</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45353</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45353</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45353</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45353</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45353</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45353</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45353</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45353</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45353</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45353</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45353</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45353</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45353</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45353</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45353</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45353</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45353</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45353</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45353</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45353</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45353</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45353</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45353</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45353</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45353</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45353</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45353</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45353</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45353</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45353</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45353</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45353</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45353</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45353</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45353</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45353</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45353</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45353</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45353</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45353</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45353</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45353</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45353</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45353</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45353</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45353</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45353</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45353</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45353</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45353</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45353</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45353</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45353</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45353</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45353</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45353</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45353</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45353</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45353</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45353</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45353</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45353</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45353</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45353</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45353</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45353</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45353</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45353</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45353</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45353</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45353</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45353</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45353</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45353</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45353</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45353</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45353</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45353</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45353</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45353</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45353</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45353</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45353</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45353</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45353</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45353</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45353</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45353</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45353</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45353</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45353</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45353</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45353</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45353</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45353</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45353</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45353</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45353</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45353</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45353</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45353</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45353</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45353</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45353</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45353</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45353</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45353</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45353</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45353</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45353</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45353</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45353</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45353</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45353</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45353</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45353</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45353</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45353</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45353</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45353</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45353</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45353</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45353</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45353</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45353</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45353</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45353</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45353</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45353</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45353</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45353</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45353</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45353</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45353</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45353</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45353</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45353</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45353</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45353</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45353</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45353</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45353</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45353</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45353</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45353</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45353</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45353</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45353</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45353</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45353</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45353</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45353</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45353</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45353</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45353</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45353</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45353</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45353</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45353</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45353</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45353</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45353</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45353</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45353</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45353</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45353</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45353</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45353</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45353</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45353</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45353</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45353</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45353</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45353</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45353</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45353</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45353</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45353</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45353</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45353</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45353</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45353</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45353</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45353</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45353</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45353</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45353</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45353</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45353</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45353</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45353</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45353</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45353</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45353</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45353</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45353</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45353</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45353</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45353</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45353</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45353</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45353</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45353</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45353</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45353</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45353</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45353</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45353</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45353</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45353</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45353</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45353</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45353</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45353</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45353</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45353</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45353</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45353</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45353</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45353</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45353</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45353</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45353</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45353</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45353</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45353</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45353</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45353</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45353</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45353</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45353</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45353</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45353</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45353</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45353</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45353</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45353</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45353</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45353</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45353</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45353</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45353</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45353</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45353</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45353</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45353</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45353</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45353</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45353</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45353</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45353</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45353</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45353</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45353</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45353</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45353</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45353</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45353</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45353</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45353</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45353</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45353</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45353</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45353</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45353</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45353</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45353</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45353</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45353</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45353</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45353</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45353</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45353</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45353</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45353</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45353</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45353</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45353</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45353</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45353</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45353</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45353</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45353</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45353</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45353</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45353</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45353</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45353</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45353</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45353</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45353</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45353</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45353</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45353</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45353</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45353</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45353</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45353</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45353</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45353</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45353</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45353</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45353</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45353</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45353</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45353</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45353</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45353</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45353</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45353</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45353</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45353</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45353</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45353</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45353</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45353</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45353</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45353</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45353</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45353</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45353</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45353</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45353</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45353</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45353</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45353</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45353</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45353</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45353</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45353</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45353</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45353</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45353</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45353</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45353</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45353</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45353</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45353</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45353</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45353</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45353</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45353</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45353</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45353</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45353</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45353</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45353</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45353</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45353</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45353</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45353</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45353</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45353</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45353</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45353</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45353</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45353</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45353</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45353</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45353</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45353</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45353</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45353</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45353</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45353</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45353</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45353</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45353</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45353</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45353</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45353</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45353</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45353</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45353</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45353</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45353</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45353</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45353</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45353</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45353</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45353</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45353</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45353</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45353</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45353</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45353</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45353</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45353</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45353</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45353</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45353</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45353</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45353</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45353</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45353</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45353</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45353</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45353</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45353</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45353</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45353</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45353</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45353</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45353</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45353</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45353</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45353</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45353</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45353</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45353</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45353</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45353</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45353</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45353</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45353</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45353</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45353</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45353</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45353</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45353</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45353</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45353</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45353</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45353</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45353</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45353</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45353</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45353</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45353</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45353</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45353</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45353</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45353</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45353</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45353</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45353</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45353</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45353</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45353</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45353</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45353</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45353</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45353</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45353</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45353</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45353</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45353</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45353</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45353</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45353</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45353</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45353</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45353</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45353</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45353</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45353</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45353</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45353</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45353</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45353</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45353</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45353</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45353</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45353</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45353</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45353</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45353</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45353</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45353</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45353</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45353</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45353</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45353</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45353</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45353</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45353</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45353</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45353</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45353</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45353</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45353</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45353</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45353</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45353</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45353</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45353</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45353</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45353</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45353</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45353</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45353</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45353</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45353</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45353</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45353</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45353</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45353</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45353</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45353</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45353</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45353</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45353</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45353</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45353</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45353</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45353</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45353</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45353</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45353</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45353</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45353</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45353</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45353</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45353</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45353</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45353</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45353</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45353</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45353</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45353</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45353</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45353</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45353</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45353</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45353</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45353</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45353</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45353</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45353</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45353</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45353</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45353</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45353</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45353</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45353</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45353</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45353</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45353</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45353</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45353</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45353</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45353</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45353</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45353</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45353</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45353</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45353</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45353</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45353</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45353</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45353</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45353</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45353</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45353</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45353</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45353</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45353</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45353</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45353</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45353</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45353</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45353</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45353</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45353</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45353</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45353</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45353</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45353</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45353</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45353</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45353</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45353</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45353</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45353</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45353</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45353</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45353</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45353</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45353</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45353</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45353</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45353</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45353</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45353</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45353</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45353</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45353</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45353</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45353</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45353</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45353</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45353</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45353</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45353</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45353</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45353</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45353</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45353</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45353</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45353</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45353</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45353</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45353</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45353</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45353</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45353</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45353</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45353</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45353</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45353</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45353</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45353</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45353</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45353</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45353</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45353</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45353</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45353</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45353</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45353</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45353</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45353</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45353</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45353</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45353</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45353</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45353</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45353</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45353</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45353</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45353</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45353</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45353</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45353</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45353</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45353</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45353</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45353</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45353</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45353</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45353</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45353</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45353</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45353</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45353</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45353</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45353</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45353</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45353</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45353</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45353</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45353</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45353</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45353</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45353</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45353</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45353</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45353</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45353</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45353</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45353</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45353</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45353</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45353</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45353</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45353</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45353</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45353</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45353</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45353</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45353</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45353</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45353</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45353</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45353</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45353</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45353</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45353</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45353</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45353</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45353</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45353</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45353</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45353</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45353</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45353</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45353</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45353</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45353</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45353</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45353</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45353</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45353</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45353</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45353</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45353</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45353</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45353</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45353</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45353</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45353</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45353</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45353</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45353</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45353</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45353</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45353</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45353</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45353</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45353</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45353</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45353</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45353</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45353</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45353</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45353</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45353</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45353</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45353</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45353</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45353</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45353</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45353</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45353</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45353</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45353</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45353</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45353</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45353</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45353</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45353</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45353</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45353</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45353</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45353</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45353</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45353</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45353</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45353</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45353</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45353</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45353</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45353</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45353</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45353</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45353</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45353</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45353</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45353</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45353</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45353</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45353</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45353</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45353</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45353</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45353</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45353</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45353</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45353</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45353</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45353</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45353</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45353</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45353</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45353</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45353</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45353</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45353</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45353</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45353</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45353</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45353</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45353</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45353</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45353</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45353</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45353</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45353</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45353</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45353</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45353</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45353</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45353</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45353</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45353</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45353</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45353</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45353</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45353</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45353</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45353</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45353</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45353</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45353</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45353</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45353</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45353</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45353</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45353</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45353</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45353</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45353</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45353</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45353</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45353</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45353</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45353</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45353</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45353</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45353</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45353</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45353</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45353</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45353</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45353</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45353</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45353</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45353</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45353</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45353</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45353</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45353</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45353</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45353</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45353</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45353</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45353</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45353</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45353</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45353</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45353</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45353</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45353</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45353</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45353</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45353</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45353</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45353</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45353</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45353</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45353</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45353</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45353</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45353</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45353</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45353</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45353</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45353</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45353</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45353</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45353</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45353</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45353</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45353</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45353</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45353</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45353</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45353</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45353</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45353</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45353</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45353</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45353</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45353</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45353</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45353</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45353</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45353</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45353</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45353</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45353</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45353</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45353</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45353</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45353</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45353</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45353</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45353</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45353</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45353</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45353</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45353</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45353</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45353</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45353</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45353</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45353</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45353</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45353</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45353</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45353</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45353</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45353</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45353</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45353</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45353</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45353</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45353</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45353</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45353</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45353</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45353</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45353</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45353</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45353</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45353</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45353</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45353</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45353</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45353</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45353</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45353</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45353</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45353</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45353</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45353</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45353</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45353</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45353</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45353</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45353</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45353</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45353</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45353</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45353</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45353</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45353</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45353</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45353</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45353</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45353</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45353</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45353</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45353</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45353</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45353</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45353</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45353</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45353</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45353</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45353</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45353</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45353</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45353</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45353</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45353</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45353</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45353</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45353</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45353</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45353</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45353</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45353</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45353</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45353</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45353</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45353</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45353</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45353</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45353</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45353</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45353</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45353</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45353</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45353</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45353</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45353</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45353</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45353</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45353</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45353</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45353</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45353</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45353</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45353</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45353</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45353</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45353</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45353</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45353</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45353</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45353</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45353</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45353</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45353</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45353</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45353</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45353</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45353</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45353</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45353</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45353</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45353</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45353</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45353</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45353</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45353</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45353</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45353</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45353</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45353</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45353</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45353</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45353</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45353</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45353</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45353</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45353</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45353</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45353</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45353</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45353</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45353</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45353</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45353</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45353</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45353</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45353</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45353</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45353</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45353</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45353</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45353</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45353</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45353</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45353</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45353</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45353</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45353</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45353</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45353</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45353</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45353</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45353</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45353</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45353</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45353</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45353</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45353</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45353</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45353</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45353</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45353</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45353</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45353</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45353</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45353</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45353</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45353</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45353</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45353</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45353</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45353</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45353</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45353</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45353</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45353</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45353</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45353</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45353</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45353</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45353</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45353</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45353</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45353</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45353</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45353</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45353</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45353</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45353</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45353</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45353</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45353</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45353</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45353</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45353</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45353</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45353</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45353</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45353</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45353</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45353</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45353</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45353</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45353</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45353</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45353</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45353</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45353</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45353</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45353</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45353</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45353</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45353</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45353</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45353</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45353</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45353</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45353</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45353</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45353</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45353</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45353</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45353</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45353</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45353</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45353</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45353</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45353</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45353</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45353</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45353</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45353</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45353</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45353</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45353</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45353</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45353</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45353</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45353</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45353</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45353</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45353</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45353</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45353</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45353</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45353</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45353</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45353</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45353</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45353</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45353</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45353</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45353</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45353</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45353</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45353</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45353</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45353</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45353</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45353</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45353</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45353</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45353</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45353</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45353</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45353</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45353</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45353</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45353</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45353</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45353</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45353</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45353</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45353</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45353</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45353</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45353</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45353</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45353</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45353</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45353</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45353</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45353</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45353</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45353</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45353</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45353</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45353</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45353</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45353</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45353</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45353</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45353</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45353</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45353</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45353</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45353</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45353</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45353</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45353</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45353</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45353</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45353</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45353</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45353</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45353</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45353</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45353</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45353</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45353</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45353</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45353</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45353</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45353</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45353</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45353</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45353</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45353</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45353</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45353</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45353</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45353</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45353</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45353</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45353</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45353</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45353</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45353</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45353</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45353</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45353</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45353</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45353</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45353</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45353</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45353</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45353</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45353</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45353</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45353</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45353</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45353</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45353</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45353</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45353</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45353</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45353</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45353</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45353</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45353</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45353</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45353</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45353</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45353</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45353</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45353</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45353</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45353</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45353</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45353</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45353</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45353</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45353</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45353</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45353</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45353</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45353</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45353</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45353</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45353</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45353</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45353</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45353</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45353</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45353</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45353</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45353</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45353</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45353</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45353</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45353</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45353</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45353</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45353</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45353</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45353</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45353</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45353</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45353</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45353</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45353</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45353</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45353</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45353</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45353</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45353</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45353</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45353</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45353</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45353</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45353</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45353</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45353</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45353</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45353</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45353</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45353</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45353</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45353</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45353</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45353</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45353</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45353</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45353</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45353</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45353</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45353</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45353</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45353</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45353</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45353</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45353</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45353</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45353</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45353</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45353</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45353</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45353</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45353</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45353</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45353</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45353</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45353</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45353</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45353</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45353</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45353</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45353</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45353</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45353</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45353</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45353</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45353</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45353</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45353</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45353</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45353</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45353</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45353</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45353</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45353</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45353</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45353</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45353</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45353</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45353</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45353</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45353</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45353</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45353</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45353</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45353</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45353</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45353</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45353</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45353</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45353</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45353</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45353</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45353</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45353</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45353</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45353</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45353</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45353</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45353</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45353</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45353</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45353</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45353</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45353</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45353</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45353</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45353</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45353</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45353</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45353</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45353</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45353</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45353</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45353</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45353</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45353</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45353</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45353</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45353</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45353</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45353</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45353</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45353</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45353</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45353</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45353</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45353</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45353</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45353</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45353</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45353</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45353</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45353</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45353</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45353</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45353</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45353</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45353</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45353</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45353</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45353</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45353</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45353</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45353</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45353</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45353</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45353</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45353</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45353</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45353</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45353</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45353</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45353</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45353</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45353</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45353</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45353</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45353</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45353</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45353</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45353</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45353</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45353</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45353</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45353</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45353</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45353</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45353</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45353</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45353</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45353</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45353</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45353</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45353</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45353</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45353</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45353</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45353</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45353</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45353</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45353</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45353</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45353</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45353</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45353</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45353</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45353</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45353</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45353</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45353</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45353</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45353</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45353</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45353</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45353</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45353</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45353</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45353</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45353</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45353</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45353</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45353</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45353</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45353</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45353</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45353</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45353</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45353</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45353</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45353</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45353</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45353</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45353</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45353</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45353</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45353</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45353</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45353</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45353</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45353</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45353</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45353</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45353</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45353</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45353</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45353</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45353</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45353</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45353</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45353</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45353</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45353</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45353</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45353</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45353</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45353</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45353</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45353</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45353</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45353</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45353</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45353</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45353</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45353</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45353</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45353</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45353</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45353</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45353</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45353</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45353</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45353</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45353</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45353</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45353</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45353</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45353</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45353</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45353</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45353</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45353</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45353</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45353</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45353</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45353</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45353</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45353</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45353</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45353</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45353</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45353</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45353</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45353</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45353</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45353</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45353</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45353</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45353</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45353</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45353</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45353</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45353</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45353</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45353</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45353</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45353</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45353</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45353</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45353</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45353</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45353</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45353</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45353</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45353</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45353</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45353</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45353</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45353</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45353</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45353</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45353</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45353</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45353</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45353</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45353</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45353</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45353</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45353</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45353</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45353</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45353</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45353</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45353</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45353</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45353</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45353</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45353</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45353</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45353</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45353</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45353</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45353</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45353</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45353</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45353</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45353</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45353</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45353</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45353</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45353</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45353</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45353</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45353</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45353</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45353</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45353</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45353</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45353</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45353</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45353</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45353</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45353</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45353</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45353</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45353</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45353</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45353</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45353</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45353</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45353</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45353</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45353</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45353</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45353</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45353</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45353</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45353</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45353</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45353</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45353</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45353</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45353</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45353</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45353</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45353</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45353</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45353</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45353</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45353</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45353</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45353</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45353</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45353</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45353</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45353</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45353</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45353</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45353</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45353</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45353</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45353</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45353</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45353</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45353</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45353</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45353</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45353</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45353</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45353</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45353</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45353</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45353</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45353</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45353</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45353</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45353</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45353</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45353</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45353</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45353</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45353</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45353</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45353</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45353</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45353</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45353</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45353</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45353</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45353</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45353</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45353</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45353</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45353</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45353</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45353</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45353</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45353</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45353</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45353</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45353</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45353</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45353</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45353</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45353</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45353</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45353</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45353</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45353</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45353</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45353</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45353</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45353</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45353</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45353</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45353</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45353</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45353</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45353</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45353</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45353</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45353</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45353</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45353</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45353</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45353</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45353</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45353</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45353</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45353</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45353</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45353</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45353</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45353</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45353</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45353</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45353</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45353</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45353</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45353</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45353</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45353</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45353</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45353</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45353</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45353</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45353</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45353</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45353</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45353</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45353</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45353</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45353</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45353</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45353</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45353</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45353</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45353</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45353</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45353</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45353</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45353</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45353</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45353</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45353</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45353</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45353</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45353</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45353</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45353</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45353</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45353</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45353</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45353</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45353</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45353</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45353</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45353</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45353</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45353</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45353</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45353</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45353</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45353</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45353</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45353</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45353</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45353</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45353</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45353</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45353</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45353</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45353</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45353</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45353</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45353</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45353</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45353</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45353</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45353</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45353</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45353</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45353</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45353</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45353</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45353</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45353</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45353</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45353</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45353</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45353</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45353</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45353</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45353</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45353</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45353</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45353</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45353</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45353</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45353</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45353</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45353</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45353</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45353</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45353</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45353</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45353</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45353</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45353</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45353</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45353</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45353</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45353</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45353</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45353</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45353</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45353</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45353</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45353</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45353</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45353</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45353</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45353</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45353</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45353</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45353</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45353</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45353</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45353</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45353</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45353</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45353</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45353</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45353</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45353</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45353</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45353</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45353</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45353</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45353</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45353</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45353</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45353</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45353</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45353</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45353</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45353</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45353</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45353</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45353</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45353</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45353</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45353</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45353</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45353</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45353</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45353</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45353</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45353</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45353</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45353</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45353</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45353</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45353</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45353</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45353</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45353</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45353</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45353</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45353</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45353</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45353</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45353</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45353</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45353</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45353</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45353</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45353</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45353</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45353</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45353</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45353</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45353</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45353</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45353</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45353</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45353</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45353</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45353</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45353</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45353</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45353</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45353</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45353</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45353</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45353</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45353</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45353</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45353</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45353</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45353</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45353</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45353</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45353</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45353</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45353</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45353</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45353</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45353</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45353</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45353</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45353</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45353</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45353</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45353</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45353</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45353</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45353</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45353</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45353</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45353</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45353</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45353</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45353</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45353</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45353</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45353</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45353</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45353</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45353</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45353</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45353</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45353</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45353</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45353</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45353</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45353</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45353</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45353</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45353</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45353</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45353</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45353</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45353</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45353</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45353</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45353</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45353</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45353</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45353</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45353</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45353</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45353</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45353</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45353</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45353</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45353</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45353</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45353</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45353</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45353</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45353</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45353</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45353</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45353</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45353</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45353</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45353</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45353</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45353</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45353</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45353</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45353</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45353</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45353</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45353</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45353</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45353</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45353</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45353</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45353</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45353</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45353</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45353</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45353</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45353</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45353</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45353</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45353</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45353</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45353</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45353</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45353</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45353</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45353</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45353</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45353</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45353</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45353</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45353</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45353</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45353</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45353</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45353</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45353</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45353</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45353</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45353</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45353</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45353</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45353</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45353</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45353</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45353</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45353</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45353</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45353</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45353</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45353</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45353</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45353</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45353</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45353</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45353</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45353</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45353</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45353</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45353</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45353</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45353</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45353</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45353</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45353</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45353</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45353</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45353</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45353</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45353</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45353</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45353</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45353</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45353</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45353</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45353</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45353</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45353</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45353</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45353</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45353</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45353</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45353</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45353</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45353</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45353</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45353</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45353</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45353</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45353</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45353</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45353</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45353</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45353</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45353</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45353</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45353</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45353</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45353</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45353</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45353</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45353</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45353</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45353</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45353</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45353</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45353</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45353</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45353</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45353</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45353</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45353</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45353</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45353</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45353</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45353</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45353</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45353</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45353</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45353</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45353</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45353</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45353</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45353</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45353</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45353</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45353</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45353</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45353</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45353</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45353</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45353</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45353</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45353</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45353</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45353</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45353</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45353</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45353</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45353</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45353</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45353</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45353</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45353</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45353</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45353</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45353</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45353</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45353</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45353</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45353</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45353</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45353</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45353</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45353</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45353</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45353</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45353</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45353</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45353</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45353</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45353</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45353</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45353</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45353</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45353</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45353</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45353</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45353</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45353</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45353</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45353</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45353</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45353</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45353</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45353</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45353</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45353</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45353</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45353</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45353</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45353</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45353</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45353</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45353</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45353</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45353</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45353</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45353</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45353</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45353</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45353</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45353</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45353</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45353</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45353</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45353</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45353</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45353</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45353</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45353</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45353</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45353</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45353</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45353</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45353</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45353</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45353</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45353</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45353</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45353</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45353</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45353</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45353</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45353</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45353</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45353</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45353</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45353</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45353</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45353</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45353</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45353</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45353</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45353</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45353</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45353</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45353</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45353</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45353</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45353</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45353</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45353</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45353</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45353</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45353</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45353</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45353</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45353</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45353</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45353</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45353</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45353</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45353</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45353</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45353</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45353</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45353</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45353</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45353</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45353</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45353</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45353</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45353</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45353</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45353</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45353</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45353</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45353</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45353</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45353</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45353</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45353</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45353</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45353</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45353</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45353</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45353</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45353</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45353</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45353</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45353</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45353</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45353</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45353</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45353</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45353</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45353</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45353</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45353</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45353</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45353</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45353</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45353</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45353</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45353</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45353</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45353</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45353</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45353</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45353</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45353</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45353</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45353</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45353</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45353</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45353</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45353</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45353</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45353</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45353</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45353</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45353</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45353</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45353</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45353</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45353</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45353</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45353</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45353</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45353</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45353</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45353</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45353</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45353</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45353</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45353</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45353</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45353</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45353</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45353</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45353</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45353</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45353</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45353</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45353</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45353</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45353</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45353</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45353</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45353</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45353</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45353</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45353</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45353</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45353</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45353</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45353</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45353</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45353</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45353</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45353</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45353</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45353</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45353</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45353</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45353</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45353</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45353</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45353</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45353</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45353</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45353</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45353</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45353</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45353</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45353</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45353</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45353</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45353</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45353</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45353</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45353</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45353</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45353</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45353</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45353</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45353</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45353</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45353</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45353</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45353</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45353</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45353</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45353</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45353</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45353</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45353</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45353</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45353</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45353</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45353</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45353</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45353</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45353</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45353</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45353</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45353</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45353</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45353</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45353</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45353</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45353</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45353</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45353</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45353</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45353</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45353</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45353</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45353</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45353</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45353</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45353</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45353</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45353</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45353</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45353</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45353</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45353</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45353</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45353</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45353</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45353</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45353</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45353</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45353</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45353</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45353</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45353</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45353</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45353</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45353</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45353</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45353</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45353</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45353</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45353</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45353</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45353</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45353</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45353</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45353</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45353</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45353</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45353</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45353</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45353</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45353</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45353</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45353</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45353</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45353</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45353</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45353</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45353</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45353</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45353</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45353</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45353</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45353</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45353</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45353</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45353</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45353</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45353</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45353</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45353</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45353</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45353</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45353</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45353</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45353</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45353</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45353</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45353</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45353</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45353</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45353</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45353</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45353</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45353</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45353</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45353</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45353</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45353</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45353</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45353</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45353</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45353</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45353</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45353</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45353</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45353</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45353</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45353</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45353</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45353</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45353</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45353</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45353</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45353</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45353</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45353</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45353</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45353</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45353</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45353</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45353</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45353</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45353</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45353</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45353</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45353</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45353</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45353</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45353</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45353</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45353</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45353</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45353</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45353</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45353</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45353</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45353</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45353</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45353</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45353</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45353</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45353</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45353</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45353</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45353</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45353</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45353</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45353</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45353</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45353</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45353</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45353</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45353</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45353</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45353</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45353</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45353</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45353</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45353</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45353</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45353</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45353</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45353</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45353</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45353</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45353</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45353</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45353</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45353</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45353</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45353</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45353</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45353</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45353</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45353</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45353</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45353</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45353</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45353</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45353</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45353</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45353</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45353</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45353</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45353</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45353</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45353</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45353</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45353</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45353</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45353</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45353</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45353</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45353</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45353</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45353</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45353</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45353</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45353</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45353</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45353</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45353</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45353</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45353</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45353</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45353</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45353</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45353</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45353</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45353</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45353</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45353</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45353</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45353</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45353</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45353</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45353</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45353</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45353</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45353</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45353</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45353</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45353</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45353</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45353</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45353</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45353</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45353</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45353</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45353</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45353</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45353</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45353</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45353</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45353</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45353</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45353</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45353</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45353</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45353</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45353</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45353</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45353</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45353</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45353</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45353</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45353</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45353</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45353</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45353</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45353</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45353</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45353</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45353</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45353</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45353</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45353</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45353</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45353</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45353</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45353</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45353</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45353</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45353</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45353</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45353</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45353</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45353</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45353</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45353</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45353</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45353</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45353</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45353</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45353</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45353</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45353</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45353</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45353</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45353</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45353</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45353</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45353</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45353</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45353</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45353</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45353</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45353</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45353</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45353</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45353</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45353</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45353</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45353</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45353</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45353</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45353</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45353</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45353</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45353</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45353</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45353</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45353</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45353</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45353</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45353</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45353</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45353</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45353</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45353</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45353</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45353</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45353</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45353</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45353</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45353</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45353</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45353</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45353</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45353</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45353</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45353</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45353</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45353</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45353</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45353</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45353</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45353</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45353</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45353</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45353</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45353</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45353</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45353</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45353</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45353</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45353</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45353</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45353</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45353</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45353</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45353</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45353</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45353</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45353</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45353</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45353</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45353</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45353</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45353</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45353</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45353</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45353</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45353</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45353</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45353</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45353</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45353</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45353</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45353</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45353</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45353</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45353</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45353</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45353</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45353</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45353</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45353</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45353</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45353</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45353</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45353</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45353</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45353</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45353</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45353</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45353</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45353</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45353</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45353</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45353</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45353</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45353</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45353</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45353</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45353</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45353</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45353</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45353</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45353</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45353</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45353</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45353</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45353</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45353</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45353</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45353</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45353</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45353</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45353</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45353</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45353</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45353</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45353</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45353</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45353</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45353</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45353</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45353</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45353</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45353</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45353</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45353</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45353</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45353</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45353</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45353</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45353</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45353</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45353</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45353</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45353</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45353</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45353</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45353</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45353</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45353</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45353</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45353</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45353</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45353</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45353</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45353</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45353</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45353</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45353</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45353</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45353</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45353</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45353</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45353</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45353</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45353</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45353</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45353</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45353</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45353</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45353</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45353</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45353</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45353</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45353</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45353</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45353</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45353</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45353</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45353</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45353</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45353</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45353</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45353</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45353</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45353</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45353</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45353</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45353</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45353</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45353</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45353</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45353</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45353</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45353</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45353</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45353</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45353</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45353</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45353</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45353</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45353</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45353</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45353</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45353</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45353</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45353</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45353</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45353</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45353</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45353</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45353</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45353</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45353</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45353</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45353</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45353</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45353</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45353</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45353</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45353</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45353</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45353</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45353</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45353</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45353</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45353</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45353</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45353</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45353</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45353</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45353</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45353</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45353</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45353</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45353</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45353</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45353</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45353</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45353</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45353</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45353</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45353</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45353</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45353</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45353</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45353</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45353</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45353</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45353</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45353</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45353</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45353</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45353</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45353</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45353</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45353</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45353</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45353</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45353</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45353</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45353</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45353</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45353</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45353</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45353</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45353</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45353</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45353</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45353</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45353</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45353</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45353</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45353</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45353</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45353</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45353</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45353</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45353</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45353</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45353</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45353</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45353</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45353</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45353</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45353</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45353</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45353</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45353</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45353</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45353</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45353</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45353</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45353</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45353</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45353</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45353</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45353</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45353</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45353</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45353</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45353</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45353</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45353</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45353</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45353</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45353</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45353</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45353</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45353</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45353</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45353</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45353</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45353</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45353</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45353</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45353</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45353</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45353</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45353</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45353</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45353</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45353</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45353</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45353</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45353</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45353</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45353</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45353</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45353</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45353</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45353</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45353</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45353</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45353</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45353</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45353</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45353</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45353</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45353</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45353</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45353</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45353</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45353</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45353</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45353</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45353</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45353</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45353</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45353</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45353</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45353</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45353</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45353</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45353</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45353</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45353</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45353</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45353</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45353</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45353</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45353</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45353</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45353</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45353</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45353</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45353</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45353</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45353</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45353</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45353</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45353</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45353</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45353</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45353</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45353</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45353</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45353</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45353</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45353</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45353</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45353</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45353</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45353</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45353</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45353</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45353</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45353</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45353</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45353</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45353</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45353</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45353</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45353</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45353</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45353</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45353</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45353</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45353</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45353</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45353</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45353</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45353</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45353</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45353</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45353</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45353</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45353</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45353</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45353</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45353</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45353</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45353</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45353</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45353</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45353</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45353</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45353</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45353</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45353</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45353</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45353</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45353</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45353</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45353</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45353</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45353</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45353</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45353</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45353</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45353</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45353</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45353</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45353</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45353</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45353</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45353</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45353</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45353</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45353</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45353</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45353</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45353</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45353</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45353</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45353</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45353</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45353</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45353</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45353</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45353</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45353</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45353</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45353</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45353</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45353</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45353</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45353</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45353</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45353</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45353</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45353</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45353</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45353</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45353</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45353</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45353</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45353</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45353</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45353</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45353</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45353</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45353</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45353</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45353</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45353</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45353</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45353</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45353</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45353</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45353</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45353</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45353</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45353</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45353</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45353</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45353</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45353</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45353</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45353</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45353</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45353</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45353</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45353</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45353</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45353</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45353</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45353</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45353</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45353</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45353</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45353</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45353</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45353</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45353</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45353</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45353</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45353</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45353</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45353</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45353</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45353</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45353</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45353</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45353</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45353</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45353</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45353</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45353</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45353</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45353</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45353</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45353</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45353</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45353</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45353</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45353</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45353</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45353</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45353</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45353</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45353</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45353</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45353</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45353</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45353</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45353</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45353</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45353</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45353</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45353</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45353</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45353</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45353</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45353</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45353</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45353</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45353</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45353</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45353</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45353</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45353</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45353</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45353</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45353</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45353</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45353</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45353</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45353</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45353</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45353</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45353</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45353</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45353</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45353</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45353</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45353</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45353</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45353</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45353</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45353</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45353</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45353</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45353</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45353</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45353</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45353</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45353</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45353</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45353</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45353</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45353</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45353</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45353</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45353</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45353</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45353</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45353</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45353</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45353</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45353</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45353</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45353</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45353</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45353</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45353</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45353</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45353</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45353</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45353</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45353</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45353</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45353</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45353</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45353</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45353</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45353</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45353</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45353</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45353</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45353</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45353</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45353</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45353</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45353</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45353</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45353</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45353</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45353</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45353</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45353</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45353</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45353</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45353</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45353</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45353</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45353</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45353</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45353</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45353</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45353</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45353</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45353</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45353</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45353</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45353</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45353</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45353</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45353</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45353</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45353</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45353</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45353</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45353</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45353</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45353</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45353</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45353</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45353</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45353</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45353</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45353</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45353</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45353</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45353</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45353</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45353</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45353</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45353</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45353</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45353</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45353</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45353</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45353</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45353</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45353</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45353</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45353</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45353</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45353</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45353</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45353</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45353</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45353</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45353</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45353</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45353</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45353</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45353</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45353</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45353</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45353</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45353</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45353</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45353</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45353</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45353</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45353</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45353</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45353</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45353</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45353</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45353</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45353</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45353</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45353</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45353</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45353</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45353</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45353</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45353</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45353</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45353</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45353</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45353</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45353</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45353</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45353</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45353</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45353</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45353</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45353</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45353</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45353</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45353</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45353</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45353</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45353</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45353</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45353</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45353</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45353</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45353</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45353</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45353</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45353</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45353</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45353</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45353</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45353</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45353</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45353</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45353</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45353</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45353</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45353</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45353</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45353</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45353</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45353</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45353</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45353</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45353</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45353</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45353</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45353</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45353</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45353</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45353</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45353</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45353</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45353</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45353</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45353</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45353</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45353</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45353</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45353</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45353</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45353</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45353</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45353</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45353</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45353</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45353</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45353</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45353</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45353</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45353</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45353</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45353</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45353</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45353</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45353</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45353</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45353</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45353</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45353</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45353</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45353</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45353</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45353</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45353</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45353</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45353</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45353</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45353</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45353</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45353</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45353</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45353</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45353</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45353</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45353</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45353</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45353</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45353</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45353</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45353</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45353</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45353</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45353</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45353</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45353</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45353</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45353</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45353</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45353</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45353</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45353</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45353</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45353</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45353</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45353</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45353</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45353</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45353</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45353</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45353</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45353</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45353</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45353</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45353</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45353</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45353</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45353</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45353</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45353</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45353</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45353</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45353</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45353</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45353</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45353</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45353</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45353</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45353</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45353</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45353</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45353</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45353</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45353</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45353</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45353</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45353</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45353</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45353</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45353</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45353</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45353</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45353</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45353</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45353</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45353</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45353</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45353</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45353</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45353</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45353</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45353</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45353</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45353</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45353</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45353</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45353</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45353</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45353</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45353</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45353</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45353</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45353</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45353</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45353</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45353</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45353</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45353</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45353</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45353</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45353</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45353</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45353</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45353</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45353</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45353</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45353</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45353</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45353</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45353</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45353</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45353</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45353</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45353</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45353</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45353</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45353</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45353</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45353</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45353</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45353</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45353</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45353</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45353</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45353</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45353</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45353</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45353</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45353</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45353</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45353</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45353</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45353</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45353</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45353</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45353</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45353</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45353</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45353</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45353</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45353</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45353</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45353</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45353</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45353</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45353</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45353</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45353</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45353</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45353</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45353</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45353</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45353</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45353</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45353</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45353</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45353</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45353</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45353</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45353</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45353</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45353</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45353</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45353</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45353</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45353</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45353</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45353</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45353</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45353</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45353</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45353</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45353</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45353</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45353</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45353</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45353</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45353</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45353</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45353</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45353</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45353</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45353</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45353</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45353</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45353</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45353</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45353</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45353</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45353</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45353</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45353</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45353</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45353</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45353</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45353</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45353</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45353</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45353</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45353</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45353</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45353</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45353</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45353</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45353</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45353</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45353</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45353</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45353</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45353</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45353</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45353</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45353</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45353</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45353</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45353</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45353</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45353</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45353</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45353</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45353</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45353</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45353</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45353</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45353</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45353</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45353</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45353</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45353</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45353</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45353</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45353</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45353</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45353</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45353</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45353</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45353</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45353</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45353</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45353</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45353</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45353</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45353</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45353</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45353</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45353</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45353</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45353</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45353</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45353</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45353</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45353</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45353</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45353</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45353</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45353</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45353</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45353</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45353</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45353</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45353</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45353</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45353</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45353</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45353</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45353</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45353</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45353</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45353</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45353</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45353</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45353</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45353</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45353</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45353</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45353</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45353</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45353</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45353</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45353</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45353</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45353</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45353</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45353</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45353</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45353</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45353</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45353</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45353</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45353</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45353</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45353</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45353</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45353</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45353</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45353</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45353</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45353</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45353</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45353</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45353</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45353</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45353</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45353</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45353</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45353</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45353</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45353</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45353</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45353</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45353</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45353</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45353</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45353</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45353</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45353</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45353</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45353</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45353</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45353</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45353</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45353</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45353</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45353</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45353</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45353</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45353</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45353</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45353</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45353</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45353</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45353</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45353</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45353</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45353</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45353</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45353</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45353</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45353</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45353</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45353</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45353</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45353</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45353</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45353</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45353</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45353</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45353</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45353</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45353</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45353</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45353</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45353</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45353</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45353</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45353</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45353</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45353</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45353</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45353</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45353</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45353</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45353</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45353</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45353</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45353</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45353</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45353</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45353</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45353</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45353</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45353</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45353</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45353</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45353</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45353</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45353</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45353</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45353</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45353</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45353</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45353</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45353</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45353</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45353</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45353</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45353</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45353</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45353</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45353</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45353</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45353</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45353</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45353</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45353</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45353</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45353</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45353</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45353</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45353</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45353</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45353</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45353</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45353</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45353</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45353</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45353</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45353</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45353</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45353</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45353</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45353</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45353</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45353</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45353</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45353</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45353</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45353</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45353</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45353</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45353</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45353</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45353</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45353</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45353</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45353</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45353</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45353</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45353</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45353</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45353</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45353</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45353</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45353</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45353</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45353</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45353</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45353</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45353</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45353</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45353</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45353</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45353</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45353</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45353</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45353</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45353</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45353</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45353</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45353</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45353</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45353</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45353</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45353</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45353</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45353</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45353</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45353</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45353</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45353</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45353</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45353</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45353</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45353</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45353</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45353</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45353</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45353</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45353</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45353</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45353</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45353</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45353</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45353</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45353</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45353</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45353</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45353</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45353</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45353</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45353</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45353</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45353</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45353</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45353</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45353</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45353</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45353</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45353</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45353</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45353</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45353</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45353</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45353</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45353</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45353</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45353</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45353</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45353</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45353</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45353</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45353</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45353</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45353</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45353</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45353</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45353</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45353</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45353</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45353</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45353</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45353</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45353</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45353</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45353</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45353</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45353</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45353</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45353</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45353</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45353</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45353</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45353</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45353</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45353</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45353</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45353</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45353</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45353</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45353</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45353</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45353</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45353</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45353</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45353</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45353</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45353</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45353</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45353</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45353</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45353</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45353</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45353</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45353</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45353</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45353</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45353</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45353</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45353</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45353</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45353</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45353</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45353</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45353</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45353</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45353</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45353</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45353</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45353</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45353</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45353</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45353</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45353</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45353</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45353</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45353</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45353</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45353</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45353</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45353</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45353</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45353</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45353</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45353</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45353</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45353</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45353</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45353</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45353</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45353</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45353</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45353</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45353</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45353</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45353</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45353</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45353</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45353</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45353</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45353</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45353</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45353</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45353</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45353</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45353</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45353</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45353</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45353</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45353</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45353</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45353</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45353</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45353</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45353</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45353</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45353</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45353</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45353</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45353</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45353</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45353</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45353</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45353</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45353</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45353</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45353</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45353</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45353</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45353</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45353</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45353</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45353</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45353</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45353</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45353</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45353</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45353</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45353</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45353</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45353</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45353</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45353</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45353</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45353</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45353</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45353</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45353</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45353</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45353</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45353</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45353</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45353</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45353</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45353</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45353</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45353</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45353</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45353</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45353</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45353</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45353</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45353</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45353</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45353</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45353</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45353</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45353</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45353</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45353</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45353</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45353</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45353</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45353</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45353</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45353</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45353</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45353</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45353</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45353</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45353</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45353</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45353</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45353</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45353</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45353</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45353</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45353</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45353</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45353</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45353</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45353</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45353</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45353</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45353</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45353</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45353</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45353</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45353</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45353</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45353</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45353</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45353</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45353</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45353</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45353</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45353</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45353</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45353</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45353</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45353</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45353</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45353</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45353</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45353</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45353</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45353</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45353</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45353</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45353</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45353</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45353</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45353</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45353</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45353</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45353</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45353</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45353</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45353</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45353</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45353</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45353</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45353</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45353</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45353</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45353</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45353</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45353</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45353</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45353</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45353</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45353</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45353</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45353</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45353</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45353</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45353</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45353</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45353</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45353</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45353</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45353</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45353</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45353</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45353</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45353</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45353</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45353</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45353</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45353</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45353</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45353</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45353</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45353</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45353</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45353</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45353</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45353</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45353</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45353</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45353</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45353</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45353</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45353</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45353</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45353</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45353</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45353</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45353</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45353</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45353</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45353</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45353</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45353</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45353</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45353</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45353</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45353</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45353</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45353</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45353</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45353</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45353</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45353</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45353</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45353</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45353</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45353</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45353</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45353</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45353</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45353</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45353</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45353</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45353</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45353</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45353</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45353</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45353</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45353</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45353</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45353</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45353</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45353</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45353</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45353</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45353</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45353</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45353</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45353</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45353</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45353</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45353</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45353</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45353</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45353</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45353</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45353</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45353</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45353</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45353</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45353</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45353</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45353</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45353</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45353</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45353</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45353</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45353</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45353</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45353</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45353</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45353</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45353</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45353</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45353</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45353</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45353</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45353</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45353</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45353</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45353</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45353</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45353</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45353</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45353</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45353</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45353</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45353</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45353</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45353</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45353</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45353</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45353</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45353</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45353</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45353</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45353</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45353</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45353</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45353</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45353</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45353</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45353</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45353</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45353</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45353</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45353</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45353</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45353</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45353</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45353</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45353</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45353</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45353</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45353</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45353</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45353</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45353</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45353</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45353</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45353</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45353</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45353</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45353</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45353</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45353</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45353</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45353</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45353</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45353</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45353</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45353</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45353</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45353</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45353</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45353</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45353</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45353</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45353</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45353</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45353</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45353</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45353</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45353</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45353</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45353</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45353</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45353</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45353</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45353</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45353</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45353</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45353</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45353</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45353</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45353</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45353</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45353</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45353</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45353</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45353</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45353</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45353</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45353</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45353</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45353</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45353</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45353</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45353</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45353</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45353</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45353</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45353</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45353</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45353</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45353</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45353</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45353</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45353</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45353</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45353</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45353</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45353</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45353</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45353</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45353</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45353</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45353</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45353</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45353</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45353</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45353</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45353</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45353</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45353</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45353</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45353</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45353</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45353</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45353</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45353</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45353</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45353</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45353</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45353</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45353</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45353</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45353</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45353</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45353</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45353</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45353</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45353</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45353</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45353</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45353</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45353</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45353</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45353</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45353</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45353</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45353</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45353</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45353</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45353</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45353</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45353</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45353</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45353</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45353</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45353</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45353</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45353</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45353</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45353</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45353</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45353</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45353</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45353</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45353</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45353</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45353</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45353</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45353</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45353</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45353</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45353</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45353</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45353</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45353</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45353</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45353</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45353</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45353</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45353</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45353</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45353</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45353</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45353</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45353</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45353</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45353</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45353</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45353</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45353</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45353</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45353</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45353</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45353</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45353</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45353</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45353</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45353</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45353</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45353</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45353</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45353</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45353</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45353</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45353</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45353</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45353</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45353</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45353</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45353</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45353</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45353</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45353</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45353</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45353</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45353</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45353</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45353</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45353</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45353</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45353</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45353</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45353</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45353</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45353</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45353</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45353</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45353</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45353</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45353</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45353</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45353</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45353</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45353</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45353</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45353</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45353</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45353</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45353</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45353</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45353</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45353</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45353</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45353</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45353</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45353</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45353</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45353</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45353</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45353</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45353</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45353</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45353</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45353</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45353</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45353</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45353</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45353</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45353</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45353</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45353</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45353</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45353</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45353</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45353</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45353</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45353</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45353</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45353</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45353</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45353</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45353</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45353</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45353</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45353</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45353</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45353</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45353</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45353</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45353</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45353</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45353</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45353</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45353</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45353</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45353</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45353</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45353</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45353</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45353</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45353</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45353</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45353</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45353</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45353</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45353</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45353</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45353</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45353</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45353</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45353</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45353</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45353</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45353</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45353</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45353</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45353</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45353</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45353</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45353</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45353</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45353</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45353</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45353</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45353</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45353</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45353</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45353</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45353</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45353</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45353</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45353</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45353</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45353</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45353</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45353</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45353</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45353</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45353</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45353</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45353</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45353</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45353</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45353</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45353</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45353</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45353</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45353</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45353</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45353</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45353</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45353</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45353</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45353</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45353</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45353</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45353</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45353</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45353</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45353</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45353</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45353</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45353</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45353</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45353</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45353</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45353</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45353</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45353</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45353</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45353</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45353</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45353</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45353</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45353</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45353</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45353</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45353</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45353</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45353</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45353</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45353</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45353</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45353</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45353</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45353</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45353</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45353</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45353</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45353</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45353</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45353</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45353</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45353</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45353</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45353</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45353</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45353</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45353</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45353</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45353</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45353</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45353</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45353</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45353</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45353</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45353</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45353</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45353</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45353</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45353</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45353</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45353</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45353</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45353</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45353</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45353</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45353</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45353</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45353</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45353</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45353</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45353</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45353</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45353</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45353</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45353</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45353</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45353</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45353</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45353</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45353</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45353</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45353</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45353</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45353</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45353</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45353</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45353</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45353</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45353</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45353</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45353</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45353</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45353</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45353</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45353</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45353</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45353</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45353</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45353</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45353</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45353</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45353</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45353</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45353</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45353</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45353</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45353</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45353</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45353</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45353</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45353</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45353</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45353</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45353</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45353</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45353</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45353</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45353</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45353</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45353</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45353</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45353</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45353</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45353</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45353</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45353</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45353</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45353</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45353</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45353</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45353</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45353</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45353</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45353</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45353</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45353</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45353</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45353</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45353</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45353</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45353</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45353</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45353</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45353</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45353</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45353</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45353</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45353</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45353</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45353</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45353</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45353</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45353</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45353</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45353</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45353</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45353</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45353</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45353</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45353</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45353</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45353</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45353</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45353</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45353</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45353</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45353</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45353</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45353</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45353</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45353</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45353</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45353</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45353</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45353</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45353</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45353</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45353</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45353</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45353</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45353</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45353</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45353</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45353</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45353</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45353</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45353</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45353</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45353</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45353</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45353</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45353</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45353</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45353</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45353</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45353</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45353</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45353</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45353</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45353</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45353</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45353</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45353</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45353</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45353</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45353</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45353</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45353</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45353</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45353</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45353</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45353</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45353</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45353</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45353</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45353</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45353</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45353</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45353</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45353</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45353</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45353</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45353</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45353</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45353</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45353</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45353</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45353</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45353</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45353</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45353</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45353</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45353</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45353</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45353</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45353</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45353</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45353</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45353</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45353</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45353</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45353</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45353</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45353</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45353</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45353</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45353</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45353</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45353</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45353</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45353</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45353</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45353</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45353</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45353</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45353</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45353</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45353</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45353</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45353</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45353</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45353</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45353</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45353</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45353</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45353</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45353</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45353</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45353</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45353</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45353</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45353</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45353</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45353</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45353</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45353</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45353</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45353</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45353</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45353</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45353</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45353</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45353</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45353</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45353</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45353</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45353</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45353</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45353</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45353</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45353</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45353</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45353</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45353</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45353</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45353</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45353</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45353</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45353</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45353</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45353</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45353</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45353</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45353</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45353</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45353</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45353</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45353</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45353</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45353</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45353</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45353</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45353</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45353</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45353</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45353</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45353</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45353</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45353</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45353</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45353</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45353</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45353</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45353</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45353</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45353</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45353</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45353</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45353</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45353</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45353</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45353</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45353</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45353</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45353</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45353</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45353</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45353</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45353</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45353</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45353</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45353</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45353</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45353</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45353</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45353</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45353</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45353</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45353</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45353</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45353</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45353</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45353</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45353</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45353</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45353</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45353</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45353</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45353</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45353</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45353</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45353</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45353</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45353</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45353</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45353</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45353</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45353</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45353</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45353</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45353</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45353</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45353</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45353</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45353</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45353</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45353</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45353</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45353</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45353</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45353</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45353</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45353</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45353</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45353</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45353</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45353</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45353</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45353</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45353</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45353</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45353</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45353</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45353</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45353</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45353</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45353</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45353</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45353</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45353</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45353</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45353</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45353</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45353</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45353</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45353</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45353</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45353</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45353</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45353</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45353</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45353</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45353</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45353</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45353</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45353</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45353</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45353</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45353</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45353</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45353</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45353</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45353</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45353</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45353</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45353</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45353</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45353</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45353</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45353</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45353</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45353</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45353</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45353</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45353</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45353</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45353</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45353</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45353</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45353</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45353</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45353</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45353</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45353</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45353</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45353</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45353</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45353</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45353</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45353</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45353</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45353</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45353</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45353</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45353</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45353</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45353</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45353</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45353</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45353</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45353</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45353</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45353</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45353</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45353</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45353</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45353</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45353</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45353</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45353</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45353</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45353</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45353</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45353</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45353</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45353</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45353</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45353</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45353</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45353</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45353</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45353</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45353</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45353</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45353</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45353</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45353</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45353</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45353</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45353</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45353</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45353</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45353</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45353</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45353</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45353</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45353</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45353</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45353</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45353</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45353</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45353</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45353</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45353</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45353</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45353</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45353</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45353</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45353</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45353</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45353</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45353</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45353</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45353</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45353</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45353</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45353</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45353</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45353</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45353</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45353</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45353</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45353</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45353</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45353</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45353</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45353</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45353</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45353</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45353</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45353</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45353</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45353</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45353</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45353</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45353</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45353</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45353</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45353</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45353</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45353</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45353</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45353</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45353</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45353</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45353</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45353</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45353</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45353</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45353</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45353</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45353</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45353</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45353</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45353</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45353</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45353</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45353</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45353</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45353</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45353</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45353</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45353</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45353</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45353</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45353</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45353</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45353</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45353</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45353</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45353</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45353</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45353</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45353</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45353</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45353</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45353</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45353</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45353</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45353</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45353</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45353</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45353</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45353</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45353</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45353</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45353</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45353</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45353</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45353</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45353</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45353</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45353</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45353</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45353</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3364-2024</t>
        </is>
      </c>
      <c r="B14355" s="1" t="n">
        <v>45317</v>
      </c>
      <c r="C14355" s="1" t="n">
        <v>45353</v>
      </c>
      <c r="D14355" t="inlineStr">
        <is>
          <t>VÄRMLANDS LÄN</t>
        </is>
      </c>
      <c r="E14355" t="inlineStr">
        <is>
          <t>ARVIKA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3350-2024</t>
        </is>
      </c>
      <c r="B14356" s="1" t="n">
        <v>45317</v>
      </c>
      <c r="C14356" s="1" t="n">
        <v>45353</v>
      </c>
      <c r="D14356" t="inlineStr">
        <is>
          <t>VÄRMLANDS LÄN</t>
        </is>
      </c>
      <c r="E14356" t="inlineStr">
        <is>
          <t>SUNNE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45353</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45353</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3326-2024</t>
        </is>
      </c>
      <c r="B14359" s="1" t="n">
        <v>45317</v>
      </c>
      <c r="C14359" s="1" t="n">
        <v>45353</v>
      </c>
      <c r="D14359" t="inlineStr">
        <is>
          <t>VÄRMLANDS LÄN</t>
        </is>
      </c>
      <c r="E14359" t="inlineStr">
        <is>
          <t>TORSBY</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3335-2024</t>
        </is>
      </c>
      <c r="B14360" s="1" t="n">
        <v>45317</v>
      </c>
      <c r="C14360" s="1" t="n">
        <v>45353</v>
      </c>
      <c r="D14360" t="inlineStr">
        <is>
          <t>VÄRMLANDS LÄN</t>
        </is>
      </c>
      <c r="E14360" t="inlineStr">
        <is>
          <t>SUNNE</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45353</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3298-2024</t>
        </is>
      </c>
      <c r="B14362" s="1" t="n">
        <v>45317</v>
      </c>
      <c r="C14362" s="1" t="n">
        <v>45353</v>
      </c>
      <c r="D14362" t="inlineStr">
        <is>
          <t>VÄRMLANDS LÄN</t>
        </is>
      </c>
      <c r="E14362" t="inlineStr">
        <is>
          <t>TORSBY</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3311-2024</t>
        </is>
      </c>
      <c r="B14363" s="1" t="n">
        <v>45317</v>
      </c>
      <c r="C14363" s="1" t="n">
        <v>45353</v>
      </c>
      <c r="D14363" t="inlineStr">
        <is>
          <t>VÄRMLANDS LÄN</t>
        </is>
      </c>
      <c r="E14363" t="inlineStr">
        <is>
          <t>ÅRJÄNG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45353</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3494-2024</t>
        </is>
      </c>
      <c r="B14365" s="1" t="n">
        <v>45320</v>
      </c>
      <c r="C14365" s="1" t="n">
        <v>45353</v>
      </c>
      <c r="D14365" t="inlineStr">
        <is>
          <t>VÄRMLANDS LÄN</t>
        </is>
      </c>
      <c r="E14365" t="inlineStr">
        <is>
          <t>SÄFFLE</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3499-2024</t>
        </is>
      </c>
      <c r="B14366" s="1" t="n">
        <v>45320</v>
      </c>
      <c r="C14366" s="1" t="n">
        <v>45353</v>
      </c>
      <c r="D14366" t="inlineStr">
        <is>
          <t>VÄRMLANDS LÄN</t>
        </is>
      </c>
      <c r="E14366" t="inlineStr">
        <is>
          <t>SÄFFLE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3536-2024</t>
        </is>
      </c>
      <c r="B14367" s="1" t="n">
        <v>45320</v>
      </c>
      <c r="C14367" s="1" t="n">
        <v>45353</v>
      </c>
      <c r="D14367" t="inlineStr">
        <is>
          <t>VÄRMLANDS LÄN</t>
        </is>
      </c>
      <c r="E14367" t="inlineStr">
        <is>
          <t>TORSBY</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3540-2024</t>
        </is>
      </c>
      <c r="B14368" s="1" t="n">
        <v>45320</v>
      </c>
      <c r="C14368" s="1" t="n">
        <v>45353</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3511-2024</t>
        </is>
      </c>
      <c r="B14369" s="1" t="n">
        <v>45320</v>
      </c>
      <c r="C14369" s="1" t="n">
        <v>45353</v>
      </c>
      <c r="D14369" t="inlineStr">
        <is>
          <t>VÄRMLANDS LÄN</t>
        </is>
      </c>
      <c r="E14369" t="inlineStr">
        <is>
          <t>KRISTINEHAMN</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3541-2024</t>
        </is>
      </c>
      <c r="B14370" s="1" t="n">
        <v>45320</v>
      </c>
      <c r="C14370" s="1" t="n">
        <v>45353</v>
      </c>
      <c r="D14370" t="inlineStr">
        <is>
          <t>VÄRMLANDS LÄN</t>
        </is>
      </c>
      <c r="E14370" t="inlineStr">
        <is>
          <t>KARLSTAD</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3576-2024</t>
        </is>
      </c>
      <c r="B14371" s="1" t="n">
        <v>45320</v>
      </c>
      <c r="C14371" s="1" t="n">
        <v>45353</v>
      </c>
      <c r="D14371" t="inlineStr">
        <is>
          <t>VÄRMLANDS LÄN</t>
        </is>
      </c>
      <c r="E14371" t="inlineStr">
        <is>
          <t>FORSHAGA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3479-2024</t>
        </is>
      </c>
      <c r="B14372" s="1" t="n">
        <v>45320</v>
      </c>
      <c r="C14372" s="1" t="n">
        <v>45353</v>
      </c>
      <c r="D14372" t="inlineStr">
        <is>
          <t>VÄRMLANDS LÄN</t>
        </is>
      </c>
      <c r="E14372" t="inlineStr">
        <is>
          <t>TORSBY</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3517-2024</t>
        </is>
      </c>
      <c r="B14373" s="1" t="n">
        <v>45320</v>
      </c>
      <c r="C14373" s="1" t="n">
        <v>45353</v>
      </c>
      <c r="D14373" t="inlineStr">
        <is>
          <t>VÄRMLANDS LÄN</t>
        </is>
      </c>
      <c r="E14373" t="inlineStr">
        <is>
          <t>ARVIKA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45353</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3485-2024</t>
        </is>
      </c>
      <c r="B14375" s="1" t="n">
        <v>45320</v>
      </c>
      <c r="C14375" s="1" t="n">
        <v>45353</v>
      </c>
      <c r="D14375" t="inlineStr">
        <is>
          <t>VÄRMLANDS LÄN</t>
        </is>
      </c>
      <c r="E14375" t="inlineStr">
        <is>
          <t>HAGFORS</t>
        </is>
      </c>
      <c r="F14375" t="inlineStr">
        <is>
          <t>Bergvik skog väst AB</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3491-2024</t>
        </is>
      </c>
      <c r="B14376" s="1" t="n">
        <v>45320</v>
      </c>
      <c r="C14376" s="1" t="n">
        <v>45353</v>
      </c>
      <c r="D14376" t="inlineStr">
        <is>
          <t>VÄRMLANDS LÄN</t>
        </is>
      </c>
      <c r="E14376" t="inlineStr">
        <is>
          <t>SÄFFLE</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3501-2024</t>
        </is>
      </c>
      <c r="B14377" s="1" t="n">
        <v>45320</v>
      </c>
      <c r="C14377" s="1" t="n">
        <v>45353</v>
      </c>
      <c r="D14377" t="inlineStr">
        <is>
          <t>VÄRMLANDS LÄN</t>
        </is>
      </c>
      <c r="E14377" t="inlineStr">
        <is>
          <t>SÄFFLE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3555-2024</t>
        </is>
      </c>
      <c r="B14378" s="1" t="n">
        <v>45320</v>
      </c>
      <c r="C14378" s="1" t="n">
        <v>45353</v>
      </c>
      <c r="D14378" t="inlineStr">
        <is>
          <t>VÄRMLANDS LÄN</t>
        </is>
      </c>
      <c r="E14378" t="inlineStr">
        <is>
          <t>ARVIKA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3591-2024</t>
        </is>
      </c>
      <c r="B14379" s="1" t="n">
        <v>45320</v>
      </c>
      <c r="C14379" s="1" t="n">
        <v>45353</v>
      </c>
      <c r="D14379" t="inlineStr">
        <is>
          <t>VÄRMLANDS LÄN</t>
        </is>
      </c>
      <c r="E14379" t="inlineStr">
        <is>
          <t>TORSBY</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3578-2024</t>
        </is>
      </c>
      <c r="B14380" s="1" t="n">
        <v>45320</v>
      </c>
      <c r="C14380" s="1" t="n">
        <v>45353</v>
      </c>
      <c r="D14380" t="inlineStr">
        <is>
          <t>VÄRMLANDS LÄN</t>
        </is>
      </c>
      <c r="E14380" t="inlineStr">
        <is>
          <t>ARVIKA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3590-2024</t>
        </is>
      </c>
      <c r="B14381" s="1" t="n">
        <v>45320</v>
      </c>
      <c r="C14381" s="1" t="n">
        <v>45353</v>
      </c>
      <c r="D14381" t="inlineStr">
        <is>
          <t>VÄRMLANDS LÄN</t>
        </is>
      </c>
      <c r="E14381" t="inlineStr">
        <is>
          <t>TORSBY</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3608-2024</t>
        </is>
      </c>
      <c r="B14382" s="1" t="n">
        <v>45320</v>
      </c>
      <c r="C14382" s="1" t="n">
        <v>45353</v>
      </c>
      <c r="D14382" t="inlineStr">
        <is>
          <t>VÄRMLANDS LÄN</t>
        </is>
      </c>
      <c r="E14382" t="inlineStr">
        <is>
          <t>TORSBY</t>
        </is>
      </c>
      <c r="G14382" t="n">
        <v>20.2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3673-2024</t>
        </is>
      </c>
      <c r="B14383" s="1" t="n">
        <v>45321</v>
      </c>
      <c r="C14383" s="1" t="n">
        <v>45353</v>
      </c>
      <c r="D14383" t="inlineStr">
        <is>
          <t>VÄRMLANDS LÄN</t>
        </is>
      </c>
      <c r="E14383" t="inlineStr">
        <is>
          <t>TORSBY</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3681-2024</t>
        </is>
      </c>
      <c r="B14384" s="1" t="n">
        <v>45321</v>
      </c>
      <c r="C14384" s="1" t="n">
        <v>45353</v>
      </c>
      <c r="D14384" t="inlineStr">
        <is>
          <t>VÄRMLANDS LÄN</t>
        </is>
      </c>
      <c r="E14384" t="inlineStr">
        <is>
          <t>HAGFORS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3678-2024</t>
        </is>
      </c>
      <c r="B14385" s="1" t="n">
        <v>45321</v>
      </c>
      <c r="C14385" s="1" t="n">
        <v>45353</v>
      </c>
      <c r="D14385" t="inlineStr">
        <is>
          <t>VÄRMLANDS LÄN</t>
        </is>
      </c>
      <c r="E14385" t="inlineStr">
        <is>
          <t>TORSBY</t>
        </is>
      </c>
      <c r="G14385" t="n">
        <v>24.6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3698-2024</t>
        </is>
      </c>
      <c r="B14386" s="1" t="n">
        <v>45321</v>
      </c>
      <c r="C14386" s="1" t="n">
        <v>45353</v>
      </c>
      <c r="D14386" t="inlineStr">
        <is>
          <t>VÄRMLANDS LÄN</t>
        </is>
      </c>
      <c r="E14386" t="inlineStr">
        <is>
          <t>SUNNE</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3720-2024</t>
        </is>
      </c>
      <c r="B14387" s="1" t="n">
        <v>45321</v>
      </c>
      <c r="C14387" s="1" t="n">
        <v>45353</v>
      </c>
      <c r="D14387" t="inlineStr">
        <is>
          <t>VÄRMLANDS LÄN</t>
        </is>
      </c>
      <c r="E14387" t="inlineStr">
        <is>
          <t>TORSBY</t>
        </is>
      </c>
      <c r="F14387" t="inlineStr">
        <is>
          <t>Bergvik skog väst AB</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3787-2024</t>
        </is>
      </c>
      <c r="B14388" s="1" t="n">
        <v>45321</v>
      </c>
      <c r="C14388" s="1" t="n">
        <v>45353</v>
      </c>
      <c r="D14388" t="inlineStr">
        <is>
          <t>VÄRMLANDS LÄN</t>
        </is>
      </c>
      <c r="E14388" t="inlineStr">
        <is>
          <t>ARVIKA</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3724-2024</t>
        </is>
      </c>
      <c r="B14389" s="1" t="n">
        <v>45321</v>
      </c>
      <c r="C14389" s="1" t="n">
        <v>45353</v>
      </c>
      <c r="D14389" t="inlineStr">
        <is>
          <t>VÄRMLANDS LÄN</t>
        </is>
      </c>
      <c r="E14389" t="inlineStr">
        <is>
          <t>TORSBY</t>
        </is>
      </c>
      <c r="F14389" t="inlineStr">
        <is>
          <t>Bergvik skog väst AB</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3744-2024</t>
        </is>
      </c>
      <c r="B14390" s="1" t="n">
        <v>45321</v>
      </c>
      <c r="C14390" s="1" t="n">
        <v>45353</v>
      </c>
      <c r="D14390" t="inlineStr">
        <is>
          <t>VÄRMLANDS LÄN</t>
        </is>
      </c>
      <c r="E14390" t="inlineStr">
        <is>
          <t>ARVIKA</t>
        </is>
      </c>
      <c r="F14390" t="inlineStr">
        <is>
          <t>Bergvik skog väst AB</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3768-2024</t>
        </is>
      </c>
      <c r="B14391" s="1" t="n">
        <v>45321</v>
      </c>
      <c r="C14391" s="1" t="n">
        <v>45353</v>
      </c>
      <c r="D14391" t="inlineStr">
        <is>
          <t>VÄRMLANDS LÄN</t>
        </is>
      </c>
      <c r="E14391" t="inlineStr">
        <is>
          <t>ARVIKA</t>
        </is>
      </c>
      <c r="F14391" t="inlineStr">
        <is>
          <t>Bergvik skog väst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3664-2024</t>
        </is>
      </c>
      <c r="B14392" s="1" t="n">
        <v>45321</v>
      </c>
      <c r="C14392" s="1" t="n">
        <v>45353</v>
      </c>
      <c r="D14392" t="inlineStr">
        <is>
          <t>VÄRMLANDS LÄN</t>
        </is>
      </c>
      <c r="E14392" t="inlineStr">
        <is>
          <t>EDA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3668-2024</t>
        </is>
      </c>
      <c r="B14393" s="1" t="n">
        <v>45321</v>
      </c>
      <c r="C14393" s="1" t="n">
        <v>45353</v>
      </c>
      <c r="D14393" t="inlineStr">
        <is>
          <t>VÄRMLANDS LÄN</t>
        </is>
      </c>
      <c r="E14393" t="inlineStr">
        <is>
          <t>EDA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3672-2024</t>
        </is>
      </c>
      <c r="B14394" s="1" t="n">
        <v>45321</v>
      </c>
      <c r="C14394" s="1" t="n">
        <v>45353</v>
      </c>
      <c r="D14394" t="inlineStr">
        <is>
          <t>VÄRMLANDS LÄN</t>
        </is>
      </c>
      <c r="E14394" t="inlineStr">
        <is>
          <t>TORSBY</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3692-2024</t>
        </is>
      </c>
      <c r="B14395" s="1" t="n">
        <v>45321</v>
      </c>
      <c r="C14395" s="1" t="n">
        <v>45353</v>
      </c>
      <c r="D14395" t="inlineStr">
        <is>
          <t>VÄRMLANDS LÄN</t>
        </is>
      </c>
      <c r="E14395" t="inlineStr">
        <is>
          <t>SUNNE</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3730-2024</t>
        </is>
      </c>
      <c r="B14396" s="1" t="n">
        <v>45321</v>
      </c>
      <c r="C14396" s="1" t="n">
        <v>45353</v>
      </c>
      <c r="D14396" t="inlineStr">
        <is>
          <t>VÄRMLANDS LÄN</t>
        </is>
      </c>
      <c r="E14396" t="inlineStr">
        <is>
          <t>ARVIKA</t>
        </is>
      </c>
      <c r="F14396" t="inlineStr">
        <is>
          <t>Bergvik skog väst AB</t>
        </is>
      </c>
      <c r="G14396" t="n">
        <v>22.1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3734-2024</t>
        </is>
      </c>
      <c r="B14397" s="1" t="n">
        <v>45321</v>
      </c>
      <c r="C14397" s="1" t="n">
        <v>45353</v>
      </c>
      <c r="D14397" t="inlineStr">
        <is>
          <t>VÄRMLANDS LÄN</t>
        </is>
      </c>
      <c r="E14397" t="inlineStr">
        <is>
          <t>TORSBY</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3659-2024</t>
        </is>
      </c>
      <c r="B14398" s="1" t="n">
        <v>45321</v>
      </c>
      <c r="C14398" s="1" t="n">
        <v>45353</v>
      </c>
      <c r="D14398" t="inlineStr">
        <is>
          <t>VÄRMLANDS LÄN</t>
        </is>
      </c>
      <c r="E14398" t="inlineStr">
        <is>
          <t>FILIPSTAD</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3750-2024</t>
        </is>
      </c>
      <c r="B14399" s="1" t="n">
        <v>45321</v>
      </c>
      <c r="C14399" s="1" t="n">
        <v>45353</v>
      </c>
      <c r="D14399" t="inlineStr">
        <is>
          <t>VÄRMLANDS LÄN</t>
        </is>
      </c>
      <c r="E14399" t="inlineStr">
        <is>
          <t>TORSBY</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3786-2024</t>
        </is>
      </c>
      <c r="B14400" s="1" t="n">
        <v>45321</v>
      </c>
      <c r="C14400" s="1" t="n">
        <v>45353</v>
      </c>
      <c r="D14400" t="inlineStr">
        <is>
          <t>VÄRMLANDS LÄN</t>
        </is>
      </c>
      <c r="E14400" t="inlineStr">
        <is>
          <t>FILIPSTAD</t>
        </is>
      </c>
      <c r="F14400" t="inlineStr">
        <is>
          <t>Bergvik skog väst AB</t>
        </is>
      </c>
      <c r="G14400" t="n">
        <v>13.4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3679-2024</t>
        </is>
      </c>
      <c r="B14401" s="1" t="n">
        <v>45321</v>
      </c>
      <c r="C14401" s="1" t="n">
        <v>45353</v>
      </c>
      <c r="D14401" t="inlineStr">
        <is>
          <t>VÄRMLANDS LÄN</t>
        </is>
      </c>
      <c r="E14401" t="inlineStr">
        <is>
          <t>SUNNE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3695-2024</t>
        </is>
      </c>
      <c r="B14402" s="1" t="n">
        <v>45321</v>
      </c>
      <c r="C14402" s="1" t="n">
        <v>45353</v>
      </c>
      <c r="D14402" t="inlineStr">
        <is>
          <t>VÄRMLANDS LÄN</t>
        </is>
      </c>
      <c r="E14402" t="inlineStr">
        <is>
          <t>SUNNE</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3827-2024</t>
        </is>
      </c>
      <c r="B14403" s="1" t="n">
        <v>45321</v>
      </c>
      <c r="C14403" s="1" t="n">
        <v>45353</v>
      </c>
      <c r="D14403" t="inlineStr">
        <is>
          <t>VÄRMLANDS LÄN</t>
        </is>
      </c>
      <c r="E14403" t="inlineStr">
        <is>
          <t>SUNNE</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3785-2024</t>
        </is>
      </c>
      <c r="B14404" s="1" t="n">
        <v>45321</v>
      </c>
      <c r="C14404" s="1" t="n">
        <v>45353</v>
      </c>
      <c r="D14404" t="inlineStr">
        <is>
          <t>VÄRMLANDS LÄN</t>
        </is>
      </c>
      <c r="E14404" t="inlineStr">
        <is>
          <t>ÅRJÄNG</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3822-2024</t>
        </is>
      </c>
      <c r="B14405" s="1" t="n">
        <v>45321</v>
      </c>
      <c r="C14405" s="1" t="n">
        <v>45353</v>
      </c>
      <c r="D14405" t="inlineStr">
        <is>
          <t>VÄRMLANDS LÄN</t>
        </is>
      </c>
      <c r="E14405" t="inlineStr">
        <is>
          <t>TORSBY</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3842-2024</t>
        </is>
      </c>
      <c r="B14406" s="1" t="n">
        <v>45321</v>
      </c>
      <c r="C14406" s="1" t="n">
        <v>45353</v>
      </c>
      <c r="D14406" t="inlineStr">
        <is>
          <t>VÄRMLANDS LÄN</t>
        </is>
      </c>
      <c r="E14406" t="inlineStr">
        <is>
          <t>KIL</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3852-2024</t>
        </is>
      </c>
      <c r="B14407" s="1" t="n">
        <v>45322</v>
      </c>
      <c r="C14407" s="1" t="n">
        <v>45353</v>
      </c>
      <c r="D14407" t="inlineStr">
        <is>
          <t>VÄRMLANDS LÄN</t>
        </is>
      </c>
      <c r="E14407" t="inlineStr">
        <is>
          <t>SUNNE</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3932-2024</t>
        </is>
      </c>
      <c r="B14408" s="1" t="n">
        <v>45322</v>
      </c>
      <c r="C14408" s="1" t="n">
        <v>45353</v>
      </c>
      <c r="D14408" t="inlineStr">
        <is>
          <t>VÄRMLANDS LÄN</t>
        </is>
      </c>
      <c r="E14408" t="inlineStr">
        <is>
          <t>KRISTINEHAMN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3861-2024</t>
        </is>
      </c>
      <c r="B14409" s="1" t="n">
        <v>45322</v>
      </c>
      <c r="C14409" s="1" t="n">
        <v>45353</v>
      </c>
      <c r="D14409" t="inlineStr">
        <is>
          <t>VÄRMLANDS LÄN</t>
        </is>
      </c>
      <c r="E14409" t="inlineStr">
        <is>
          <t>KARLSTAD</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3885-2024</t>
        </is>
      </c>
      <c r="B14410" s="1" t="n">
        <v>45322</v>
      </c>
      <c r="C14410" s="1" t="n">
        <v>45353</v>
      </c>
      <c r="D14410" t="inlineStr">
        <is>
          <t>VÄRMLANDS LÄN</t>
        </is>
      </c>
      <c r="E14410" t="inlineStr">
        <is>
          <t>KARLSTAD</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3897-2024</t>
        </is>
      </c>
      <c r="B14411" s="1" t="n">
        <v>45322</v>
      </c>
      <c r="C14411" s="1" t="n">
        <v>45353</v>
      </c>
      <c r="D14411" t="inlineStr">
        <is>
          <t>VÄRMLANDS LÄN</t>
        </is>
      </c>
      <c r="E14411" t="inlineStr">
        <is>
          <t>ARVIKA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3851-2024</t>
        </is>
      </c>
      <c r="B14412" s="1" t="n">
        <v>45322</v>
      </c>
      <c r="C14412" s="1" t="n">
        <v>45353</v>
      </c>
      <c r="D14412" t="inlineStr">
        <is>
          <t>VÄRMLANDS LÄN</t>
        </is>
      </c>
      <c r="E14412" t="inlineStr">
        <is>
          <t>KRISTINEHAMN</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3949-2024</t>
        </is>
      </c>
      <c r="B14413" s="1" t="n">
        <v>45322</v>
      </c>
      <c r="C14413" s="1" t="n">
        <v>45353</v>
      </c>
      <c r="D14413" t="inlineStr">
        <is>
          <t>VÄRMLANDS LÄN</t>
        </is>
      </c>
      <c r="E14413" t="inlineStr">
        <is>
          <t>SUNNE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3957-2024</t>
        </is>
      </c>
      <c r="B14414" s="1" t="n">
        <v>45322</v>
      </c>
      <c r="C14414" s="1" t="n">
        <v>45353</v>
      </c>
      <c r="D14414" t="inlineStr">
        <is>
          <t>VÄRMLANDS LÄN</t>
        </is>
      </c>
      <c r="E14414" t="inlineStr">
        <is>
          <t>GRUMS</t>
        </is>
      </c>
      <c r="F14414" t="inlineStr">
        <is>
          <t>Bergvik skog väst AB</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3979-2024</t>
        </is>
      </c>
      <c r="B14415" s="1" t="n">
        <v>45322</v>
      </c>
      <c r="C14415" s="1" t="n">
        <v>45353</v>
      </c>
      <c r="D14415" t="inlineStr">
        <is>
          <t>VÄRMLANDS LÄN</t>
        </is>
      </c>
      <c r="E14415" t="inlineStr">
        <is>
          <t>FILIPSTAD</t>
        </is>
      </c>
      <c r="G14415" t="n">
        <v>8.199999999999999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3850-2024</t>
        </is>
      </c>
      <c r="B14416" s="1" t="n">
        <v>45322</v>
      </c>
      <c r="C14416" s="1" t="n">
        <v>45353</v>
      </c>
      <c r="D14416" t="inlineStr">
        <is>
          <t>VÄRMLANDS LÄN</t>
        </is>
      </c>
      <c r="E14416" t="inlineStr">
        <is>
          <t>KRISTINEHAMN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3922-2024</t>
        </is>
      </c>
      <c r="B14417" s="1" t="n">
        <v>45322</v>
      </c>
      <c r="C14417" s="1" t="n">
        <v>45353</v>
      </c>
      <c r="D14417" t="inlineStr">
        <is>
          <t>VÄRMLANDS LÄN</t>
        </is>
      </c>
      <c r="E14417" t="inlineStr">
        <is>
          <t>TORSBY</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4047-2024</t>
        </is>
      </c>
      <c r="B14418" s="1" t="n">
        <v>45323</v>
      </c>
      <c r="C14418" s="1" t="n">
        <v>45353</v>
      </c>
      <c r="D14418" t="inlineStr">
        <is>
          <t>VÄRMLANDS LÄN</t>
        </is>
      </c>
      <c r="E14418" t="inlineStr">
        <is>
          <t>HAGFORS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4093-2024</t>
        </is>
      </c>
      <c r="B14419" s="1" t="n">
        <v>45323</v>
      </c>
      <c r="C14419" s="1" t="n">
        <v>45353</v>
      </c>
      <c r="D14419" t="inlineStr">
        <is>
          <t>VÄRMLANDS LÄN</t>
        </is>
      </c>
      <c r="E14419" t="inlineStr">
        <is>
          <t>SÄFFLE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4117-2024</t>
        </is>
      </c>
      <c r="B14420" s="1" t="n">
        <v>45323</v>
      </c>
      <c r="C14420" s="1" t="n">
        <v>45353</v>
      </c>
      <c r="D14420" t="inlineStr">
        <is>
          <t>VÄRMLANDS LÄN</t>
        </is>
      </c>
      <c r="E14420" t="inlineStr">
        <is>
          <t>ARVIKA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4078-2024</t>
        </is>
      </c>
      <c r="B14421" s="1" t="n">
        <v>45323</v>
      </c>
      <c r="C14421" s="1" t="n">
        <v>45353</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4030-2024</t>
        </is>
      </c>
      <c r="B14422" s="1" t="n">
        <v>45323</v>
      </c>
      <c r="C14422" s="1" t="n">
        <v>45353</v>
      </c>
      <c r="D14422" t="inlineStr">
        <is>
          <t>VÄRMLANDS LÄN</t>
        </is>
      </c>
      <c r="E14422" t="inlineStr">
        <is>
          <t>TORSBY</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4070-2024</t>
        </is>
      </c>
      <c r="B14423" s="1" t="n">
        <v>45323</v>
      </c>
      <c r="C14423" s="1" t="n">
        <v>45353</v>
      </c>
      <c r="D14423" t="inlineStr">
        <is>
          <t>VÄRMLANDS LÄN</t>
        </is>
      </c>
      <c r="E14423" t="inlineStr">
        <is>
          <t>TORSBY</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4180-2024</t>
        </is>
      </c>
      <c r="B14424" s="1" t="n">
        <v>45323</v>
      </c>
      <c r="C14424" s="1" t="n">
        <v>45353</v>
      </c>
      <c r="D14424" t="inlineStr">
        <is>
          <t>VÄRMLANDS LÄN</t>
        </is>
      </c>
      <c r="E14424" t="inlineStr">
        <is>
          <t>KRISTINEHAMN</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4181-2024</t>
        </is>
      </c>
      <c r="B14425" s="1" t="n">
        <v>45323</v>
      </c>
      <c r="C14425" s="1" t="n">
        <v>45353</v>
      </c>
      <c r="D14425" t="inlineStr">
        <is>
          <t>VÄRMLANDS LÄN</t>
        </is>
      </c>
      <c r="E14425" t="inlineStr">
        <is>
          <t>KRISTINEHAMN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4218-2024</t>
        </is>
      </c>
      <c r="B14426" s="1" t="n">
        <v>45324</v>
      </c>
      <c r="C14426" s="1" t="n">
        <v>45353</v>
      </c>
      <c r="D14426" t="inlineStr">
        <is>
          <t>VÄRMLANDS LÄN</t>
        </is>
      </c>
      <c r="E14426" t="inlineStr">
        <is>
          <t>SUNNE</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4231-2024</t>
        </is>
      </c>
      <c r="B14427" s="1" t="n">
        <v>45324</v>
      </c>
      <c r="C14427" s="1" t="n">
        <v>45353</v>
      </c>
      <c r="D14427" t="inlineStr">
        <is>
          <t>VÄRMLANDS LÄN</t>
        </is>
      </c>
      <c r="E14427" t="inlineStr">
        <is>
          <t>TORSBY</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4195-2024</t>
        </is>
      </c>
      <c r="B14428" s="1" t="n">
        <v>45324</v>
      </c>
      <c r="C14428" s="1" t="n">
        <v>45353</v>
      </c>
      <c r="D14428" t="inlineStr">
        <is>
          <t>VÄRMLANDS LÄN</t>
        </is>
      </c>
      <c r="E14428" t="inlineStr">
        <is>
          <t>ARVIKA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4253-2024</t>
        </is>
      </c>
      <c r="B14429" s="1" t="n">
        <v>45324</v>
      </c>
      <c r="C14429" s="1" t="n">
        <v>45353</v>
      </c>
      <c r="D14429" t="inlineStr">
        <is>
          <t>VÄRMLANDS LÄN</t>
        </is>
      </c>
      <c r="E14429" t="inlineStr">
        <is>
          <t>SÄFFLE</t>
        </is>
      </c>
      <c r="G14429" t="n">
        <v>5.9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4273-2024</t>
        </is>
      </c>
      <c r="B14430" s="1" t="n">
        <v>45324</v>
      </c>
      <c r="C14430" s="1" t="n">
        <v>45353</v>
      </c>
      <c r="D14430" t="inlineStr">
        <is>
          <t>VÄRMLANDS LÄN</t>
        </is>
      </c>
      <c r="E14430" t="inlineStr">
        <is>
          <t>SUNNE</t>
        </is>
      </c>
      <c r="G14430" t="n">
        <v>10.6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4279-2024</t>
        </is>
      </c>
      <c r="B14431" s="1" t="n">
        <v>45324</v>
      </c>
      <c r="C14431" s="1" t="n">
        <v>45353</v>
      </c>
      <c r="D14431" t="inlineStr">
        <is>
          <t>VÄRMLANDS LÄN</t>
        </is>
      </c>
      <c r="E14431" t="inlineStr">
        <is>
          <t>HAGFORS</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4277-2024</t>
        </is>
      </c>
      <c r="B14432" s="1" t="n">
        <v>45324</v>
      </c>
      <c r="C14432" s="1" t="n">
        <v>45353</v>
      </c>
      <c r="D14432" t="inlineStr">
        <is>
          <t>VÄRMLANDS LÄN</t>
        </is>
      </c>
      <c r="E14432" t="inlineStr">
        <is>
          <t>KRISTINEHAMN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4289-2024</t>
        </is>
      </c>
      <c r="B14433" s="1" t="n">
        <v>45324</v>
      </c>
      <c r="C14433" s="1" t="n">
        <v>45353</v>
      </c>
      <c r="D14433" t="inlineStr">
        <is>
          <t>VÄRMLANDS LÄN</t>
        </is>
      </c>
      <c r="E14433" t="inlineStr">
        <is>
          <t>SUNNE</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4200-2024</t>
        </is>
      </c>
      <c r="B14434" s="1" t="n">
        <v>45324</v>
      </c>
      <c r="C14434" s="1" t="n">
        <v>45353</v>
      </c>
      <c r="D14434" t="inlineStr">
        <is>
          <t>VÄRMLANDS LÄN</t>
        </is>
      </c>
      <c r="E14434" t="inlineStr">
        <is>
          <t>SUNNE</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4330-2024</t>
        </is>
      </c>
      <c r="B14435" s="1" t="n">
        <v>45324</v>
      </c>
      <c r="C14435" s="1" t="n">
        <v>45353</v>
      </c>
      <c r="D14435" t="inlineStr">
        <is>
          <t>VÄRMLANDS LÄN</t>
        </is>
      </c>
      <c r="E14435" t="inlineStr">
        <is>
          <t>SÄFFLE</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4186-2024</t>
        </is>
      </c>
      <c r="B14436" s="1" t="n">
        <v>45324</v>
      </c>
      <c r="C14436" s="1" t="n">
        <v>45353</v>
      </c>
      <c r="D14436" t="inlineStr">
        <is>
          <t>VÄRMLANDS LÄN</t>
        </is>
      </c>
      <c r="E14436" t="inlineStr">
        <is>
          <t>HAGFORS</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4219-2024</t>
        </is>
      </c>
      <c r="B14437" s="1" t="n">
        <v>45324</v>
      </c>
      <c r="C14437" s="1" t="n">
        <v>45353</v>
      </c>
      <c r="D14437" t="inlineStr">
        <is>
          <t>VÄRMLANDS LÄN</t>
        </is>
      </c>
      <c r="E14437" t="inlineStr">
        <is>
          <t>TORSBY</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4466-2024</t>
        </is>
      </c>
      <c r="B14438" s="1" t="n">
        <v>45326</v>
      </c>
      <c r="C14438" s="1" t="n">
        <v>45353</v>
      </c>
      <c r="D14438" t="inlineStr">
        <is>
          <t>VÄRMLANDS LÄN</t>
        </is>
      </c>
      <c r="E14438" t="inlineStr">
        <is>
          <t>ÅRJÄNG</t>
        </is>
      </c>
      <c r="G14438" t="n">
        <v>12.4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4463-2024</t>
        </is>
      </c>
      <c r="B14439" s="1" t="n">
        <v>45326</v>
      </c>
      <c r="C14439" s="1" t="n">
        <v>45353</v>
      </c>
      <c r="D14439" t="inlineStr">
        <is>
          <t>VÄRMLANDS LÄN</t>
        </is>
      </c>
      <c r="E14439" t="inlineStr">
        <is>
          <t>ARVIKA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4389-2024</t>
        </is>
      </c>
      <c r="B14440" s="1" t="n">
        <v>45326</v>
      </c>
      <c r="C14440" s="1" t="n">
        <v>45353</v>
      </c>
      <c r="D14440" t="inlineStr">
        <is>
          <t>VÄRMLANDS LÄN</t>
        </is>
      </c>
      <c r="E14440" t="inlineStr">
        <is>
          <t>KARLSTAD</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4418-2024</t>
        </is>
      </c>
      <c r="B14441" s="1" t="n">
        <v>45327</v>
      </c>
      <c r="C14441" s="1" t="n">
        <v>45353</v>
      </c>
      <c r="D14441" t="inlineStr">
        <is>
          <t>VÄRMLANDS LÄN</t>
        </is>
      </c>
      <c r="E14441" t="inlineStr">
        <is>
          <t>FILIPSTAD</t>
        </is>
      </c>
      <c r="F14441" t="inlineStr">
        <is>
          <t>Bergvik skog väst AB</t>
        </is>
      </c>
      <c r="G14441" t="n">
        <v>9.300000000000001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4430-2024</t>
        </is>
      </c>
      <c r="B14442" s="1" t="n">
        <v>45327</v>
      </c>
      <c r="C14442" s="1" t="n">
        <v>45353</v>
      </c>
      <c r="D14442" t="inlineStr">
        <is>
          <t>VÄRMLANDS LÄN</t>
        </is>
      </c>
      <c r="E14442" t="inlineStr">
        <is>
          <t>ARVIKA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4382-2024</t>
        </is>
      </c>
      <c r="B14443" s="1" t="n">
        <v>45327</v>
      </c>
      <c r="C14443" s="1" t="n">
        <v>45353</v>
      </c>
      <c r="D14443" t="inlineStr">
        <is>
          <t>VÄRMLANDS LÄN</t>
        </is>
      </c>
      <c r="E14443" t="inlineStr">
        <is>
          <t>ÅRJÄNG</t>
        </is>
      </c>
      <c r="G14443" t="n">
        <v>7.4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4388-2024</t>
        </is>
      </c>
      <c r="B14444" s="1" t="n">
        <v>45327</v>
      </c>
      <c r="C14444" s="1" t="n">
        <v>45353</v>
      </c>
      <c r="D14444" t="inlineStr">
        <is>
          <t>VÄRMLANDS LÄN</t>
        </is>
      </c>
      <c r="E14444" t="inlineStr">
        <is>
          <t>ARVIKA</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4545-2024</t>
        </is>
      </c>
      <c r="B14445" s="1" t="n">
        <v>45327</v>
      </c>
      <c r="C14445" s="1" t="n">
        <v>45353</v>
      </c>
      <c r="D14445" t="inlineStr">
        <is>
          <t>VÄRMLANDS LÄN</t>
        </is>
      </c>
      <c r="E14445" t="inlineStr">
        <is>
          <t>ÅRJÄNG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45353</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4606-2024</t>
        </is>
      </c>
      <c r="B14447" s="1" t="n">
        <v>45328</v>
      </c>
      <c r="C14447" s="1" t="n">
        <v>45353</v>
      </c>
      <c r="D14447" t="inlineStr">
        <is>
          <t>VÄRMLANDS LÄN</t>
        </is>
      </c>
      <c r="E14447" t="inlineStr">
        <is>
          <t>ÅRJÄNG</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4748-2024</t>
        </is>
      </c>
      <c r="B14448" s="1" t="n">
        <v>45328</v>
      </c>
      <c r="C14448" s="1" t="n">
        <v>45353</v>
      </c>
      <c r="D14448" t="inlineStr">
        <is>
          <t>VÄRMLANDS LÄN</t>
        </is>
      </c>
      <c r="E14448" t="inlineStr">
        <is>
          <t>HAGFORS</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4797-2024</t>
        </is>
      </c>
      <c r="B14449" s="1" t="n">
        <v>45328</v>
      </c>
      <c r="C14449" s="1" t="n">
        <v>45353</v>
      </c>
      <c r="D14449" t="inlineStr">
        <is>
          <t>VÄRMLANDS LÄN</t>
        </is>
      </c>
      <c r="E14449" t="inlineStr">
        <is>
          <t>ARVIKA</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4743-2024</t>
        </is>
      </c>
      <c r="B14450" s="1" t="n">
        <v>45328</v>
      </c>
      <c r="C14450" s="1" t="n">
        <v>45353</v>
      </c>
      <c r="D14450" t="inlineStr">
        <is>
          <t>VÄRMLANDS LÄN</t>
        </is>
      </c>
      <c r="E14450" t="inlineStr">
        <is>
          <t>SÄFFLE</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4796-2024</t>
        </is>
      </c>
      <c r="B14451" s="1" t="n">
        <v>45328</v>
      </c>
      <c r="C14451" s="1" t="n">
        <v>45353</v>
      </c>
      <c r="D14451" t="inlineStr">
        <is>
          <t>VÄRMLANDS LÄN</t>
        </is>
      </c>
      <c r="E14451" t="inlineStr">
        <is>
          <t>KRISTINEHAMN</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4742-2024</t>
        </is>
      </c>
      <c r="B14452" s="1" t="n">
        <v>45328</v>
      </c>
      <c r="C14452" s="1" t="n">
        <v>45353</v>
      </c>
      <c r="D14452" t="inlineStr">
        <is>
          <t>VÄRMLANDS LÄN</t>
        </is>
      </c>
      <c r="E14452" t="inlineStr">
        <is>
          <t>SÄFFLE</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4745-2024</t>
        </is>
      </c>
      <c r="B14453" s="1" t="n">
        <v>45328</v>
      </c>
      <c r="C14453" s="1" t="n">
        <v>45353</v>
      </c>
      <c r="D14453" t="inlineStr">
        <is>
          <t>VÄRMLANDS LÄN</t>
        </is>
      </c>
      <c r="E14453" t="inlineStr">
        <is>
          <t>HAGFORS</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4749-2024</t>
        </is>
      </c>
      <c r="B14454" s="1" t="n">
        <v>45328</v>
      </c>
      <c r="C14454" s="1" t="n">
        <v>45353</v>
      </c>
      <c r="D14454" t="inlineStr">
        <is>
          <t>VÄRMLANDS LÄN</t>
        </is>
      </c>
      <c r="E14454" t="inlineStr">
        <is>
          <t>ARVIKA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4754-2024</t>
        </is>
      </c>
      <c r="B14455" s="1" t="n">
        <v>45328</v>
      </c>
      <c r="C14455" s="1" t="n">
        <v>45353</v>
      </c>
      <c r="D14455" t="inlineStr">
        <is>
          <t>VÄRMLANDS LÄN</t>
        </is>
      </c>
      <c r="E14455" t="inlineStr">
        <is>
          <t>ARVIKA</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4908-2024</t>
        </is>
      </c>
      <c r="B14456" s="1" t="n">
        <v>45329</v>
      </c>
      <c r="C14456" s="1" t="n">
        <v>45353</v>
      </c>
      <c r="D14456" t="inlineStr">
        <is>
          <t>VÄRMLANDS LÄN</t>
        </is>
      </c>
      <c r="E14456" t="inlineStr">
        <is>
          <t>TORSBY</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4920-2024</t>
        </is>
      </c>
      <c r="B14457" s="1" t="n">
        <v>45329</v>
      </c>
      <c r="C14457" s="1" t="n">
        <v>45353</v>
      </c>
      <c r="D14457" t="inlineStr">
        <is>
          <t>VÄRMLANDS LÄN</t>
        </is>
      </c>
      <c r="E14457" t="inlineStr">
        <is>
          <t>TORSBY</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4948-2024</t>
        </is>
      </c>
      <c r="B14458" s="1" t="n">
        <v>45329</v>
      </c>
      <c r="C14458" s="1" t="n">
        <v>45353</v>
      </c>
      <c r="D14458" t="inlineStr">
        <is>
          <t>VÄRMLANDS LÄN</t>
        </is>
      </c>
      <c r="E14458" t="inlineStr">
        <is>
          <t>ARVIKA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4976-2024</t>
        </is>
      </c>
      <c r="B14459" s="1" t="n">
        <v>45329</v>
      </c>
      <c r="C14459" s="1" t="n">
        <v>45353</v>
      </c>
      <c r="D14459" t="inlineStr">
        <is>
          <t>VÄRMLANDS LÄN</t>
        </is>
      </c>
      <c r="E14459" t="inlineStr">
        <is>
          <t>GRUMS</t>
        </is>
      </c>
      <c r="G14459" t="n">
        <v>5.1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4988-2024</t>
        </is>
      </c>
      <c r="B14460" s="1" t="n">
        <v>45329</v>
      </c>
      <c r="C14460" s="1" t="n">
        <v>45353</v>
      </c>
      <c r="D14460" t="inlineStr">
        <is>
          <t>VÄRMLANDS LÄN</t>
        </is>
      </c>
      <c r="E14460" t="inlineStr">
        <is>
          <t>ARVIKA</t>
        </is>
      </c>
      <c r="F14460" t="inlineStr">
        <is>
          <t>Bergvik skog väst AB</t>
        </is>
      </c>
      <c r="G14460" t="n">
        <v>9.4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4870-2024</t>
        </is>
      </c>
      <c r="B14461" s="1" t="n">
        <v>45329</v>
      </c>
      <c r="C14461" s="1" t="n">
        <v>45353</v>
      </c>
      <c r="D14461" t="inlineStr">
        <is>
          <t>VÄRMLANDS LÄN</t>
        </is>
      </c>
      <c r="E14461" t="inlineStr">
        <is>
          <t>GRUMS</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4907-2024</t>
        </is>
      </c>
      <c r="B14462" s="1" t="n">
        <v>45329</v>
      </c>
      <c r="C14462" s="1" t="n">
        <v>45353</v>
      </c>
      <c r="D14462" t="inlineStr">
        <is>
          <t>VÄRMLANDS LÄN</t>
        </is>
      </c>
      <c r="E14462" t="inlineStr">
        <is>
          <t>ARVIKA</t>
        </is>
      </c>
      <c r="F14462" t="inlineStr">
        <is>
          <t>Bergvik skog väst AB</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4943-2024</t>
        </is>
      </c>
      <c r="B14463" s="1" t="n">
        <v>45329</v>
      </c>
      <c r="C14463" s="1" t="n">
        <v>45353</v>
      </c>
      <c r="D14463" t="inlineStr">
        <is>
          <t>VÄRMLANDS LÄN</t>
        </is>
      </c>
      <c r="E14463" t="inlineStr">
        <is>
          <t>GRUMS</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4959-2024</t>
        </is>
      </c>
      <c r="B14464" s="1" t="n">
        <v>45329</v>
      </c>
      <c r="C14464" s="1" t="n">
        <v>45353</v>
      </c>
      <c r="D14464" t="inlineStr">
        <is>
          <t>VÄRMLANDS LÄN</t>
        </is>
      </c>
      <c r="E14464" t="inlineStr">
        <is>
          <t>ARVIKA</t>
        </is>
      </c>
      <c r="F14464" t="inlineStr">
        <is>
          <t>Bergvik skog väst AB</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4963-2024</t>
        </is>
      </c>
      <c r="B14465" s="1" t="n">
        <v>45329</v>
      </c>
      <c r="C14465" s="1" t="n">
        <v>45353</v>
      </c>
      <c r="D14465" t="inlineStr">
        <is>
          <t>VÄRMLANDS LÄN</t>
        </is>
      </c>
      <c r="E14465" t="inlineStr">
        <is>
          <t>GRUMS</t>
        </is>
      </c>
      <c r="G14465" t="n">
        <v>5.7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4913-2024</t>
        </is>
      </c>
      <c r="B14466" s="1" t="n">
        <v>45329</v>
      </c>
      <c r="C14466" s="1" t="n">
        <v>45353</v>
      </c>
      <c r="D14466" t="inlineStr">
        <is>
          <t>VÄRMLANDS LÄN</t>
        </is>
      </c>
      <c r="E14466" t="inlineStr">
        <is>
          <t>TORSBY</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4983-2024</t>
        </is>
      </c>
      <c r="B14467" s="1" t="n">
        <v>45329</v>
      </c>
      <c r="C14467" s="1" t="n">
        <v>45353</v>
      </c>
      <c r="D14467" t="inlineStr">
        <is>
          <t>VÄRMLANDS LÄN</t>
        </is>
      </c>
      <c r="E14467" t="inlineStr">
        <is>
          <t>ARVIKA</t>
        </is>
      </c>
      <c r="F14467" t="inlineStr">
        <is>
          <t>Bergvik skog väst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4993-2024</t>
        </is>
      </c>
      <c r="B14468" s="1" t="n">
        <v>45329</v>
      </c>
      <c r="C14468" s="1" t="n">
        <v>45353</v>
      </c>
      <c r="D14468" t="inlineStr">
        <is>
          <t>VÄRMLANDS LÄN</t>
        </is>
      </c>
      <c r="E14468" t="inlineStr">
        <is>
          <t>ARVIKA</t>
        </is>
      </c>
      <c r="F14468" t="inlineStr">
        <is>
          <t>Bergvik skog väst AB</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4998-2024</t>
        </is>
      </c>
      <c r="B14469" s="1" t="n">
        <v>45329</v>
      </c>
      <c r="C14469" s="1" t="n">
        <v>45353</v>
      </c>
      <c r="D14469" t="inlineStr">
        <is>
          <t>VÄRMLANDS LÄN</t>
        </is>
      </c>
      <c r="E14469" t="inlineStr">
        <is>
          <t>STORFORS</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4865-2024</t>
        </is>
      </c>
      <c r="B14470" s="1" t="n">
        <v>45329</v>
      </c>
      <c r="C14470" s="1" t="n">
        <v>45353</v>
      </c>
      <c r="D14470" t="inlineStr">
        <is>
          <t>VÄRMLANDS LÄN</t>
        </is>
      </c>
      <c r="E14470" t="inlineStr">
        <is>
          <t>ÅRJÄNG</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4890-2024</t>
        </is>
      </c>
      <c r="B14471" s="1" t="n">
        <v>45329</v>
      </c>
      <c r="C14471" s="1" t="n">
        <v>45353</v>
      </c>
      <c r="D14471" t="inlineStr">
        <is>
          <t>VÄRMLANDS LÄN</t>
        </is>
      </c>
      <c r="E14471" t="inlineStr">
        <is>
          <t>ARVIKA</t>
        </is>
      </c>
      <c r="F14471" t="inlineStr">
        <is>
          <t>Bergvik skog väst AB</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4918-2024</t>
        </is>
      </c>
      <c r="B14472" s="1" t="n">
        <v>45329</v>
      </c>
      <c r="C14472" s="1" t="n">
        <v>45353</v>
      </c>
      <c r="D14472" t="inlineStr">
        <is>
          <t>VÄRMLANDS LÄN</t>
        </is>
      </c>
      <c r="E14472" t="inlineStr">
        <is>
          <t>TORSBY</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4982-2024</t>
        </is>
      </c>
      <c r="B14473" s="1" t="n">
        <v>45329</v>
      </c>
      <c r="C14473" s="1" t="n">
        <v>45353</v>
      </c>
      <c r="D14473" t="inlineStr">
        <is>
          <t>VÄRMLANDS LÄN</t>
        </is>
      </c>
      <c r="E14473" t="inlineStr">
        <is>
          <t>GRUMS</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5011-2024</t>
        </is>
      </c>
      <c r="B14474" s="1" t="n">
        <v>45329</v>
      </c>
      <c r="C14474" s="1" t="n">
        <v>45353</v>
      </c>
      <c r="D14474" t="inlineStr">
        <is>
          <t>VÄRMLANDS LÄN</t>
        </is>
      </c>
      <c r="E14474" t="inlineStr">
        <is>
          <t>GRUMS</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5115-2024</t>
        </is>
      </c>
      <c r="B14475" s="1" t="n">
        <v>45330</v>
      </c>
      <c r="C14475" s="1" t="n">
        <v>45353</v>
      </c>
      <c r="D14475" t="inlineStr">
        <is>
          <t>VÄRMLANDS LÄN</t>
        </is>
      </c>
      <c r="E14475" t="inlineStr">
        <is>
          <t>TORSBY</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5179-2024</t>
        </is>
      </c>
      <c r="B14476" s="1" t="n">
        <v>45330</v>
      </c>
      <c r="C14476" s="1" t="n">
        <v>45353</v>
      </c>
      <c r="D14476" t="inlineStr">
        <is>
          <t>VÄRMLANDS LÄN</t>
        </is>
      </c>
      <c r="E14476" t="inlineStr">
        <is>
          <t>SUNNE</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5208-2024</t>
        </is>
      </c>
      <c r="B14477" s="1" t="n">
        <v>45330</v>
      </c>
      <c r="C14477" s="1" t="n">
        <v>45353</v>
      </c>
      <c r="D14477" t="inlineStr">
        <is>
          <t>VÄRMLANDS LÄN</t>
        </is>
      </c>
      <c r="E14477" t="inlineStr">
        <is>
          <t>SUNNE</t>
        </is>
      </c>
      <c r="F14477" t="inlineStr">
        <is>
          <t>Kommuner</t>
        </is>
      </c>
      <c r="G14477" t="n">
        <v>16.8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5214-2024</t>
        </is>
      </c>
      <c r="B14478" s="1" t="n">
        <v>45330</v>
      </c>
      <c r="C14478" s="1" t="n">
        <v>45353</v>
      </c>
      <c r="D14478" t="inlineStr">
        <is>
          <t>VÄRMLANDS LÄN</t>
        </is>
      </c>
      <c r="E14478" t="inlineStr">
        <is>
          <t>SUNNE</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5221-2024</t>
        </is>
      </c>
      <c r="B14479" s="1" t="n">
        <v>45330</v>
      </c>
      <c r="C14479" s="1" t="n">
        <v>45353</v>
      </c>
      <c r="D14479" t="inlineStr">
        <is>
          <t>VÄRMLANDS LÄN</t>
        </is>
      </c>
      <c r="E14479" t="inlineStr">
        <is>
          <t>SÄFFLE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5240-2024</t>
        </is>
      </c>
      <c r="B14480" s="1" t="n">
        <v>45330</v>
      </c>
      <c r="C14480" s="1" t="n">
        <v>45353</v>
      </c>
      <c r="D14480" t="inlineStr">
        <is>
          <t>VÄRMLANDS LÄN</t>
        </is>
      </c>
      <c r="E14480" t="inlineStr">
        <is>
          <t>SUNNE</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5311-2024</t>
        </is>
      </c>
      <c r="B14481" s="1" t="n">
        <v>45331</v>
      </c>
      <c r="C14481" s="1" t="n">
        <v>45353</v>
      </c>
      <c r="D14481" t="inlineStr">
        <is>
          <t>VÄRMLANDS LÄN</t>
        </is>
      </c>
      <c r="E14481" t="inlineStr">
        <is>
          <t>ARVIKA</t>
        </is>
      </c>
      <c r="F14481" t="inlineStr">
        <is>
          <t>Bergvik skog väst AB</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5332-2024</t>
        </is>
      </c>
      <c r="B14482" s="1" t="n">
        <v>45331</v>
      </c>
      <c r="C14482" s="1" t="n">
        <v>45353</v>
      </c>
      <c r="D14482" t="inlineStr">
        <is>
          <t>VÄRMLANDS LÄN</t>
        </is>
      </c>
      <c r="E14482" t="inlineStr">
        <is>
          <t>ARVIKA</t>
        </is>
      </c>
      <c r="F14482" t="inlineStr">
        <is>
          <t>Bergvik skog väst AB</t>
        </is>
      </c>
      <c r="G14482" t="n">
        <v>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5351-2024</t>
        </is>
      </c>
      <c r="B14483" s="1" t="n">
        <v>45331</v>
      </c>
      <c r="C14483" s="1" t="n">
        <v>45353</v>
      </c>
      <c r="D14483" t="inlineStr">
        <is>
          <t>VÄRMLANDS LÄN</t>
        </is>
      </c>
      <c r="E14483" t="inlineStr">
        <is>
          <t>TORSBY</t>
        </is>
      </c>
      <c r="G14483" t="n">
        <v>8.9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5297-2024</t>
        </is>
      </c>
      <c r="B14484" s="1" t="n">
        <v>45331</v>
      </c>
      <c r="C14484" s="1" t="n">
        <v>45353</v>
      </c>
      <c r="D14484" t="inlineStr">
        <is>
          <t>VÄRMLANDS LÄN</t>
        </is>
      </c>
      <c r="E14484" t="inlineStr">
        <is>
          <t>EDA</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5287-2024</t>
        </is>
      </c>
      <c r="B14485" s="1" t="n">
        <v>45331</v>
      </c>
      <c r="C14485" s="1" t="n">
        <v>45353</v>
      </c>
      <c r="D14485" t="inlineStr">
        <is>
          <t>VÄRMLANDS LÄN</t>
        </is>
      </c>
      <c r="E14485" t="inlineStr">
        <is>
          <t>SÄFFLE</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5304-2024</t>
        </is>
      </c>
      <c r="B14486" s="1" t="n">
        <v>45331</v>
      </c>
      <c r="C14486" s="1" t="n">
        <v>45353</v>
      </c>
      <c r="D14486" t="inlineStr">
        <is>
          <t>VÄRMLANDS LÄN</t>
        </is>
      </c>
      <c r="E14486" t="inlineStr">
        <is>
          <t>ARVIKA</t>
        </is>
      </c>
      <c r="F14486" t="inlineStr">
        <is>
          <t>Bergvik skog väst AB</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5393-2024</t>
        </is>
      </c>
      <c r="B14487" s="1" t="n">
        <v>45331</v>
      </c>
      <c r="C14487" s="1" t="n">
        <v>45353</v>
      </c>
      <c r="D14487" t="inlineStr">
        <is>
          <t>VÄRMLANDS LÄN</t>
        </is>
      </c>
      <c r="E14487" t="inlineStr">
        <is>
          <t>KIL</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5387-2024</t>
        </is>
      </c>
      <c r="B14488" s="1" t="n">
        <v>45331</v>
      </c>
      <c r="C14488" s="1" t="n">
        <v>45353</v>
      </c>
      <c r="D14488" t="inlineStr">
        <is>
          <t>VÄRMLANDS LÄN</t>
        </is>
      </c>
      <c r="E14488" t="inlineStr">
        <is>
          <t>KARLSTAD</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5562-2024</t>
        </is>
      </c>
      <c r="B14489" s="1" t="n">
        <v>45332</v>
      </c>
      <c r="C14489" s="1" t="n">
        <v>45353</v>
      </c>
      <c r="D14489" t="inlineStr">
        <is>
          <t>VÄRMLANDS LÄN</t>
        </is>
      </c>
      <c r="E14489" t="inlineStr">
        <is>
          <t>SÄFFLE</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5551-2024</t>
        </is>
      </c>
      <c r="B14490" s="1" t="n">
        <v>45332</v>
      </c>
      <c r="C14490" s="1" t="n">
        <v>45353</v>
      </c>
      <c r="D14490" t="inlineStr">
        <is>
          <t>VÄRMLANDS LÄN</t>
        </is>
      </c>
      <c r="E14490" t="inlineStr">
        <is>
          <t>SÄFFLE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5483-2024</t>
        </is>
      </c>
      <c r="B14491" s="1" t="n">
        <v>45333</v>
      </c>
      <c r="C14491" s="1" t="n">
        <v>45353</v>
      </c>
      <c r="D14491" t="inlineStr">
        <is>
          <t>VÄRMLANDS LÄN</t>
        </is>
      </c>
      <c r="E14491" t="inlineStr">
        <is>
          <t>SÄFFLE</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5484-2024</t>
        </is>
      </c>
      <c r="B14492" s="1" t="n">
        <v>45333</v>
      </c>
      <c r="C14492" s="1" t="n">
        <v>45353</v>
      </c>
      <c r="D14492" t="inlineStr">
        <is>
          <t>VÄRMLANDS LÄN</t>
        </is>
      </c>
      <c r="E14492" t="inlineStr">
        <is>
          <t>SÄFFLE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5507-2024</t>
        </is>
      </c>
      <c r="B14493" s="1" t="n">
        <v>45334</v>
      </c>
      <c r="C14493" s="1" t="n">
        <v>45353</v>
      </c>
      <c r="D14493" t="inlineStr">
        <is>
          <t>VÄRMLANDS LÄN</t>
        </is>
      </c>
      <c r="E14493" t="inlineStr">
        <is>
          <t>ÅRJÄNG</t>
        </is>
      </c>
      <c r="G14493" t="n">
        <v>4.8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5523-2024</t>
        </is>
      </c>
      <c r="B14494" s="1" t="n">
        <v>45334</v>
      </c>
      <c r="C14494" s="1" t="n">
        <v>45353</v>
      </c>
      <c r="D14494" t="inlineStr">
        <is>
          <t>VÄRMLANDS LÄN</t>
        </is>
      </c>
      <c r="E14494" t="inlineStr">
        <is>
          <t>SUNNE</t>
        </is>
      </c>
      <c r="F14494" t="inlineStr">
        <is>
          <t>Bergvik skog väst AB</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5505-2024</t>
        </is>
      </c>
      <c r="B14495" s="1" t="n">
        <v>45334</v>
      </c>
      <c r="C14495" s="1" t="n">
        <v>45353</v>
      </c>
      <c r="D14495" t="inlineStr">
        <is>
          <t>VÄRMLANDS LÄN</t>
        </is>
      </c>
      <c r="E14495" t="inlineStr">
        <is>
          <t>SUNNE</t>
        </is>
      </c>
      <c r="F14495" t="inlineStr">
        <is>
          <t>Bergvik skog väst AB</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5509-2024</t>
        </is>
      </c>
      <c r="B14496" s="1" t="n">
        <v>45334</v>
      </c>
      <c r="C14496" s="1" t="n">
        <v>45353</v>
      </c>
      <c r="D14496" t="inlineStr">
        <is>
          <t>VÄRMLANDS LÄN</t>
        </is>
      </c>
      <c r="E14496" t="inlineStr">
        <is>
          <t>TORSBY</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5594-2024</t>
        </is>
      </c>
      <c r="B14497" s="1" t="n">
        <v>45334</v>
      </c>
      <c r="C14497" s="1" t="n">
        <v>45353</v>
      </c>
      <c r="D14497" t="inlineStr">
        <is>
          <t>VÄRMLANDS LÄN</t>
        </is>
      </c>
      <c r="E14497" t="inlineStr">
        <is>
          <t>SÄFFLE</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5612-2024</t>
        </is>
      </c>
      <c r="B14498" s="1" t="n">
        <v>45334</v>
      </c>
      <c r="C14498" s="1" t="n">
        <v>45353</v>
      </c>
      <c r="D14498" t="inlineStr">
        <is>
          <t>VÄRMLANDS LÄN</t>
        </is>
      </c>
      <c r="E14498" t="inlineStr">
        <is>
          <t>HAGFORS</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5621-2024</t>
        </is>
      </c>
      <c r="B14499" s="1" t="n">
        <v>45334</v>
      </c>
      <c r="C14499" s="1" t="n">
        <v>45353</v>
      </c>
      <c r="D14499" t="inlineStr">
        <is>
          <t>VÄRMLANDS LÄN</t>
        </is>
      </c>
      <c r="E14499" t="inlineStr">
        <is>
          <t>HAGFORS</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5653-2024</t>
        </is>
      </c>
      <c r="B14500" s="1" t="n">
        <v>45334</v>
      </c>
      <c r="C14500" s="1" t="n">
        <v>45353</v>
      </c>
      <c r="D14500" t="inlineStr">
        <is>
          <t>VÄRMLANDS LÄN</t>
        </is>
      </c>
      <c r="E14500" t="inlineStr">
        <is>
          <t>SUNNE</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5652-2024</t>
        </is>
      </c>
      <c r="B14501" s="1" t="n">
        <v>45334</v>
      </c>
      <c r="C14501" s="1" t="n">
        <v>45353</v>
      </c>
      <c r="D14501" t="inlineStr">
        <is>
          <t>VÄRMLANDS LÄN</t>
        </is>
      </c>
      <c r="E14501" t="inlineStr">
        <is>
          <t>SUNNE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5740-2024</t>
        </is>
      </c>
      <c r="B14502" s="1" t="n">
        <v>45335</v>
      </c>
      <c r="C14502" s="1" t="n">
        <v>45353</v>
      </c>
      <c r="D14502" t="inlineStr">
        <is>
          <t>VÄRMLANDS LÄN</t>
        </is>
      </c>
      <c r="E14502" t="inlineStr">
        <is>
          <t>ARVIKA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5744-2024</t>
        </is>
      </c>
      <c r="B14503" s="1" t="n">
        <v>45335</v>
      </c>
      <c r="C14503" s="1" t="n">
        <v>45353</v>
      </c>
      <c r="D14503" t="inlineStr">
        <is>
          <t>VÄRMLANDS LÄN</t>
        </is>
      </c>
      <c r="E14503" t="inlineStr">
        <is>
          <t>ARVIKA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5796-2024</t>
        </is>
      </c>
      <c r="B14504" s="1" t="n">
        <v>45335</v>
      </c>
      <c r="C14504" s="1" t="n">
        <v>45353</v>
      </c>
      <c r="D14504" t="inlineStr">
        <is>
          <t>VÄRMLANDS LÄN</t>
        </is>
      </c>
      <c r="E14504" t="inlineStr">
        <is>
          <t>HAGFORS</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5741-2024</t>
        </is>
      </c>
      <c r="B14505" s="1" t="n">
        <v>45335</v>
      </c>
      <c r="C14505" s="1" t="n">
        <v>45353</v>
      </c>
      <c r="D14505" t="inlineStr">
        <is>
          <t>VÄRMLANDS LÄN</t>
        </is>
      </c>
      <c r="E14505" t="inlineStr">
        <is>
          <t>ARVIKA</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5806-2024</t>
        </is>
      </c>
      <c r="B14506" s="1" t="n">
        <v>45335</v>
      </c>
      <c r="C14506" s="1" t="n">
        <v>45353</v>
      </c>
      <c r="D14506" t="inlineStr">
        <is>
          <t>VÄRMLANDS LÄN</t>
        </is>
      </c>
      <c r="E14506" t="inlineStr">
        <is>
          <t>ÅRJÄNG</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5814-2024</t>
        </is>
      </c>
      <c r="B14507" s="1" t="n">
        <v>45335</v>
      </c>
      <c r="C14507" s="1" t="n">
        <v>45353</v>
      </c>
      <c r="D14507" t="inlineStr">
        <is>
          <t>VÄRMLANDS LÄN</t>
        </is>
      </c>
      <c r="E14507" t="inlineStr">
        <is>
          <t>TORSBY</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5743-2024</t>
        </is>
      </c>
      <c r="B14508" s="1" t="n">
        <v>45335</v>
      </c>
      <c r="C14508" s="1" t="n">
        <v>45353</v>
      </c>
      <c r="D14508" t="inlineStr">
        <is>
          <t>VÄRMLANDS LÄN</t>
        </is>
      </c>
      <c r="E14508" t="inlineStr">
        <is>
          <t>ARVIKA</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5783-2024</t>
        </is>
      </c>
      <c r="B14509" s="1" t="n">
        <v>45335</v>
      </c>
      <c r="C14509" s="1" t="n">
        <v>45353</v>
      </c>
      <c r="D14509" t="inlineStr">
        <is>
          <t>VÄRMLANDS LÄN</t>
        </is>
      </c>
      <c r="E14509" t="inlineStr">
        <is>
          <t>KARLSTAD</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5864-2024</t>
        </is>
      </c>
      <c r="B14510" s="1" t="n">
        <v>45335</v>
      </c>
      <c r="C14510" s="1" t="n">
        <v>45353</v>
      </c>
      <c r="D14510" t="inlineStr">
        <is>
          <t>VÄRMLANDS LÄN</t>
        </is>
      </c>
      <c r="E14510" t="inlineStr">
        <is>
          <t>KRISTINEHAMN</t>
        </is>
      </c>
      <c r="F14510" t="inlineStr">
        <is>
          <t>Kommuner</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5746-2024</t>
        </is>
      </c>
      <c r="B14511" s="1" t="n">
        <v>45335</v>
      </c>
      <c r="C14511" s="1" t="n">
        <v>45353</v>
      </c>
      <c r="D14511" t="inlineStr">
        <is>
          <t>VÄRMLANDS LÄN</t>
        </is>
      </c>
      <c r="E14511" t="inlineStr">
        <is>
          <t>KIL</t>
        </is>
      </c>
      <c r="G14511" t="n">
        <v>6.2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5778-2024</t>
        </is>
      </c>
      <c r="B14512" s="1" t="n">
        <v>45335</v>
      </c>
      <c r="C14512" s="1" t="n">
        <v>45353</v>
      </c>
      <c r="D14512" t="inlineStr">
        <is>
          <t>VÄRMLANDS LÄN</t>
        </is>
      </c>
      <c r="E14512" t="inlineStr">
        <is>
          <t>HAGFORS</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5790-2024</t>
        </is>
      </c>
      <c r="B14513" s="1" t="n">
        <v>45335</v>
      </c>
      <c r="C14513" s="1" t="n">
        <v>45353</v>
      </c>
      <c r="D14513" t="inlineStr">
        <is>
          <t>VÄRMLANDS LÄN</t>
        </is>
      </c>
      <c r="E14513" t="inlineStr">
        <is>
          <t>HAGFORS</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5863-2024</t>
        </is>
      </c>
      <c r="B14514" s="1" t="n">
        <v>45335</v>
      </c>
      <c r="C14514" s="1" t="n">
        <v>45353</v>
      </c>
      <c r="D14514" t="inlineStr">
        <is>
          <t>VÄRMLANDS LÄN</t>
        </is>
      </c>
      <c r="E14514" t="inlineStr">
        <is>
          <t>TORSBY</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5872-2024</t>
        </is>
      </c>
      <c r="B14515" s="1" t="n">
        <v>45335</v>
      </c>
      <c r="C14515" s="1" t="n">
        <v>45353</v>
      </c>
      <c r="D14515" t="inlineStr">
        <is>
          <t>VÄRMLANDS LÄN</t>
        </is>
      </c>
      <c r="E14515" t="inlineStr">
        <is>
          <t>KRISTINEHAMN</t>
        </is>
      </c>
      <c r="F14515" t="inlineStr">
        <is>
          <t>Naturvårdsverket</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5953-2024</t>
        </is>
      </c>
      <c r="B14516" s="1" t="n">
        <v>45336</v>
      </c>
      <c r="C14516" s="1" t="n">
        <v>45353</v>
      </c>
      <c r="D14516" t="inlineStr">
        <is>
          <t>VÄRMLANDS LÄN</t>
        </is>
      </c>
      <c r="E14516" t="inlineStr">
        <is>
          <t>EDA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5957-2024</t>
        </is>
      </c>
      <c r="B14517" s="1" t="n">
        <v>45336</v>
      </c>
      <c r="C14517" s="1" t="n">
        <v>45353</v>
      </c>
      <c r="D14517" t="inlineStr">
        <is>
          <t>VÄRMLANDS LÄN</t>
        </is>
      </c>
      <c r="E14517" t="inlineStr">
        <is>
          <t>GRUMS</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5963-2024</t>
        </is>
      </c>
      <c r="B14518" s="1" t="n">
        <v>45336</v>
      </c>
      <c r="C14518" s="1" t="n">
        <v>45353</v>
      </c>
      <c r="D14518" t="inlineStr">
        <is>
          <t>VÄRMLANDS LÄN</t>
        </is>
      </c>
      <c r="E14518" t="inlineStr">
        <is>
          <t>SÄFFLE</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5954-2024</t>
        </is>
      </c>
      <c r="B14519" s="1" t="n">
        <v>45336</v>
      </c>
      <c r="C14519" s="1" t="n">
        <v>45353</v>
      </c>
      <c r="D14519" t="inlineStr">
        <is>
          <t>VÄRMLANDS LÄN</t>
        </is>
      </c>
      <c r="E14519" t="inlineStr">
        <is>
          <t>EDA</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5965-2024</t>
        </is>
      </c>
      <c r="B14520" s="1" t="n">
        <v>45336</v>
      </c>
      <c r="C14520" s="1" t="n">
        <v>45353</v>
      </c>
      <c r="D14520" t="inlineStr">
        <is>
          <t>VÄRMLANDS LÄN</t>
        </is>
      </c>
      <c r="E14520" t="inlineStr">
        <is>
          <t>ARVIKA</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5948-2024</t>
        </is>
      </c>
      <c r="B14521" s="1" t="n">
        <v>45336</v>
      </c>
      <c r="C14521" s="1" t="n">
        <v>45353</v>
      </c>
      <c r="D14521" t="inlineStr">
        <is>
          <t>VÄRMLANDS LÄN</t>
        </is>
      </c>
      <c r="E14521" t="inlineStr">
        <is>
          <t>TORSBY</t>
        </is>
      </c>
      <c r="F14521" t="inlineStr">
        <is>
          <t>Bergvik skog väst AB</t>
        </is>
      </c>
      <c r="G14521" t="n">
        <v>9.300000000000001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6013-2024</t>
        </is>
      </c>
      <c r="B14522" s="1" t="n">
        <v>45336</v>
      </c>
      <c r="C14522" s="1" t="n">
        <v>45353</v>
      </c>
      <c r="D14522" t="inlineStr">
        <is>
          <t>VÄRMLANDS LÄN</t>
        </is>
      </c>
      <c r="E14522" t="inlineStr">
        <is>
          <t>TORSBY</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6010-2024</t>
        </is>
      </c>
      <c r="B14523" s="1" t="n">
        <v>45336</v>
      </c>
      <c r="C14523" s="1" t="n">
        <v>45353</v>
      </c>
      <c r="D14523" t="inlineStr">
        <is>
          <t>VÄRMLANDS LÄN</t>
        </is>
      </c>
      <c r="E14523" t="inlineStr">
        <is>
          <t>HAGFORS</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6107-2024</t>
        </is>
      </c>
      <c r="B14524" s="1" t="n">
        <v>45337</v>
      </c>
      <c r="C14524" s="1" t="n">
        <v>45353</v>
      </c>
      <c r="D14524" t="inlineStr">
        <is>
          <t>VÄRMLANDS LÄN</t>
        </is>
      </c>
      <c r="E14524" t="inlineStr">
        <is>
          <t>ÅRJÄNG</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6145-2024</t>
        </is>
      </c>
      <c r="B14525" s="1" t="n">
        <v>45337</v>
      </c>
      <c r="C14525" s="1" t="n">
        <v>45353</v>
      </c>
      <c r="D14525" t="inlineStr">
        <is>
          <t>VÄRMLANDS LÄN</t>
        </is>
      </c>
      <c r="E14525" t="inlineStr">
        <is>
          <t>FORSHAGA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6162-2024</t>
        </is>
      </c>
      <c r="B14526" s="1" t="n">
        <v>45337</v>
      </c>
      <c r="C14526" s="1" t="n">
        <v>45353</v>
      </c>
      <c r="D14526" t="inlineStr">
        <is>
          <t>VÄRMLANDS LÄN</t>
        </is>
      </c>
      <c r="E14526" t="inlineStr">
        <is>
          <t>STORFORS</t>
        </is>
      </c>
      <c r="F14526" t="inlineStr">
        <is>
          <t>Naturvårdsverket</t>
        </is>
      </c>
      <c r="G14526" t="n">
        <v>15.7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6118-2024</t>
        </is>
      </c>
      <c r="B14527" s="1" t="n">
        <v>45337</v>
      </c>
      <c r="C14527" s="1" t="n">
        <v>45353</v>
      </c>
      <c r="D14527" t="inlineStr">
        <is>
          <t>VÄRMLANDS LÄN</t>
        </is>
      </c>
      <c r="E14527" t="inlineStr">
        <is>
          <t>FORSHAGA</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6220-2024</t>
        </is>
      </c>
      <c r="B14528" s="1" t="n">
        <v>45337</v>
      </c>
      <c r="C14528" s="1" t="n">
        <v>45353</v>
      </c>
      <c r="D14528" t="inlineStr">
        <is>
          <t>VÄRMLANDS LÄN</t>
        </is>
      </c>
      <c r="E14528" t="inlineStr">
        <is>
          <t>KARLSTAD</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6135-2024</t>
        </is>
      </c>
      <c r="B14529" s="1" t="n">
        <v>45337</v>
      </c>
      <c r="C14529" s="1" t="n">
        <v>45353</v>
      </c>
      <c r="D14529" t="inlineStr">
        <is>
          <t>VÄRMLANDS LÄN</t>
        </is>
      </c>
      <c r="E14529" t="inlineStr">
        <is>
          <t>HAGFORS</t>
        </is>
      </c>
      <c r="G14529" t="n">
        <v>3.4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6246-2024</t>
        </is>
      </c>
      <c r="B14530" s="1" t="n">
        <v>45337</v>
      </c>
      <c r="C14530" s="1" t="n">
        <v>45353</v>
      </c>
      <c r="D14530" t="inlineStr">
        <is>
          <t>VÄRMLANDS LÄN</t>
        </is>
      </c>
      <c r="E14530" t="inlineStr">
        <is>
          <t>KRISTINEHAMN</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6254-2024</t>
        </is>
      </c>
      <c r="B14531" s="1" t="n">
        <v>45337</v>
      </c>
      <c r="C14531" s="1" t="n">
        <v>45353</v>
      </c>
      <c r="D14531" t="inlineStr">
        <is>
          <t>VÄRMLANDS LÄN</t>
        </is>
      </c>
      <c r="E14531" t="inlineStr">
        <is>
          <t>SÄFFLE</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6320-2024</t>
        </is>
      </c>
      <c r="B14532" s="1" t="n">
        <v>45338</v>
      </c>
      <c r="C14532" s="1" t="n">
        <v>45353</v>
      </c>
      <c r="D14532" t="inlineStr">
        <is>
          <t>VÄRMLANDS LÄN</t>
        </is>
      </c>
      <c r="E14532" t="inlineStr">
        <is>
          <t>EDA</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6318-2024</t>
        </is>
      </c>
      <c r="B14533" s="1" t="n">
        <v>45338</v>
      </c>
      <c r="C14533" s="1" t="n">
        <v>45353</v>
      </c>
      <c r="D14533" t="inlineStr">
        <is>
          <t>VÄRMLANDS LÄN</t>
        </is>
      </c>
      <c r="E14533" t="inlineStr">
        <is>
          <t>EDA</t>
        </is>
      </c>
      <c r="G14533" t="n">
        <v>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6354-2024</t>
        </is>
      </c>
      <c r="B14534" s="1" t="n">
        <v>45338</v>
      </c>
      <c r="C14534" s="1" t="n">
        <v>45353</v>
      </c>
      <c r="D14534" t="inlineStr">
        <is>
          <t>VÄRMLANDS LÄN</t>
        </is>
      </c>
      <c r="E14534" t="inlineStr">
        <is>
          <t>ÅRJÄNG</t>
        </is>
      </c>
      <c r="F14534" t="inlineStr">
        <is>
          <t>Bergvik skog väst AB</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6371-2024</t>
        </is>
      </c>
      <c r="B14535" s="1" t="n">
        <v>45338</v>
      </c>
      <c r="C14535" s="1" t="n">
        <v>45353</v>
      </c>
      <c r="D14535" t="inlineStr">
        <is>
          <t>VÄRMLANDS LÄN</t>
        </is>
      </c>
      <c r="E14535" t="inlineStr">
        <is>
          <t>TORSBY</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6405-2024</t>
        </is>
      </c>
      <c r="B14536" s="1" t="n">
        <v>45338</v>
      </c>
      <c r="C14536" s="1" t="n">
        <v>45353</v>
      </c>
      <c r="D14536" t="inlineStr">
        <is>
          <t>VÄRMLANDS LÄN</t>
        </is>
      </c>
      <c r="E14536" t="inlineStr">
        <is>
          <t>ÅRJÄNG</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6413-2024</t>
        </is>
      </c>
      <c r="B14537" s="1" t="n">
        <v>45338</v>
      </c>
      <c r="C14537" s="1" t="n">
        <v>45353</v>
      </c>
      <c r="D14537" t="inlineStr">
        <is>
          <t>VÄRMLANDS LÄN</t>
        </is>
      </c>
      <c r="E14537" t="inlineStr">
        <is>
          <t>ARVIKA</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6317-2024</t>
        </is>
      </c>
      <c r="B14538" s="1" t="n">
        <v>45338</v>
      </c>
      <c r="C14538" s="1" t="n">
        <v>45353</v>
      </c>
      <c r="D14538" t="inlineStr">
        <is>
          <t>VÄRMLANDS LÄN</t>
        </is>
      </c>
      <c r="E14538" t="inlineStr">
        <is>
          <t>EDA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6321-2024</t>
        </is>
      </c>
      <c r="B14539" s="1" t="n">
        <v>45338</v>
      </c>
      <c r="C14539" s="1" t="n">
        <v>45353</v>
      </c>
      <c r="D14539" t="inlineStr">
        <is>
          <t>VÄRMLANDS LÄN</t>
        </is>
      </c>
      <c r="E14539" t="inlineStr">
        <is>
          <t>EDA</t>
        </is>
      </c>
      <c r="G14539" t="n">
        <v>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6404-2024</t>
        </is>
      </c>
      <c r="B14540" s="1" t="n">
        <v>45338</v>
      </c>
      <c r="C14540" s="1" t="n">
        <v>45353</v>
      </c>
      <c r="D14540" t="inlineStr">
        <is>
          <t>VÄRMLANDS LÄN</t>
        </is>
      </c>
      <c r="E14540" t="inlineStr">
        <is>
          <t>HAGFORS</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6437-2024</t>
        </is>
      </c>
      <c r="B14541" s="1" t="n">
        <v>45338</v>
      </c>
      <c r="C14541" s="1" t="n">
        <v>45353</v>
      </c>
      <c r="D14541" t="inlineStr">
        <is>
          <t>VÄRMLANDS LÄN</t>
        </is>
      </c>
      <c r="E14541" t="inlineStr">
        <is>
          <t>HAGFORS</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6602-2024</t>
        </is>
      </c>
      <c r="B14542" s="1" t="n">
        <v>45341</v>
      </c>
      <c r="C14542" s="1" t="n">
        <v>45353</v>
      </c>
      <c r="D14542" t="inlineStr">
        <is>
          <t>VÄRMLANDS LÄN</t>
        </is>
      </c>
      <c r="E14542" t="inlineStr">
        <is>
          <t>ARVIKA</t>
        </is>
      </c>
      <c r="G14542" t="n">
        <v>7.5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6641-2024</t>
        </is>
      </c>
      <c r="B14543" s="1" t="n">
        <v>45341</v>
      </c>
      <c r="C14543" s="1" t="n">
        <v>45353</v>
      </c>
      <c r="D14543" t="inlineStr">
        <is>
          <t>VÄRMLANDS LÄN</t>
        </is>
      </c>
      <c r="E14543" t="inlineStr">
        <is>
          <t>SUNNE</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6582-2024</t>
        </is>
      </c>
      <c r="B14544" s="1" t="n">
        <v>45341</v>
      </c>
      <c r="C14544" s="1" t="n">
        <v>45353</v>
      </c>
      <c r="D14544" t="inlineStr">
        <is>
          <t>VÄRMLANDS LÄN</t>
        </is>
      </c>
      <c r="E14544" t="inlineStr">
        <is>
          <t>EDA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6614-2024</t>
        </is>
      </c>
      <c r="B14545" s="1" t="n">
        <v>45341</v>
      </c>
      <c r="C14545" s="1" t="n">
        <v>45353</v>
      </c>
      <c r="D14545" t="inlineStr">
        <is>
          <t>VÄRMLANDS LÄN</t>
        </is>
      </c>
      <c r="E14545" t="inlineStr">
        <is>
          <t>SÄFFLE</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6640-2024</t>
        </is>
      </c>
      <c r="B14546" s="1" t="n">
        <v>45341</v>
      </c>
      <c r="C14546" s="1" t="n">
        <v>45353</v>
      </c>
      <c r="D14546" t="inlineStr">
        <is>
          <t>VÄRMLANDS LÄN</t>
        </is>
      </c>
      <c r="E14546" t="inlineStr">
        <is>
          <t>KRISTINEHAMN</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6644-2024</t>
        </is>
      </c>
      <c r="B14547" s="1" t="n">
        <v>45341</v>
      </c>
      <c r="C14547" s="1" t="n">
        <v>45353</v>
      </c>
      <c r="D14547" t="inlineStr">
        <is>
          <t>VÄRMLANDS LÄN</t>
        </is>
      </c>
      <c r="E14547" t="inlineStr">
        <is>
          <t>KRISTINEHAMN</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6648-2024</t>
        </is>
      </c>
      <c r="B14548" s="1" t="n">
        <v>45341</v>
      </c>
      <c r="C14548" s="1" t="n">
        <v>45353</v>
      </c>
      <c r="D14548" t="inlineStr">
        <is>
          <t>VÄRMLANDS LÄN</t>
        </is>
      </c>
      <c r="E14548" t="inlineStr">
        <is>
          <t>TORSBY</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6636-2024</t>
        </is>
      </c>
      <c r="B14549" s="1" t="n">
        <v>45341</v>
      </c>
      <c r="C14549" s="1" t="n">
        <v>45353</v>
      </c>
      <c r="D14549" t="inlineStr">
        <is>
          <t>VÄRMLANDS LÄN</t>
        </is>
      </c>
      <c r="E14549" t="inlineStr">
        <is>
          <t>KRISTINEHAMN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6646-2024</t>
        </is>
      </c>
      <c r="B14550" s="1" t="n">
        <v>45341</v>
      </c>
      <c r="C14550" s="1" t="n">
        <v>45353</v>
      </c>
      <c r="D14550" t="inlineStr">
        <is>
          <t>VÄRMLANDS LÄN</t>
        </is>
      </c>
      <c r="E14550" t="inlineStr">
        <is>
          <t>TORSBY</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6675-2024</t>
        </is>
      </c>
      <c r="B14551" s="1" t="n">
        <v>45341</v>
      </c>
      <c r="C14551" s="1" t="n">
        <v>45353</v>
      </c>
      <c r="D14551" t="inlineStr">
        <is>
          <t>VÄRMLANDS LÄN</t>
        </is>
      </c>
      <c r="E14551" t="inlineStr">
        <is>
          <t>TORSBY</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6732-2024</t>
        </is>
      </c>
      <c r="B14552" s="1" t="n">
        <v>45342</v>
      </c>
      <c r="C14552" s="1" t="n">
        <v>45353</v>
      </c>
      <c r="D14552" t="inlineStr">
        <is>
          <t>VÄRMLANDS LÄN</t>
        </is>
      </c>
      <c r="E14552" t="inlineStr">
        <is>
          <t>GRUMS</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6741-2024</t>
        </is>
      </c>
      <c r="B14553" s="1" t="n">
        <v>45342</v>
      </c>
      <c r="C14553" s="1" t="n">
        <v>45353</v>
      </c>
      <c r="D14553" t="inlineStr">
        <is>
          <t>VÄRMLANDS LÄN</t>
        </is>
      </c>
      <c r="E14553" t="inlineStr">
        <is>
          <t>SÄFFLE</t>
        </is>
      </c>
      <c r="G14553" t="n">
        <v>7.7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6868-2024</t>
        </is>
      </c>
      <c r="B14554" s="1" t="n">
        <v>45342</v>
      </c>
      <c r="C14554" s="1" t="n">
        <v>45353</v>
      </c>
      <c r="D14554" t="inlineStr">
        <is>
          <t>VÄRMLANDS LÄN</t>
        </is>
      </c>
      <c r="E14554" t="inlineStr">
        <is>
          <t>ARVIKA</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6860-2024</t>
        </is>
      </c>
      <c r="B14555" s="1" t="n">
        <v>45342</v>
      </c>
      <c r="C14555" s="1" t="n">
        <v>45353</v>
      </c>
      <c r="D14555" t="inlineStr">
        <is>
          <t>VÄRMLANDS LÄN</t>
        </is>
      </c>
      <c r="E14555" t="inlineStr">
        <is>
          <t>FILIPSTAD</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6828-2024</t>
        </is>
      </c>
      <c r="B14556" s="1" t="n">
        <v>45342</v>
      </c>
      <c r="C14556" s="1" t="n">
        <v>45353</v>
      </c>
      <c r="D14556" t="inlineStr">
        <is>
          <t>VÄRMLANDS LÄN</t>
        </is>
      </c>
      <c r="E14556" t="inlineStr">
        <is>
          <t>TORSBY</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6829-2024</t>
        </is>
      </c>
      <c r="B14557" s="1" t="n">
        <v>45342</v>
      </c>
      <c r="C14557" s="1" t="n">
        <v>45353</v>
      </c>
      <c r="D14557" t="inlineStr">
        <is>
          <t>VÄRMLANDS LÄN</t>
        </is>
      </c>
      <c r="E14557" t="inlineStr">
        <is>
          <t>SÄFFLE</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6910-2024</t>
        </is>
      </c>
      <c r="B14558" s="1" t="n">
        <v>45343</v>
      </c>
      <c r="C14558" s="1" t="n">
        <v>45353</v>
      </c>
      <c r="D14558" t="inlineStr">
        <is>
          <t>VÄRMLANDS LÄN</t>
        </is>
      </c>
      <c r="E14558" t="inlineStr">
        <is>
          <t>HAGFORS</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6926-2024</t>
        </is>
      </c>
      <c r="B14559" s="1" t="n">
        <v>45343</v>
      </c>
      <c r="C14559" s="1" t="n">
        <v>45353</v>
      </c>
      <c r="D14559" t="inlineStr">
        <is>
          <t>VÄRMLANDS LÄN</t>
        </is>
      </c>
      <c r="E14559" t="inlineStr">
        <is>
          <t>SUNNE</t>
        </is>
      </c>
      <c r="G14559" t="n">
        <v>7.4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6938-2024</t>
        </is>
      </c>
      <c r="B14560" s="1" t="n">
        <v>45343</v>
      </c>
      <c r="C14560" s="1" t="n">
        <v>45353</v>
      </c>
      <c r="D14560" t="inlineStr">
        <is>
          <t>VÄRMLANDS LÄN</t>
        </is>
      </c>
      <c r="E14560" t="inlineStr">
        <is>
          <t>GRUMS</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6942-2024</t>
        </is>
      </c>
      <c r="B14561" s="1" t="n">
        <v>45343</v>
      </c>
      <c r="C14561" s="1" t="n">
        <v>45353</v>
      </c>
      <c r="D14561" t="inlineStr">
        <is>
          <t>VÄRMLANDS LÄN</t>
        </is>
      </c>
      <c r="E14561" t="inlineStr">
        <is>
          <t>TORSBY</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6946-2024</t>
        </is>
      </c>
      <c r="B14562" s="1" t="n">
        <v>45343</v>
      </c>
      <c r="C14562" s="1" t="n">
        <v>45353</v>
      </c>
      <c r="D14562" t="inlineStr">
        <is>
          <t>VÄRMLANDS LÄN</t>
        </is>
      </c>
      <c r="E14562" t="inlineStr">
        <is>
          <t>KARLSTAD</t>
        </is>
      </c>
      <c r="G14562" t="n">
        <v>5.9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6959-2024</t>
        </is>
      </c>
      <c r="B14563" s="1" t="n">
        <v>45343</v>
      </c>
      <c r="C14563" s="1" t="n">
        <v>45353</v>
      </c>
      <c r="D14563" t="inlineStr">
        <is>
          <t>VÄRMLANDS LÄN</t>
        </is>
      </c>
      <c r="E14563" t="inlineStr">
        <is>
          <t>SÄFFLE</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6916-2024</t>
        </is>
      </c>
      <c r="B14564" s="1" t="n">
        <v>45343</v>
      </c>
      <c r="C14564" s="1" t="n">
        <v>45353</v>
      </c>
      <c r="D14564" t="inlineStr">
        <is>
          <t>VÄRMLANDS LÄN</t>
        </is>
      </c>
      <c r="E14564" t="inlineStr">
        <is>
          <t>ARVIKA</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6935-2024</t>
        </is>
      </c>
      <c r="B14565" s="1" t="n">
        <v>45343</v>
      </c>
      <c r="C14565" s="1" t="n">
        <v>45353</v>
      </c>
      <c r="D14565" t="inlineStr">
        <is>
          <t>VÄRMLANDS LÄN</t>
        </is>
      </c>
      <c r="E14565" t="inlineStr">
        <is>
          <t>EDA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6943-2024</t>
        </is>
      </c>
      <c r="B14566" s="1" t="n">
        <v>45343</v>
      </c>
      <c r="C14566" s="1" t="n">
        <v>45353</v>
      </c>
      <c r="D14566" t="inlineStr">
        <is>
          <t>VÄRMLANDS LÄN</t>
        </is>
      </c>
      <c r="E14566" t="inlineStr">
        <is>
          <t>TORSBY</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6956-2024</t>
        </is>
      </c>
      <c r="B14567" s="1" t="n">
        <v>45343</v>
      </c>
      <c r="C14567" s="1" t="n">
        <v>45353</v>
      </c>
      <c r="D14567" t="inlineStr">
        <is>
          <t>VÄRMLANDS LÄN</t>
        </is>
      </c>
      <c r="E14567" t="inlineStr">
        <is>
          <t>ARVIKA</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7002-2024</t>
        </is>
      </c>
      <c r="B14568" s="1" t="n">
        <v>45343</v>
      </c>
      <c r="C14568" s="1" t="n">
        <v>45353</v>
      </c>
      <c r="D14568" t="inlineStr">
        <is>
          <t>VÄRMLANDS LÄN</t>
        </is>
      </c>
      <c r="E14568" t="inlineStr">
        <is>
          <t>KRISTINEHAMN</t>
        </is>
      </c>
      <c r="F14568" t="inlineStr">
        <is>
          <t>Kommuner</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6975-2024</t>
        </is>
      </c>
      <c r="B14569" s="1" t="n">
        <v>45343</v>
      </c>
      <c r="C14569" s="1" t="n">
        <v>45353</v>
      </c>
      <c r="D14569" t="inlineStr">
        <is>
          <t>VÄRMLANDS LÄN</t>
        </is>
      </c>
      <c r="E14569" t="inlineStr">
        <is>
          <t>SUNNE</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6999-2024</t>
        </is>
      </c>
      <c r="B14570" s="1" t="n">
        <v>45343</v>
      </c>
      <c r="C14570" s="1" t="n">
        <v>45353</v>
      </c>
      <c r="D14570" t="inlineStr">
        <is>
          <t>VÄRMLANDS LÄN</t>
        </is>
      </c>
      <c r="E14570" t="inlineStr">
        <is>
          <t>SUNNE</t>
        </is>
      </c>
      <c r="G14570" t="n">
        <v>11.3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7036-2024</t>
        </is>
      </c>
      <c r="B14571" s="1" t="n">
        <v>45343</v>
      </c>
      <c r="C14571" s="1" t="n">
        <v>45353</v>
      </c>
      <c r="D14571" t="inlineStr">
        <is>
          <t>VÄRMLANDS LÄN</t>
        </is>
      </c>
      <c r="E14571" t="inlineStr">
        <is>
          <t>SUNNE</t>
        </is>
      </c>
      <c r="G14571" t="n">
        <v>10.4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7053-2024</t>
        </is>
      </c>
      <c r="B14572" s="1" t="n">
        <v>45343</v>
      </c>
      <c r="C14572" s="1" t="n">
        <v>45353</v>
      </c>
      <c r="D14572" t="inlineStr">
        <is>
          <t>VÄRMLANDS LÄN</t>
        </is>
      </c>
      <c r="E14572" t="inlineStr">
        <is>
          <t>ARVIKA</t>
        </is>
      </c>
      <c r="F14572" t="inlineStr">
        <is>
          <t>Bergvik skog väst AB</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7057-2024</t>
        </is>
      </c>
      <c r="B14573" s="1" t="n">
        <v>45343</v>
      </c>
      <c r="C14573" s="1" t="n">
        <v>45353</v>
      </c>
      <c r="D14573" t="inlineStr">
        <is>
          <t>VÄRMLANDS LÄN</t>
        </is>
      </c>
      <c r="E14573" t="inlineStr">
        <is>
          <t>SUNNE</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7098-2024</t>
        </is>
      </c>
      <c r="B14574" s="1" t="n">
        <v>45343</v>
      </c>
      <c r="C14574" s="1" t="n">
        <v>45353</v>
      </c>
      <c r="D14574" t="inlineStr">
        <is>
          <t>VÄRMLANDS LÄN</t>
        </is>
      </c>
      <c r="E14574" t="inlineStr">
        <is>
          <t>ÅRJÄNG</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7071-2024</t>
        </is>
      </c>
      <c r="B14575" s="1" t="n">
        <v>45343</v>
      </c>
      <c r="C14575" s="1" t="n">
        <v>45353</v>
      </c>
      <c r="D14575" t="inlineStr">
        <is>
          <t>VÄRMLANDS LÄN</t>
        </is>
      </c>
      <c r="E14575" t="inlineStr">
        <is>
          <t>FILIPSTAD</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7100-2024</t>
        </is>
      </c>
      <c r="B14576" s="1" t="n">
        <v>45343</v>
      </c>
      <c r="C14576" s="1" t="n">
        <v>45353</v>
      </c>
      <c r="D14576" t="inlineStr">
        <is>
          <t>VÄRMLANDS LÄN</t>
        </is>
      </c>
      <c r="E14576" t="inlineStr">
        <is>
          <t>ÅRJÄNG</t>
        </is>
      </c>
      <c r="G14576" t="n">
        <v>6.5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6984-2024</t>
        </is>
      </c>
      <c r="B14577" s="1" t="n">
        <v>45343</v>
      </c>
      <c r="C14577" s="1" t="n">
        <v>45353</v>
      </c>
      <c r="D14577" t="inlineStr">
        <is>
          <t>VÄRMLANDS LÄN</t>
        </is>
      </c>
      <c r="E14577" t="inlineStr">
        <is>
          <t>EDA</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7164-2024</t>
        </is>
      </c>
      <c r="B14578" s="1" t="n">
        <v>45344</v>
      </c>
      <c r="C14578" s="1" t="n">
        <v>45353</v>
      </c>
      <c r="D14578" t="inlineStr">
        <is>
          <t>VÄRMLANDS LÄN</t>
        </is>
      </c>
      <c r="E14578" t="inlineStr">
        <is>
          <t>SUNNE</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7168-2024</t>
        </is>
      </c>
      <c r="B14579" s="1" t="n">
        <v>45344</v>
      </c>
      <c r="C14579" s="1" t="n">
        <v>45353</v>
      </c>
      <c r="D14579" t="inlineStr">
        <is>
          <t>VÄRMLANDS LÄN</t>
        </is>
      </c>
      <c r="E14579" t="inlineStr">
        <is>
          <t>SUNNE</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7196-2024</t>
        </is>
      </c>
      <c r="B14580" s="1" t="n">
        <v>45344</v>
      </c>
      <c r="C14580" s="1" t="n">
        <v>45353</v>
      </c>
      <c r="D14580" t="inlineStr">
        <is>
          <t>VÄRMLANDS LÄN</t>
        </is>
      </c>
      <c r="E14580" t="inlineStr">
        <is>
          <t>ARVIKA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7139-2024</t>
        </is>
      </c>
      <c r="B14581" s="1" t="n">
        <v>45344</v>
      </c>
      <c r="C14581" s="1" t="n">
        <v>45353</v>
      </c>
      <c r="D14581" t="inlineStr">
        <is>
          <t>VÄRMLANDS LÄN</t>
        </is>
      </c>
      <c r="E14581" t="inlineStr">
        <is>
          <t>ARVIKA</t>
        </is>
      </c>
      <c r="F14581" t="inlineStr">
        <is>
          <t>Bergvik skog väst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7167-2024</t>
        </is>
      </c>
      <c r="B14582" s="1" t="n">
        <v>45344</v>
      </c>
      <c r="C14582" s="1" t="n">
        <v>45353</v>
      </c>
      <c r="D14582" t="inlineStr">
        <is>
          <t>VÄRMLANDS LÄN</t>
        </is>
      </c>
      <c r="E14582" t="inlineStr">
        <is>
          <t>SUNNE</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7171-2024</t>
        </is>
      </c>
      <c r="B14583" s="1" t="n">
        <v>45344</v>
      </c>
      <c r="C14583" s="1" t="n">
        <v>45353</v>
      </c>
      <c r="D14583" t="inlineStr">
        <is>
          <t>VÄRMLANDS LÄN</t>
        </is>
      </c>
      <c r="E14583" t="inlineStr">
        <is>
          <t>HAGFORS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7184-2024</t>
        </is>
      </c>
      <c r="B14584" s="1" t="n">
        <v>45344</v>
      </c>
      <c r="C14584" s="1" t="n">
        <v>45353</v>
      </c>
      <c r="D14584" t="inlineStr">
        <is>
          <t>VÄRMLANDS LÄN</t>
        </is>
      </c>
      <c r="E14584" t="inlineStr">
        <is>
          <t>ÅRJÄNG</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7193-2024</t>
        </is>
      </c>
      <c r="B14585" s="1" t="n">
        <v>45344</v>
      </c>
      <c r="C14585" s="1" t="n">
        <v>45353</v>
      </c>
      <c r="D14585" t="inlineStr">
        <is>
          <t>VÄRMLANDS LÄN</t>
        </is>
      </c>
      <c r="E14585" t="inlineStr">
        <is>
          <t>ÅRJÄNG</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7198-2024</t>
        </is>
      </c>
      <c r="B14586" s="1" t="n">
        <v>45344</v>
      </c>
      <c r="C14586" s="1" t="n">
        <v>45353</v>
      </c>
      <c r="D14586" t="inlineStr">
        <is>
          <t>VÄRMLANDS LÄN</t>
        </is>
      </c>
      <c r="E14586" t="inlineStr">
        <is>
          <t>ARVIKA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7206-2024</t>
        </is>
      </c>
      <c r="B14587" s="1" t="n">
        <v>45344</v>
      </c>
      <c r="C14587" s="1" t="n">
        <v>45353</v>
      </c>
      <c r="D14587" t="inlineStr">
        <is>
          <t>VÄRMLANDS LÄN</t>
        </is>
      </c>
      <c r="E14587" t="inlineStr">
        <is>
          <t>ÅRJÄNG</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7222-2024</t>
        </is>
      </c>
      <c r="B14588" s="1" t="n">
        <v>45344</v>
      </c>
      <c r="C14588" s="1" t="n">
        <v>45353</v>
      </c>
      <c r="D14588" t="inlineStr">
        <is>
          <t>VÄRMLANDS LÄN</t>
        </is>
      </c>
      <c r="E14588" t="inlineStr">
        <is>
          <t>KRISTINEHAMN</t>
        </is>
      </c>
      <c r="F14588" t="inlineStr">
        <is>
          <t>Naturvårdsverket</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7165-2024</t>
        </is>
      </c>
      <c r="B14589" s="1" t="n">
        <v>45344</v>
      </c>
      <c r="C14589" s="1" t="n">
        <v>45353</v>
      </c>
      <c r="D14589" t="inlineStr">
        <is>
          <t>VÄRMLANDS LÄN</t>
        </is>
      </c>
      <c r="E14589" t="inlineStr">
        <is>
          <t>SUNNE</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7221-2024</t>
        </is>
      </c>
      <c r="B14590" s="1" t="n">
        <v>45344</v>
      </c>
      <c r="C14590" s="1" t="n">
        <v>45353</v>
      </c>
      <c r="D14590" t="inlineStr">
        <is>
          <t>VÄRMLANDS LÄN</t>
        </is>
      </c>
      <c r="E14590" t="inlineStr">
        <is>
          <t>TORSBY</t>
        </is>
      </c>
      <c r="G14590" t="n">
        <v>8.1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7230-2024</t>
        </is>
      </c>
      <c r="B14591" s="1" t="n">
        <v>45344</v>
      </c>
      <c r="C14591" s="1" t="n">
        <v>45353</v>
      </c>
      <c r="D14591" t="inlineStr">
        <is>
          <t>VÄRMLANDS LÄN</t>
        </is>
      </c>
      <c r="E14591" t="inlineStr">
        <is>
          <t>KRISTINEHAMN</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7223-2024</t>
        </is>
      </c>
      <c r="B14592" s="1" t="n">
        <v>45344</v>
      </c>
      <c r="C14592" s="1" t="n">
        <v>45353</v>
      </c>
      <c r="D14592" t="inlineStr">
        <is>
          <t>VÄRMLANDS LÄN</t>
        </is>
      </c>
      <c r="E14592" t="inlineStr">
        <is>
          <t>FILIPSTAD</t>
        </is>
      </c>
      <c r="G14592" t="n">
        <v>5.6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7227-2024</t>
        </is>
      </c>
      <c r="B14593" s="1" t="n">
        <v>45344</v>
      </c>
      <c r="C14593" s="1" t="n">
        <v>45353</v>
      </c>
      <c r="D14593" t="inlineStr">
        <is>
          <t>VÄRMLANDS LÄN</t>
        </is>
      </c>
      <c r="E14593" t="inlineStr">
        <is>
          <t>KRISTINEHAMN</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7315-2024</t>
        </is>
      </c>
      <c r="B14594" s="1" t="n">
        <v>45345</v>
      </c>
      <c r="C14594" s="1" t="n">
        <v>45353</v>
      </c>
      <c r="D14594" t="inlineStr">
        <is>
          <t>VÄRMLANDS LÄN</t>
        </is>
      </c>
      <c r="E14594" t="inlineStr">
        <is>
          <t>SUNNE</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7339-2024</t>
        </is>
      </c>
      <c r="B14595" s="1" t="n">
        <v>45345</v>
      </c>
      <c r="C14595" s="1" t="n">
        <v>45353</v>
      </c>
      <c r="D14595" t="inlineStr">
        <is>
          <t>VÄRMLANDS LÄN</t>
        </is>
      </c>
      <c r="E14595" t="inlineStr">
        <is>
          <t>SUNNE</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7438-2024</t>
        </is>
      </c>
      <c r="B14596" s="1" t="n">
        <v>45345</v>
      </c>
      <c r="C14596" s="1" t="n">
        <v>45353</v>
      </c>
      <c r="D14596" t="inlineStr">
        <is>
          <t>VÄRMLANDS LÄN</t>
        </is>
      </c>
      <c r="E14596" t="inlineStr">
        <is>
          <t>ÅRJÄNG</t>
        </is>
      </c>
      <c r="G14596" t="n">
        <v>12.3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7443-2024</t>
        </is>
      </c>
      <c r="B14597" s="1" t="n">
        <v>45345</v>
      </c>
      <c r="C14597" s="1" t="n">
        <v>45353</v>
      </c>
      <c r="D14597" t="inlineStr">
        <is>
          <t>VÄRMLANDS LÄN</t>
        </is>
      </c>
      <c r="E14597" t="inlineStr">
        <is>
          <t>ÅRJÄNG</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7447-2024</t>
        </is>
      </c>
      <c r="B14598" s="1" t="n">
        <v>45345</v>
      </c>
      <c r="C14598" s="1" t="n">
        <v>45353</v>
      </c>
      <c r="D14598" t="inlineStr">
        <is>
          <t>VÄRMLANDS LÄN</t>
        </is>
      </c>
      <c r="E14598" t="inlineStr">
        <is>
          <t>ÅRJÄNG</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7445-2024</t>
        </is>
      </c>
      <c r="B14599" s="1" t="n">
        <v>45345</v>
      </c>
      <c r="C14599" s="1" t="n">
        <v>45353</v>
      </c>
      <c r="D14599" t="inlineStr">
        <is>
          <t>VÄRMLANDS LÄN</t>
        </is>
      </c>
      <c r="E14599" t="inlineStr">
        <is>
          <t>ÅRJÄNG</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7401-2024</t>
        </is>
      </c>
      <c r="B14600" s="1" t="n">
        <v>45345</v>
      </c>
      <c r="C14600" s="1" t="n">
        <v>45353</v>
      </c>
      <c r="D14600" t="inlineStr">
        <is>
          <t>VÄRMLANDS LÄN</t>
        </is>
      </c>
      <c r="E14600" t="inlineStr">
        <is>
          <t>ÅRJÄNG</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7444-2024</t>
        </is>
      </c>
      <c r="B14601" s="1" t="n">
        <v>45345</v>
      </c>
      <c r="C14601" s="1" t="n">
        <v>45353</v>
      </c>
      <c r="D14601" t="inlineStr">
        <is>
          <t>VÄRMLANDS LÄN</t>
        </is>
      </c>
      <c r="E14601" t="inlineStr">
        <is>
          <t>ÅRJÄNG</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7487-2024</t>
        </is>
      </c>
      <c r="B14602" s="1" t="n">
        <v>45346</v>
      </c>
      <c r="C14602" s="1" t="n">
        <v>45353</v>
      </c>
      <c r="D14602" t="inlineStr">
        <is>
          <t>VÄRMLANDS LÄN</t>
        </is>
      </c>
      <c r="E14602" t="inlineStr">
        <is>
          <t>TORSBY</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7491-2024</t>
        </is>
      </c>
      <c r="B14603" s="1" t="n">
        <v>45346</v>
      </c>
      <c r="C14603" s="1" t="n">
        <v>45353</v>
      </c>
      <c r="D14603" t="inlineStr">
        <is>
          <t>VÄRMLANDS LÄN</t>
        </is>
      </c>
      <c r="E14603" t="inlineStr">
        <is>
          <t>TORSBY</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7495-2024</t>
        </is>
      </c>
      <c r="B14604" s="1" t="n">
        <v>45346</v>
      </c>
      <c r="C14604" s="1" t="n">
        <v>45353</v>
      </c>
      <c r="D14604" t="inlineStr">
        <is>
          <t>VÄRMLANDS LÄN</t>
        </is>
      </c>
      <c r="E14604" t="inlineStr">
        <is>
          <t>SUNNE</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7488-2024</t>
        </is>
      </c>
      <c r="B14605" s="1" t="n">
        <v>45346</v>
      </c>
      <c r="C14605" s="1" t="n">
        <v>45353</v>
      </c>
      <c r="D14605" t="inlineStr">
        <is>
          <t>VÄRMLANDS LÄN</t>
        </is>
      </c>
      <c r="E14605" t="inlineStr">
        <is>
          <t>TORSBY</t>
        </is>
      </c>
      <c r="G14605" t="n">
        <v>9.4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7496-2024</t>
        </is>
      </c>
      <c r="B14606" s="1" t="n">
        <v>45346</v>
      </c>
      <c r="C14606" s="1" t="n">
        <v>45353</v>
      </c>
      <c r="D14606" t="inlineStr">
        <is>
          <t>VÄRMLANDS LÄN</t>
        </is>
      </c>
      <c r="E14606" t="inlineStr">
        <is>
          <t>SUNNE</t>
        </is>
      </c>
      <c r="G14606" t="n">
        <v>0.4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7490-2024</t>
        </is>
      </c>
      <c r="B14607" s="1" t="n">
        <v>45346</v>
      </c>
      <c r="C14607" s="1" t="n">
        <v>45353</v>
      </c>
      <c r="D14607" t="inlineStr">
        <is>
          <t>VÄRMLANDS LÄN</t>
        </is>
      </c>
      <c r="E14607" t="inlineStr">
        <is>
          <t>TORSBY</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7494-2024</t>
        </is>
      </c>
      <c r="B14608" s="1" t="n">
        <v>45346</v>
      </c>
      <c r="C14608" s="1" t="n">
        <v>45353</v>
      </c>
      <c r="D14608" t="inlineStr">
        <is>
          <t>VÄRMLANDS LÄN</t>
        </is>
      </c>
      <c r="E14608" t="inlineStr">
        <is>
          <t>TORSBY</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7489-2024</t>
        </is>
      </c>
      <c r="B14609" s="1" t="n">
        <v>45346</v>
      </c>
      <c r="C14609" s="1" t="n">
        <v>45353</v>
      </c>
      <c r="D14609" t="inlineStr">
        <is>
          <t>VÄRMLANDS LÄN</t>
        </is>
      </c>
      <c r="E14609" t="inlineStr">
        <is>
          <t>TORSBY</t>
        </is>
      </c>
      <c r="G14609" t="n">
        <v>13.2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7493-2024</t>
        </is>
      </c>
      <c r="B14610" s="1" t="n">
        <v>45346</v>
      </c>
      <c r="C14610" s="1" t="n">
        <v>45353</v>
      </c>
      <c r="D14610" t="inlineStr">
        <is>
          <t>VÄRMLANDS LÄN</t>
        </is>
      </c>
      <c r="E14610" t="inlineStr">
        <is>
          <t>TORSBY</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7500-2024</t>
        </is>
      </c>
      <c r="B14611" s="1" t="n">
        <v>45347</v>
      </c>
      <c r="C14611" s="1" t="n">
        <v>45353</v>
      </c>
      <c r="D14611" t="inlineStr">
        <is>
          <t>VÄRMLANDS LÄN</t>
        </is>
      </c>
      <c r="E14611" t="inlineStr">
        <is>
          <t>TORSBY</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7637-2024</t>
        </is>
      </c>
      <c r="B14612" s="1" t="n">
        <v>45348</v>
      </c>
      <c r="C14612" s="1" t="n">
        <v>45353</v>
      </c>
      <c r="D14612" t="inlineStr">
        <is>
          <t>VÄRMLANDS LÄN</t>
        </is>
      </c>
      <c r="E14612" t="inlineStr">
        <is>
          <t>HAGFORS</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7523-2024</t>
        </is>
      </c>
      <c r="B14613" s="1" t="n">
        <v>45348</v>
      </c>
      <c r="C14613" s="1" t="n">
        <v>45353</v>
      </c>
      <c r="D14613" t="inlineStr">
        <is>
          <t>VÄRMLANDS LÄN</t>
        </is>
      </c>
      <c r="E14613" t="inlineStr">
        <is>
          <t>SUNNE</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7574-2024</t>
        </is>
      </c>
      <c r="B14614" s="1" t="n">
        <v>45348</v>
      </c>
      <c r="C14614" s="1" t="n">
        <v>45353</v>
      </c>
      <c r="D14614" t="inlineStr">
        <is>
          <t>VÄRMLANDS LÄN</t>
        </is>
      </c>
      <c r="E14614" t="inlineStr">
        <is>
          <t>ÅRJÄNG</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7583-2024</t>
        </is>
      </c>
      <c r="B14615" s="1" t="n">
        <v>45348</v>
      </c>
      <c r="C14615" s="1" t="n">
        <v>45353</v>
      </c>
      <c r="D14615" t="inlineStr">
        <is>
          <t>VÄRMLANDS LÄN</t>
        </is>
      </c>
      <c r="E14615" t="inlineStr">
        <is>
          <t>ARVIKA</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7636-2024</t>
        </is>
      </c>
      <c r="B14616" s="1" t="n">
        <v>45348</v>
      </c>
      <c r="C14616" s="1" t="n">
        <v>45353</v>
      </c>
      <c r="D14616" t="inlineStr">
        <is>
          <t>VÄRMLANDS LÄN</t>
        </is>
      </c>
      <c r="E14616" t="inlineStr">
        <is>
          <t>TORSBY</t>
        </is>
      </c>
      <c r="G14616" t="n">
        <v>5.1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7577-2024</t>
        </is>
      </c>
      <c r="B14617" s="1" t="n">
        <v>45348</v>
      </c>
      <c r="C14617" s="1" t="n">
        <v>45353</v>
      </c>
      <c r="D14617" t="inlineStr">
        <is>
          <t>VÄRMLANDS LÄN</t>
        </is>
      </c>
      <c r="E14617" t="inlineStr">
        <is>
          <t>ARVIKA</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7602-2024</t>
        </is>
      </c>
      <c r="B14618" s="1" t="n">
        <v>45348</v>
      </c>
      <c r="C14618" s="1" t="n">
        <v>45353</v>
      </c>
      <c r="D14618" t="inlineStr">
        <is>
          <t>VÄRMLANDS LÄN</t>
        </is>
      </c>
      <c r="E14618" t="inlineStr">
        <is>
          <t>SÄFFLE</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7607-2024</t>
        </is>
      </c>
      <c r="B14619" s="1" t="n">
        <v>45348</v>
      </c>
      <c r="C14619" s="1" t="n">
        <v>45353</v>
      </c>
      <c r="D14619" t="inlineStr">
        <is>
          <t>VÄRMLANDS LÄN</t>
        </is>
      </c>
      <c r="E14619" t="inlineStr">
        <is>
          <t>ARVIKA</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7651-2024</t>
        </is>
      </c>
      <c r="B14620" s="1" t="n">
        <v>45348</v>
      </c>
      <c r="C14620" s="1" t="n">
        <v>45353</v>
      </c>
      <c r="D14620" t="inlineStr">
        <is>
          <t>VÄRMLANDS LÄN</t>
        </is>
      </c>
      <c r="E14620" t="inlineStr">
        <is>
          <t>TORSBY</t>
        </is>
      </c>
      <c r="G14620" t="n">
        <v>9.199999999999999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7676-2024</t>
        </is>
      </c>
      <c r="B14621" s="1" t="n">
        <v>45348</v>
      </c>
      <c r="C14621" s="1" t="n">
        <v>45353</v>
      </c>
      <c r="D14621" t="inlineStr">
        <is>
          <t>VÄRMLANDS LÄN</t>
        </is>
      </c>
      <c r="E14621" t="inlineStr">
        <is>
          <t>TORSBY</t>
        </is>
      </c>
      <c r="G14621" t="n">
        <v>6.7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7677-2024</t>
        </is>
      </c>
      <c r="B14622" s="1" t="n">
        <v>45348</v>
      </c>
      <c r="C14622" s="1" t="n">
        <v>45353</v>
      </c>
      <c r="D14622" t="inlineStr">
        <is>
          <t>VÄRMLANDS LÄN</t>
        </is>
      </c>
      <c r="E14622" t="inlineStr">
        <is>
          <t>TORSBY</t>
        </is>
      </c>
      <c r="G14622" t="n">
        <v>4.5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7714-2024</t>
        </is>
      </c>
      <c r="B14623" s="1" t="n">
        <v>45349</v>
      </c>
      <c r="C14623" s="1" t="n">
        <v>45353</v>
      </c>
      <c r="D14623" t="inlineStr">
        <is>
          <t>VÄRMLANDS LÄN</t>
        </is>
      </c>
      <c r="E14623" t="inlineStr">
        <is>
          <t>SUNNE</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7757-2024</t>
        </is>
      </c>
      <c r="B14624" s="1" t="n">
        <v>45349</v>
      </c>
      <c r="C14624" s="1" t="n">
        <v>45353</v>
      </c>
      <c r="D14624" t="inlineStr">
        <is>
          <t>VÄRMLANDS LÄN</t>
        </is>
      </c>
      <c r="E14624" t="inlineStr">
        <is>
          <t>TORSBY</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7794-2024</t>
        </is>
      </c>
      <c r="B14625" s="1" t="n">
        <v>45349</v>
      </c>
      <c r="C14625" s="1" t="n">
        <v>45353</v>
      </c>
      <c r="D14625" t="inlineStr">
        <is>
          <t>VÄRMLANDS LÄN</t>
        </is>
      </c>
      <c r="E14625" t="inlineStr">
        <is>
          <t>ÅRJÄNG</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8161-2024</t>
        </is>
      </c>
      <c r="B14626" s="1" t="n">
        <v>45349</v>
      </c>
      <c r="C14626" s="1" t="n">
        <v>45353</v>
      </c>
      <c r="D14626" t="inlineStr">
        <is>
          <t>VÄRMLANDS LÄN</t>
        </is>
      </c>
      <c r="E14626" t="inlineStr">
        <is>
          <t>ÅRJÄNG</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7816-2024</t>
        </is>
      </c>
      <c r="B14627" s="1" t="n">
        <v>45349</v>
      </c>
      <c r="C14627" s="1" t="n">
        <v>45353</v>
      </c>
      <c r="D14627" t="inlineStr">
        <is>
          <t>VÄRMLANDS LÄN</t>
        </is>
      </c>
      <c r="E14627" t="inlineStr">
        <is>
          <t>HAGFORS</t>
        </is>
      </c>
      <c r="F14627" t="inlineStr">
        <is>
          <t>Bergvik skog väst AB</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7712-2024</t>
        </is>
      </c>
      <c r="B14628" s="1" t="n">
        <v>45349</v>
      </c>
      <c r="C14628" s="1" t="n">
        <v>45353</v>
      </c>
      <c r="D14628" t="inlineStr">
        <is>
          <t>VÄRMLANDS LÄN</t>
        </is>
      </c>
      <c r="E14628" t="inlineStr">
        <is>
          <t>SUNNE</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7822-2024</t>
        </is>
      </c>
      <c r="B14629" s="1" t="n">
        <v>45349</v>
      </c>
      <c r="C14629" s="1" t="n">
        <v>45353</v>
      </c>
      <c r="D14629" t="inlineStr">
        <is>
          <t>VÄRMLANDS LÄN</t>
        </is>
      </c>
      <c r="E14629" t="inlineStr">
        <is>
          <t>KIL</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7883-2024</t>
        </is>
      </c>
      <c r="B14630" s="1" t="n">
        <v>45350</v>
      </c>
      <c r="C14630" s="1" t="n">
        <v>45353</v>
      </c>
      <c r="D14630" t="inlineStr">
        <is>
          <t>VÄRMLANDS LÄN</t>
        </is>
      </c>
      <c r="E14630" t="inlineStr">
        <is>
          <t>SÄFFLE</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7948-2024</t>
        </is>
      </c>
      <c r="B14631" s="1" t="n">
        <v>45350</v>
      </c>
      <c r="C14631" s="1" t="n">
        <v>45353</v>
      </c>
      <c r="D14631" t="inlineStr">
        <is>
          <t>VÄRMLANDS LÄN</t>
        </is>
      </c>
      <c r="E14631" t="inlineStr">
        <is>
          <t>STORFORS</t>
        </is>
      </c>
      <c r="F14631" t="inlineStr">
        <is>
          <t>Naturvårdsverket</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7982-2024</t>
        </is>
      </c>
      <c r="B14632" s="1" t="n">
        <v>45350</v>
      </c>
      <c r="C14632" s="1" t="n">
        <v>45353</v>
      </c>
      <c r="D14632" t="inlineStr">
        <is>
          <t>VÄRMLANDS LÄN</t>
        </is>
      </c>
      <c r="E14632" t="inlineStr">
        <is>
          <t>SUNNE</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7991-2024</t>
        </is>
      </c>
      <c r="B14633" s="1" t="n">
        <v>45350</v>
      </c>
      <c r="C14633" s="1" t="n">
        <v>45353</v>
      </c>
      <c r="D14633" t="inlineStr">
        <is>
          <t>VÄRMLANDS LÄN</t>
        </is>
      </c>
      <c r="E14633" t="inlineStr">
        <is>
          <t>GRUMS</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7993-2024</t>
        </is>
      </c>
      <c r="B14634" s="1" t="n">
        <v>45350</v>
      </c>
      <c r="C14634" s="1" t="n">
        <v>45353</v>
      </c>
      <c r="D14634" t="inlineStr">
        <is>
          <t>VÄRMLANDS LÄN</t>
        </is>
      </c>
      <c r="E14634" t="inlineStr">
        <is>
          <t>GRUMS</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8012-2024</t>
        </is>
      </c>
      <c r="B14635" s="1" t="n">
        <v>45350</v>
      </c>
      <c r="C14635" s="1" t="n">
        <v>45353</v>
      </c>
      <c r="D14635" t="inlineStr">
        <is>
          <t>VÄRMLANDS LÄN</t>
        </is>
      </c>
      <c r="E14635" t="inlineStr">
        <is>
          <t>TORSBY</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7927-2024</t>
        </is>
      </c>
      <c r="B14636" s="1" t="n">
        <v>45350</v>
      </c>
      <c r="C14636" s="1" t="n">
        <v>45353</v>
      </c>
      <c r="D14636" t="inlineStr">
        <is>
          <t>VÄRMLANDS LÄN</t>
        </is>
      </c>
      <c r="E14636" t="inlineStr">
        <is>
          <t>TORSBY</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7988-2024</t>
        </is>
      </c>
      <c r="B14637" s="1" t="n">
        <v>45350</v>
      </c>
      <c r="C14637" s="1" t="n">
        <v>45353</v>
      </c>
      <c r="D14637" t="inlineStr">
        <is>
          <t>VÄRMLANDS LÄN</t>
        </is>
      </c>
      <c r="E14637" t="inlineStr">
        <is>
          <t>HAGFORS</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7986-2024</t>
        </is>
      </c>
      <c r="B14638" s="1" t="n">
        <v>45350</v>
      </c>
      <c r="C14638" s="1" t="n">
        <v>45353</v>
      </c>
      <c r="D14638" t="inlineStr">
        <is>
          <t>VÄRMLANDS LÄN</t>
        </is>
      </c>
      <c r="E14638" t="inlineStr">
        <is>
          <t>HAGFORS</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8007-2024</t>
        </is>
      </c>
      <c r="B14639" s="1" t="n">
        <v>45350</v>
      </c>
      <c r="C14639" s="1" t="n">
        <v>45353</v>
      </c>
      <c r="D14639" t="inlineStr">
        <is>
          <t>VÄRMLANDS LÄN</t>
        </is>
      </c>
      <c r="E14639" t="inlineStr">
        <is>
          <t>KARLSTAD</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8129-2024</t>
        </is>
      </c>
      <c r="B14640" s="1" t="n">
        <v>45351</v>
      </c>
      <c r="C14640" s="1" t="n">
        <v>45353</v>
      </c>
      <c r="D14640" t="inlineStr">
        <is>
          <t>VÄRMLANDS LÄN</t>
        </is>
      </c>
      <c r="E14640" t="inlineStr">
        <is>
          <t>HAGFORS</t>
        </is>
      </c>
      <c r="F14640" t="inlineStr">
        <is>
          <t>Kyrkan</t>
        </is>
      </c>
      <c r="G14640" t="n">
        <v>10</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8147-2024</t>
        </is>
      </c>
      <c r="B14641" s="1" t="n">
        <v>45351</v>
      </c>
      <c r="C14641" s="1" t="n">
        <v>45353</v>
      </c>
      <c r="D14641" t="inlineStr">
        <is>
          <t>VÄRMLANDS LÄN</t>
        </is>
      </c>
      <c r="E14641" t="inlineStr">
        <is>
          <t>ÅRJÄNG</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8194-2024</t>
        </is>
      </c>
      <c r="B14642" s="1" t="n">
        <v>45351</v>
      </c>
      <c r="C14642" s="1" t="n">
        <v>45353</v>
      </c>
      <c r="D14642" t="inlineStr">
        <is>
          <t>VÄRMLANDS LÄN</t>
        </is>
      </c>
      <c r="E14642" t="inlineStr">
        <is>
          <t>SÄFFLE</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8120-2024</t>
        </is>
      </c>
      <c r="B14643" s="1" t="n">
        <v>45351</v>
      </c>
      <c r="C14643" s="1" t="n">
        <v>45353</v>
      </c>
      <c r="D14643" t="inlineStr">
        <is>
          <t>VÄRMLANDS LÄN</t>
        </is>
      </c>
      <c r="E14643" t="inlineStr">
        <is>
          <t>ÅRJÄNG</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8124-2024</t>
        </is>
      </c>
      <c r="B14644" s="1" t="n">
        <v>45351</v>
      </c>
      <c r="C14644" s="1" t="n">
        <v>45353</v>
      </c>
      <c r="D14644" t="inlineStr">
        <is>
          <t>VÄRMLANDS LÄN</t>
        </is>
      </c>
      <c r="E14644" t="inlineStr">
        <is>
          <t>EDA</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8146-2024</t>
        </is>
      </c>
      <c r="B14645" s="1" t="n">
        <v>45351</v>
      </c>
      <c r="C14645" s="1" t="n">
        <v>45353</v>
      </c>
      <c r="D14645" t="inlineStr">
        <is>
          <t>VÄRMLANDS LÄN</t>
        </is>
      </c>
      <c r="E14645" t="inlineStr">
        <is>
          <t>ÅRJÄNG</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8183-2024</t>
        </is>
      </c>
      <c r="B14646" s="1" t="n">
        <v>45351</v>
      </c>
      <c r="C14646" s="1" t="n">
        <v>45353</v>
      </c>
      <c r="D14646" t="inlineStr">
        <is>
          <t>VÄRMLANDS LÄN</t>
        </is>
      </c>
      <c r="E14646" t="inlineStr">
        <is>
          <t>SÄFFLE</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8219-2024</t>
        </is>
      </c>
      <c r="B14647" s="1" t="n">
        <v>45351</v>
      </c>
      <c r="C14647" s="1" t="n">
        <v>45353</v>
      </c>
      <c r="D14647" t="inlineStr">
        <is>
          <t>VÄRMLANDS LÄN</t>
        </is>
      </c>
      <c r="E14647" t="inlineStr">
        <is>
          <t>KRISTINEHAMN</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8118-2024</t>
        </is>
      </c>
      <c r="B14648" s="1" t="n">
        <v>45351</v>
      </c>
      <c r="C14648" s="1" t="n">
        <v>45353</v>
      </c>
      <c r="D14648" t="inlineStr">
        <is>
          <t>VÄRMLANDS LÄN</t>
        </is>
      </c>
      <c r="E14648" t="inlineStr">
        <is>
          <t>SUNNE</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8165-2024</t>
        </is>
      </c>
      <c r="B14649" s="1" t="n">
        <v>45351</v>
      </c>
      <c r="C14649" s="1" t="n">
        <v>45353</v>
      </c>
      <c r="D14649" t="inlineStr">
        <is>
          <t>VÄRMLANDS LÄN</t>
        </is>
      </c>
      <c r="E14649" t="inlineStr">
        <is>
          <t>ARVIKA</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8173-2024</t>
        </is>
      </c>
      <c r="B14650" s="1" t="n">
        <v>45351</v>
      </c>
      <c r="C14650" s="1" t="n">
        <v>45353</v>
      </c>
      <c r="D14650" t="inlineStr">
        <is>
          <t>VÄRMLANDS LÄN</t>
        </is>
      </c>
      <c r="E14650" t="inlineStr">
        <is>
          <t>KARLSTAD</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8218-2024</t>
        </is>
      </c>
      <c r="B14651" s="1" t="n">
        <v>45351</v>
      </c>
      <c r="C14651" s="1" t="n">
        <v>45353</v>
      </c>
      <c r="D14651" t="inlineStr">
        <is>
          <t>VÄRMLANDS LÄN</t>
        </is>
      </c>
      <c r="E14651" t="inlineStr">
        <is>
          <t>KRISTINEHAMN</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8276-2024</t>
        </is>
      </c>
      <c r="B14652" s="1" t="n">
        <v>45352</v>
      </c>
      <c r="C14652" s="1" t="n">
        <v>45353</v>
      </c>
      <c r="D14652" t="inlineStr">
        <is>
          <t>VÄRMLANDS LÄN</t>
        </is>
      </c>
      <c r="E14652" t="inlineStr">
        <is>
          <t>SUNNE</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8280-2024</t>
        </is>
      </c>
      <c r="B14653" s="1" t="n">
        <v>45352</v>
      </c>
      <c r="C14653" s="1" t="n">
        <v>45353</v>
      </c>
      <c r="D14653" t="inlineStr">
        <is>
          <t>VÄRMLANDS LÄN</t>
        </is>
      </c>
      <c r="E14653" t="inlineStr">
        <is>
          <t>SUNNE</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8288-2024</t>
        </is>
      </c>
      <c r="B14654" s="1" t="n">
        <v>45352</v>
      </c>
      <c r="C14654" s="1" t="n">
        <v>45353</v>
      </c>
      <c r="D14654" t="inlineStr">
        <is>
          <t>VÄRMLANDS LÄN</t>
        </is>
      </c>
      <c r="E14654" t="inlineStr">
        <is>
          <t>SÄFFLE</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8368-2024</t>
        </is>
      </c>
      <c r="B14655" s="1" t="n">
        <v>45352</v>
      </c>
      <c r="C14655" s="1" t="n">
        <v>45353</v>
      </c>
      <c r="D14655" t="inlineStr">
        <is>
          <t>VÄRMLANDS LÄN</t>
        </is>
      </c>
      <c r="E14655" t="inlineStr">
        <is>
          <t>SÄFFLE</t>
        </is>
      </c>
      <c r="G14655" t="n">
        <v>6.2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8377-2024</t>
        </is>
      </c>
      <c r="B14656" s="1" t="n">
        <v>45352</v>
      </c>
      <c r="C14656" s="1" t="n">
        <v>45353</v>
      </c>
      <c r="D14656" t="inlineStr">
        <is>
          <t>VÄRMLANDS LÄN</t>
        </is>
      </c>
      <c r="E14656" t="inlineStr">
        <is>
          <t>SÄFFLE</t>
        </is>
      </c>
      <c r="G14656" t="n">
        <v>4.5</v>
      </c>
      <c r="H14656" t="n">
        <v>0</v>
      </c>
      <c r="I14656" t="n">
        <v>0</v>
      </c>
      <c r="J14656" t="n">
        <v>0</v>
      </c>
      <c r="K14656" t="n">
        <v>0</v>
      </c>
      <c r="L14656" t="n">
        <v>0</v>
      </c>
      <c r="M14656" t="n">
        <v>0</v>
      </c>
      <c r="N14656" t="n">
        <v>0</v>
      </c>
      <c r="O14656" t="n">
        <v>0</v>
      </c>
      <c r="P14656" t="n">
        <v>0</v>
      </c>
      <c r="Q14656" t="n">
        <v>0</v>
      </c>
      <c r="R14656" s="2" t="inlineStr"/>
    </row>
    <row r="14657">
      <c r="A14657" t="inlineStr">
        <is>
          <t>A 8306-2024</t>
        </is>
      </c>
      <c r="B14657" s="1" t="n">
        <v>45352</v>
      </c>
      <c r="C14657" s="1" t="n">
        <v>45353</v>
      </c>
      <c r="D14657" t="inlineStr">
        <is>
          <t>VÄRMLANDS LÄN</t>
        </is>
      </c>
      <c r="E14657" t="inlineStr">
        <is>
          <t>GRUMS</t>
        </is>
      </c>
      <c r="G14657" t="n">
        <v>7</v>
      </c>
      <c r="H14657" t="n">
        <v>0</v>
      </c>
      <c r="I14657" t="n">
        <v>0</v>
      </c>
      <c r="J14657" t="n">
        <v>0</v>
      </c>
      <c r="K14657" t="n">
        <v>0</v>
      </c>
      <c r="L14657" t="n">
        <v>0</v>
      </c>
      <c r="M14657" t="n">
        <v>0</v>
      </c>
      <c r="N14657" t="n">
        <v>0</v>
      </c>
      <c r="O14657" t="n">
        <v>0</v>
      </c>
      <c r="P14657" t="n">
        <v>0</v>
      </c>
      <c r="Q14657" t="n">
        <v>0</v>
      </c>
      <c r="R146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2024-03-02T13:10:52Z</dcterms:created>
  <dcterms:modified xmlns:dcterms="http://purl.org/dc/terms/" xmlns:xsi="http://www.w3.org/2001/XMLSchema-instance" xsi:type="dcterms:W3CDTF">2024-03-02T13:11:05Z</dcterms:modified>
</cp:coreProperties>
</file>